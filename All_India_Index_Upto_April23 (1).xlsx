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chana\Downloads\"/>
    </mc:Choice>
  </mc:AlternateContent>
  <xr:revisionPtr revIDLastSave="0" documentId="8_{3C9AADA1-EC7C-4F1C-9F22-B4E9458A5366}" xr6:coauthVersionLast="47" xr6:coauthVersionMax="47" xr10:uidLastSave="{00000000-0000-0000-0000-000000000000}"/>
  <bookViews>
    <workbookView xWindow="-108" yWindow="-108" windowWidth="23256" windowHeight="13176" firstSheet="1" activeTab="5" xr2:uid="{69159209-D942-46D7-87F5-072B91311301}"/>
  </bookViews>
  <sheets>
    <sheet name="All_India_Index_Upto_April23 (1" sheetId="1" r:id="rId1"/>
    <sheet name="All_India_Index_Upto_April23" sheetId="2" r:id="rId2"/>
    <sheet name="Q1" sheetId="6" r:id="rId3"/>
    <sheet name="Q2" sheetId="8" r:id="rId4"/>
    <sheet name="Q3.1" sheetId="13" r:id="rId5"/>
    <sheet name="Q4" sheetId="14" r:id="rId6"/>
    <sheet name="q5" sheetId="18" r:id="rId7"/>
  </sheets>
  <definedNames>
    <definedName name="_xlnm._FilterDatabase" localSheetId="1" hidden="1">All_India_Index_Upto_April23!$A$1:$AD$373</definedName>
    <definedName name="_xlchart.v1.0" hidden="1">'Q4'!$A$29</definedName>
    <definedName name="_xlchart.v1.1" hidden="1">'Q4'!$A$30</definedName>
    <definedName name="_xlchart.v1.2" hidden="1">'Q4'!$A$31</definedName>
    <definedName name="_xlchart.v1.3" hidden="1">'Q4'!$B$28:$I$28</definedName>
    <definedName name="_xlchart.v1.4" hidden="1">'Q4'!$B$29:$I$29</definedName>
    <definedName name="_xlchart.v1.5" hidden="1">'Q4'!$B$30:$I$30</definedName>
    <definedName name="_xlchart.v1.6" hidden="1">'Q4'!$B$31:$I$31</definedName>
  </definedNames>
  <calcPr calcId="191029"/>
  <pivotCaches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13" l="1"/>
  <c r="B39" i="13"/>
  <c r="B40" i="13"/>
  <c r="B41" i="13"/>
  <c r="B42" i="13"/>
  <c r="B43" i="13"/>
  <c r="B44" i="13"/>
  <c r="B45" i="13"/>
  <c r="B46" i="13"/>
  <c r="B47" i="13"/>
  <c r="B37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H220" i="18"/>
  <c r="H221" i="18"/>
  <c r="H222" i="18"/>
  <c r="H223" i="18"/>
  <c r="H224" i="18"/>
  <c r="H225" i="18"/>
  <c r="H226" i="18"/>
  <c r="H227" i="18"/>
  <c r="H228" i="18"/>
  <c r="H229" i="18"/>
  <c r="H230" i="18"/>
  <c r="H231" i="18"/>
  <c r="H232" i="18"/>
  <c r="H233" i="18"/>
  <c r="H234" i="18"/>
  <c r="H235" i="18"/>
  <c r="H236" i="18"/>
  <c r="H237" i="18"/>
  <c r="H238" i="18"/>
  <c r="H239" i="18"/>
  <c r="H240" i="18"/>
  <c r="H241" i="18"/>
  <c r="H242" i="18"/>
  <c r="H243" i="18"/>
  <c r="H244" i="18"/>
  <c r="H245" i="18"/>
  <c r="H246" i="18"/>
  <c r="H247" i="18"/>
  <c r="H248" i="18"/>
  <c r="H249" i="18"/>
  <c r="H250" i="18"/>
  <c r="H251" i="18"/>
  <c r="H252" i="18"/>
  <c r="H253" i="18"/>
  <c r="H254" i="18"/>
  <c r="H255" i="18"/>
  <c r="H256" i="18"/>
  <c r="H257" i="18"/>
  <c r="H258" i="18"/>
  <c r="H259" i="18"/>
  <c r="H260" i="18"/>
  <c r="H261" i="18"/>
  <c r="H262" i="18"/>
  <c r="H263" i="18"/>
  <c r="H264" i="18"/>
  <c r="H265" i="18"/>
  <c r="H266" i="18"/>
  <c r="H267" i="18"/>
  <c r="H268" i="18"/>
  <c r="H269" i="18"/>
  <c r="H270" i="18"/>
  <c r="H271" i="18"/>
  <c r="H272" i="18"/>
  <c r="H273" i="18"/>
  <c r="H274" i="18"/>
  <c r="H275" i="18"/>
  <c r="H276" i="18"/>
  <c r="H277" i="18"/>
  <c r="H278" i="18"/>
  <c r="H279" i="18"/>
  <c r="H280" i="18"/>
  <c r="H281" i="18"/>
  <c r="H282" i="18"/>
  <c r="H283" i="18"/>
  <c r="H284" i="18"/>
  <c r="H285" i="18"/>
  <c r="H286" i="18"/>
  <c r="H287" i="18"/>
  <c r="H288" i="18"/>
  <c r="H289" i="18"/>
  <c r="H290" i="18"/>
  <c r="H219" i="18"/>
  <c r="D218" i="18" a="1"/>
  <c r="D218" i="18" s="1"/>
  <c r="B24" i="14"/>
  <c r="H25" i="14"/>
  <c r="I25" i="14"/>
  <c r="I24" i="14"/>
  <c r="I20" i="14"/>
  <c r="H16" i="14"/>
  <c r="I16" i="14"/>
  <c r="I15" i="14"/>
  <c r="B16" i="14"/>
  <c r="L12" i="6"/>
  <c r="M12" i="6" s="1"/>
  <c r="L11" i="6"/>
  <c r="M11" i="6" s="1"/>
  <c r="L10" i="6"/>
  <c r="M10" i="6" s="1"/>
  <c r="L9" i="6"/>
  <c r="L8" i="6"/>
  <c r="M8" i="6" s="1"/>
  <c r="L6" i="6"/>
  <c r="M6" i="6" s="1"/>
  <c r="L5" i="6"/>
  <c r="M5" i="6" s="1"/>
  <c r="L4" i="6"/>
  <c r="M4" i="6" s="1"/>
  <c r="L7" i="6"/>
  <c r="M9" i="6"/>
  <c r="G12" i="6"/>
  <c r="G11" i="6"/>
  <c r="G10" i="6"/>
  <c r="G9" i="6"/>
  <c r="G8" i="6"/>
  <c r="G7" i="6"/>
  <c r="G6" i="6"/>
  <c r="G5" i="6"/>
  <c r="G4" i="6"/>
  <c r="B4" i="6"/>
  <c r="B9" i="6"/>
  <c r="B12" i="6"/>
  <c r="B11" i="6"/>
  <c r="B10" i="6"/>
  <c r="B8" i="6"/>
  <c r="B7" i="6"/>
  <c r="B6" i="6"/>
  <c r="B5" i="6"/>
  <c r="E2" i="18"/>
  <c r="F2" i="18"/>
  <c r="G2" i="18"/>
  <c r="H2" i="18"/>
  <c r="I2" i="18"/>
  <c r="J2" i="18"/>
  <c r="K2" i="18"/>
  <c r="L2" i="18"/>
  <c r="M2" i="18"/>
  <c r="N2" i="18"/>
  <c r="O2" i="18"/>
  <c r="P2" i="18"/>
  <c r="Q2" i="18"/>
  <c r="R2" i="18"/>
  <c r="S2" i="18"/>
  <c r="T2" i="18"/>
  <c r="U2" i="18"/>
  <c r="V2" i="18"/>
  <c r="W2" i="18"/>
  <c r="X2" i="18"/>
  <c r="Y2" i="18"/>
  <c r="Z2" i="18"/>
  <c r="AA2" i="18"/>
  <c r="AB2" i="18"/>
  <c r="AC2" i="18"/>
  <c r="AD2" i="18"/>
  <c r="D2" i="18"/>
  <c r="AD5" i="8"/>
  <c r="AD6" i="8"/>
  <c r="AD7" i="8"/>
  <c r="AD8" i="8"/>
  <c r="AD9" i="8"/>
  <c r="AD10" i="8"/>
  <c r="AD11" i="8"/>
  <c r="B37" i="8" s="1"/>
  <c r="AD12" i="8"/>
  <c r="B38" i="8" s="1"/>
  <c r="AD13" i="8"/>
  <c r="B39" i="8" s="1"/>
  <c r="AD14" i="8"/>
  <c r="B40" i="8" s="1"/>
  <c r="AD4" i="8"/>
  <c r="C24" i="14"/>
  <c r="D24" i="14"/>
  <c r="E24" i="14"/>
  <c r="F24" i="14"/>
  <c r="G24" i="14"/>
  <c r="H24" i="14"/>
  <c r="B25" i="14"/>
  <c r="C25" i="14"/>
  <c r="D25" i="14"/>
  <c r="E25" i="14"/>
  <c r="F25" i="14"/>
  <c r="G25" i="14"/>
  <c r="C20" i="14"/>
  <c r="D20" i="14"/>
  <c r="E20" i="14"/>
  <c r="F20" i="14"/>
  <c r="G20" i="14"/>
  <c r="H20" i="14"/>
  <c r="B20" i="14"/>
  <c r="C16" i="14"/>
  <c r="D16" i="14"/>
  <c r="E16" i="14"/>
  <c r="F16" i="14"/>
  <c r="G16" i="14"/>
  <c r="C15" i="14"/>
  <c r="D15" i="14"/>
  <c r="E15" i="14"/>
  <c r="F15" i="14"/>
  <c r="G15" i="14"/>
  <c r="H15" i="14"/>
  <c r="B15" i="14"/>
  <c r="B23" i="13"/>
  <c r="B24" i="13"/>
  <c r="B25" i="13"/>
  <c r="B26" i="13"/>
  <c r="B27" i="13"/>
  <c r="B28" i="13"/>
  <c r="B29" i="13"/>
  <c r="B30" i="13"/>
  <c r="B31" i="13"/>
  <c r="B32" i="13"/>
  <c r="B22" i="13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2" i="2"/>
  <c r="AB21" i="8"/>
  <c r="AB22" i="8"/>
  <c r="AB23" i="8"/>
  <c r="AB24" i="8"/>
  <c r="AB25" i="8"/>
  <c r="AA21" i="8"/>
  <c r="AA22" i="8"/>
  <c r="AA23" i="8"/>
  <c r="AA24" i="8"/>
  <c r="AA25" i="8"/>
  <c r="AA20" i="8"/>
  <c r="AB20" i="8"/>
  <c r="Z21" i="8"/>
  <c r="Z22" i="8"/>
  <c r="Z23" i="8"/>
  <c r="Z24" i="8"/>
  <c r="Z25" i="8"/>
  <c r="Y21" i="8"/>
  <c r="Y22" i="8"/>
  <c r="Y23" i="8"/>
  <c r="Y24" i="8"/>
  <c r="Y25" i="8"/>
  <c r="Y20" i="8"/>
  <c r="Z20" i="8"/>
  <c r="X21" i="8"/>
  <c r="X22" i="8"/>
  <c r="X23" i="8"/>
  <c r="X24" i="8"/>
  <c r="X25" i="8"/>
  <c r="W21" i="8"/>
  <c r="W22" i="8"/>
  <c r="W23" i="8"/>
  <c r="W24" i="8"/>
  <c r="W25" i="8"/>
  <c r="V21" i="8"/>
  <c r="V22" i="8"/>
  <c r="V23" i="8"/>
  <c r="V24" i="8"/>
  <c r="V25" i="8"/>
  <c r="U21" i="8"/>
  <c r="U22" i="8"/>
  <c r="U23" i="8"/>
  <c r="U24" i="8"/>
  <c r="U25" i="8"/>
  <c r="U20" i="8"/>
  <c r="V20" i="8"/>
  <c r="W20" i="8"/>
  <c r="X20" i="8"/>
  <c r="T21" i="8"/>
  <c r="T22" i="8"/>
  <c r="T23" i="8"/>
  <c r="T24" i="8"/>
  <c r="T25" i="8"/>
  <c r="S21" i="8"/>
  <c r="S22" i="8"/>
  <c r="S23" i="8"/>
  <c r="S24" i="8"/>
  <c r="S25" i="8"/>
  <c r="R21" i="8"/>
  <c r="R22" i="8"/>
  <c r="R23" i="8"/>
  <c r="R24" i="8"/>
  <c r="R25" i="8"/>
  <c r="Q21" i="8"/>
  <c r="Q22" i="8"/>
  <c r="Q23" i="8"/>
  <c r="Q24" i="8"/>
  <c r="Q25" i="8"/>
  <c r="P21" i="8"/>
  <c r="P22" i="8"/>
  <c r="P23" i="8"/>
  <c r="P24" i="8"/>
  <c r="P25" i="8"/>
  <c r="O21" i="8"/>
  <c r="O22" i="8"/>
  <c r="O23" i="8"/>
  <c r="O24" i="8"/>
  <c r="O25" i="8"/>
  <c r="N21" i="8"/>
  <c r="N22" i="8"/>
  <c r="N23" i="8"/>
  <c r="N24" i="8"/>
  <c r="N25" i="8"/>
  <c r="M21" i="8"/>
  <c r="M22" i="8"/>
  <c r="M23" i="8"/>
  <c r="M24" i="8"/>
  <c r="M25" i="8"/>
  <c r="L21" i="8"/>
  <c r="L22" i="8"/>
  <c r="L23" i="8"/>
  <c r="L24" i="8"/>
  <c r="L25" i="8"/>
  <c r="K21" i="8"/>
  <c r="K22" i="8"/>
  <c r="K23" i="8"/>
  <c r="K24" i="8"/>
  <c r="K25" i="8"/>
  <c r="J21" i="8"/>
  <c r="J22" i="8"/>
  <c r="J23" i="8"/>
  <c r="J24" i="8"/>
  <c r="J25" i="8"/>
  <c r="I21" i="8"/>
  <c r="I22" i="8"/>
  <c r="I23" i="8"/>
  <c r="I24" i="8"/>
  <c r="I25" i="8"/>
  <c r="H21" i="8"/>
  <c r="H22" i="8"/>
  <c r="H23" i="8"/>
  <c r="H24" i="8"/>
  <c r="H25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G21" i="8"/>
  <c r="G22" i="8"/>
  <c r="G23" i="8"/>
  <c r="G24" i="8"/>
  <c r="G25" i="8"/>
  <c r="F21" i="8"/>
  <c r="F22" i="8"/>
  <c r="F23" i="8"/>
  <c r="F24" i="8"/>
  <c r="F25" i="8"/>
  <c r="E21" i="8"/>
  <c r="E22" i="8"/>
  <c r="E23" i="8"/>
  <c r="E24" i="8"/>
  <c r="E25" i="8"/>
  <c r="D21" i="8"/>
  <c r="D22" i="8"/>
  <c r="D23" i="8"/>
  <c r="D24" i="8"/>
  <c r="D25" i="8"/>
  <c r="D20" i="8"/>
  <c r="E20" i="8"/>
  <c r="F20" i="8"/>
  <c r="G20" i="8"/>
  <c r="C21" i="8"/>
  <c r="C22" i="8"/>
  <c r="C23" i="8"/>
  <c r="C24" i="8"/>
  <c r="C25" i="8"/>
  <c r="C20" i="8"/>
  <c r="B21" i="8"/>
  <c r="B22" i="8"/>
  <c r="B23" i="8"/>
  <c r="B24" i="8"/>
  <c r="B25" i="8"/>
  <c r="B20" i="8"/>
  <c r="B35" i="8" l="1"/>
  <c r="B34" i="8"/>
  <c r="B36" i="8"/>
  <c r="L13" i="6"/>
  <c r="M7" i="6"/>
  <c r="M13" i="6" s="1"/>
  <c r="G13" i="6"/>
  <c r="B13" i="6"/>
  <c r="H4" i="6" l="1"/>
  <c r="H6" i="6"/>
  <c r="H5" i="6"/>
  <c r="H7" i="6"/>
  <c r="H12" i="6"/>
  <c r="C4" i="6"/>
  <c r="H8" i="6"/>
  <c r="H11" i="6"/>
  <c r="H10" i="6"/>
  <c r="H9" i="6"/>
  <c r="C12" i="6"/>
  <c r="C10" i="6"/>
  <c r="C6" i="6"/>
  <c r="C8" i="6"/>
  <c r="C11" i="6"/>
  <c r="C7" i="6"/>
  <c r="C5" i="6"/>
  <c r="C9" i="6"/>
  <c r="H13" i="6" l="1"/>
  <c r="C1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<sst xmlns="http://schemas.openxmlformats.org/spreadsheetml/2006/main" count="19557" uniqueCount="16632">
  <si>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</si>
  <si>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</si>
  <si>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</si>
  <si>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</si>
  <si>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</si>
  <si>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</si>
  <si>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</si>
  <si>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</si>
  <si>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</si>
  <si>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</si>
  <si>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</si>
  <si>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</si>
  <si>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</si>
  <si>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</si>
  <si>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</si>
  <si>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</si>
  <si>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</si>
  <si>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</si>
  <si>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</si>
  <si>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</si>
  <si>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</si>
  <si>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</si>
  <si>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</si>
  <si>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</si>
  <si>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</si>
  <si>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</si>
  <si>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</si>
  <si>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</si>
  <si>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</si>
  <si>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</si>
  <si>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</si>
  <si>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</si>
  <si>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</si>
  <si>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</si>
  <si>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</si>
  <si>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</si>
  <si>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</si>
  <si>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</si>
  <si>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</si>
  <si>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</si>
  <si>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</si>
  <si>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</si>
  <si>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</si>
  <si>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</si>
  <si>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</si>
  <si>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</si>
  <si>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</si>
  <si>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</si>
  <si>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</si>
  <si>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Prepared meals, s149.08cks, sweets etc.</t>
  </si>
  <si>
    <t>Perso133.35l care and effects</t>
  </si>
  <si>
    <t>Total</t>
  </si>
  <si>
    <t>Boarder_category</t>
  </si>
  <si>
    <t>Tobacco &amp; Intoxicants</t>
  </si>
  <si>
    <t>Clothing &amp; Footwear</t>
  </si>
  <si>
    <t>Fuel &amp; Utilities</t>
  </si>
  <si>
    <t>Transport &amp; Communication</t>
  </si>
  <si>
    <t>Recreation &amp; Miscellaneous</t>
  </si>
  <si>
    <t>Contribution</t>
  </si>
  <si>
    <t>Y-O-Y</t>
  </si>
  <si>
    <t>2017-2018</t>
  </si>
  <si>
    <t>2018-2019</t>
  </si>
  <si>
    <t>2019-2020</t>
  </si>
  <si>
    <t>2020-2021</t>
  </si>
  <si>
    <t>2021-2022</t>
  </si>
  <si>
    <t>2022-2023</t>
  </si>
  <si>
    <t>Row Labels</t>
  </si>
  <si>
    <t>Grand Total</t>
  </si>
  <si>
    <t>Average of Cereals and products</t>
  </si>
  <si>
    <t>Average of Meat and fish</t>
  </si>
  <si>
    <t>Average of Egg</t>
  </si>
  <si>
    <t>Average of Milk and products</t>
  </si>
  <si>
    <t>Average of Oils and fats</t>
  </si>
  <si>
    <t>Average of Fruits</t>
  </si>
  <si>
    <t>Average of Vegetables</t>
  </si>
  <si>
    <t>Average of Pulses and products</t>
  </si>
  <si>
    <t>Average of Sugar and Confectionery</t>
  </si>
  <si>
    <t>Average of Spices</t>
  </si>
  <si>
    <t>Average of Non-alcoholic beverages</t>
  </si>
  <si>
    <t>Average of Prepared meals, s149.08cks, sweets etc.</t>
  </si>
  <si>
    <t>Average of Food and beverages</t>
  </si>
  <si>
    <t>Average of Pan, tobacco and intoxicants</t>
  </si>
  <si>
    <t>Average of Clothing</t>
  </si>
  <si>
    <t>Average of Footwear</t>
  </si>
  <si>
    <t>Average of Clothing and footwear</t>
  </si>
  <si>
    <t>Average of Fuel and light</t>
  </si>
  <si>
    <t>Average of Housing</t>
  </si>
  <si>
    <t>Average of Household goods and services</t>
  </si>
  <si>
    <t>Average of Health</t>
  </si>
  <si>
    <t>Average of Transport and communication</t>
  </si>
  <si>
    <t>Average of Recreation and amusement</t>
  </si>
  <si>
    <t>Average of Education</t>
  </si>
  <si>
    <t>Average of Perso133.35l care and effects</t>
  </si>
  <si>
    <t>Average of Miscellaneous</t>
  </si>
  <si>
    <t>Average of General index</t>
  </si>
  <si>
    <t>Food and Beverages</t>
  </si>
  <si>
    <t>Marcrh 2014</t>
  </si>
  <si>
    <t>Mon_Year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</si>
  <si>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</si>
  <si>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</si>
  <si>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</si>
  <si>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</si>
  <si>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</si>
  <si>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</si>
  <si>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</si>
  <si>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</si>
  <si>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</si>
  <si>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</si>
  <si>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</si>
  <si>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</si>
  <si>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</si>
  <si>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</si>
  <si>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</si>
  <si>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</si>
  <si>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</si>
  <si>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</si>
  <si>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</si>
  <si>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</si>
  <si>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</si>
  <si>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</si>
  <si>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</si>
  <si>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</si>
  <si>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</si>
  <si>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</si>
  <si>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</si>
  <si>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</si>
  <si>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</si>
  <si>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</si>
  <si>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</si>
  <si>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</si>
  <si>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</si>
  <si>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</si>
  <si>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</si>
  <si>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</si>
  <si>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</si>
  <si>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</si>
  <si>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</si>
  <si>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</si>
  <si>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</si>
  <si>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</si>
  <si>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</si>
  <si>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</si>
  <si>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</si>
  <si>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</si>
  <si>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</si>
  <si>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</si>
  <si>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</si>
  <si>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</si>
  <si>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</si>
  <si>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</si>
  <si>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</si>
  <si>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</si>
  <si>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</si>
  <si>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</si>
  <si>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</si>
  <si>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</si>
  <si>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</si>
  <si>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</si>
  <si>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</si>
  <si>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</si>
  <si>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</si>
  <si>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</si>
  <si>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</si>
  <si>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</si>
  <si>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</si>
  <si>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</si>
  <si>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</si>
  <si>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</si>
  <si>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</si>
  <si>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</si>
  <si>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</si>
  <si>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</si>
  <si>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</si>
  <si>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</si>
  <si>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</si>
  <si>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</si>
  <si>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</si>
  <si>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</si>
  <si>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</si>
  <si>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</si>
  <si>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</si>
  <si>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</si>
  <si>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</si>
  <si>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</si>
  <si>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</si>
  <si>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</si>
  <si>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</si>
  <si>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</si>
  <si>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</si>
  <si>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</si>
  <si>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</si>
  <si>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</si>
  <si>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</si>
  <si>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</si>
  <si>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</si>
  <si>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</si>
  <si>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</si>
  <si>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</si>
  <si>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</si>
  <si>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</si>
  <si>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</si>
  <si>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</si>
  <si>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</si>
  <si>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</si>
  <si>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</si>
  <si>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</si>
  <si>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</si>
  <si>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</si>
  <si>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</si>
  <si>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</si>
  <si>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</si>
  <si>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</si>
  <si>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</si>
  <si>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</si>
  <si>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</si>
  <si>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</si>
  <si>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</si>
  <si>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</si>
  <si>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</si>
  <si>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</si>
  <si>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</si>
  <si>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</si>
  <si>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 xml:space="preserve"> </t>
  </si>
  <si>
    <t>Before Lockdown</t>
  </si>
  <si>
    <t>During Lockdown</t>
  </si>
  <si>
    <t>After Lockdown</t>
  </si>
  <si>
    <t>Inflation of Food and beverages</t>
  </si>
  <si>
    <t>Inflation of Health</t>
  </si>
  <si>
    <t>Inflation of Fuel and light</t>
  </si>
  <si>
    <t>Inflation of Household goods and services</t>
  </si>
  <si>
    <t>Inflation of Transport and communication</t>
  </si>
  <si>
    <t>Inflation of Recreation and amusement</t>
  </si>
  <si>
    <t>Months</t>
  </si>
  <si>
    <t>CPI Inflation</t>
  </si>
  <si>
    <t>Corel</t>
  </si>
  <si>
    <t>CPI Index</t>
  </si>
  <si>
    <t>Sum of Food and beverages</t>
  </si>
  <si>
    <t>CPI calculation for latest month (MAY 2023)</t>
  </si>
  <si>
    <t>Column1</t>
  </si>
  <si>
    <t>In all the 3 sector, Food and Beverages contribute to hightest CPI Index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</si>
  <si>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</si>
  <si>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</si>
  <si>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</si>
  <si>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</si>
  <si>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</si>
  <si>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</si>
  <si>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</si>
  <si>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</si>
  <si>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</si>
  <si>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</si>
  <si>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</si>
  <si>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</si>
  <si>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</si>
  <si>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</si>
  <si>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</si>
  <si>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</si>
  <si>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</si>
  <si>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</si>
  <si>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</si>
  <si>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</si>
  <si>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</si>
  <si>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</si>
  <si>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</si>
  <si>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</si>
  <si>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</si>
  <si>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</si>
  <si>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</si>
  <si>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</si>
  <si>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</si>
  <si>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</si>
  <si>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</si>
  <si>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</si>
  <si>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</si>
  <si>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</si>
  <si>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</si>
  <si>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</si>
  <si>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</si>
  <si>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</si>
  <si>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</si>
  <si>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</si>
  <si>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</si>
  <si>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</si>
  <si>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</si>
  <si>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</si>
  <si>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</si>
  <si>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</si>
  <si>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</si>
  <si>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</si>
  <si>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</si>
  <si>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</si>
  <si>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</si>
  <si>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</si>
  <si>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</si>
  <si>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</si>
  <si>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</si>
  <si>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</si>
  <si>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</si>
  <si>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</si>
  <si>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</si>
  <si>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</si>
  <si>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</si>
  <si>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</si>
  <si>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</si>
  <si>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</si>
  <si>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</si>
  <si>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</si>
  <si>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</si>
  <si>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</si>
  <si>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</si>
  <si>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</si>
  <si>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</si>
  <si>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</si>
  <si>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</si>
  <si>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</si>
  <si>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</si>
  <si>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</si>
  <si>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</si>
  <si>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</si>
  <si>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</si>
  <si>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</si>
  <si>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</si>
  <si>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</si>
  <si>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</si>
  <si>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</si>
  <si>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</si>
  <si>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</si>
  <si>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</si>
  <si>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</si>
  <si>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</si>
  <si>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</si>
  <si>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</si>
  <si>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</si>
  <si>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</si>
  <si>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</si>
  <si>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</si>
  <si>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</si>
  <si>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</si>
  <si>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</si>
  <si>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</si>
  <si>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</si>
  <si>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</si>
  <si>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</si>
  <si>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</si>
  <si>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</si>
  <si>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</si>
  <si>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</si>
  <si>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</si>
  <si>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</si>
  <si>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</si>
  <si>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</si>
  <si>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</si>
  <si>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</si>
  <si>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</si>
  <si>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</si>
  <si>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</si>
  <si>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</si>
  <si>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</si>
  <si>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</si>
  <si>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</si>
  <si>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</si>
  <si>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</si>
  <si>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</si>
  <si>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</si>
  <si>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</si>
  <si>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</si>
  <si>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</si>
  <si>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</si>
  <si>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</si>
  <si>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</si>
  <si>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</si>
  <si>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</si>
  <si>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</si>
  <si>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</si>
  <si>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</si>
  <si>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</si>
  <si>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</si>
  <si>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</si>
  <si>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</si>
  <si>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</si>
  <si>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</si>
  <si>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</si>
  <si>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</si>
  <si>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</si>
  <si>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</si>
  <si>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</si>
  <si>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</si>
  <si>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</si>
  <si>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</si>
  <si>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</si>
  <si>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</si>
  <si>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</si>
  <si>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</si>
  <si>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</si>
  <si>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</si>
  <si>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</si>
  <si>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</si>
  <si>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</si>
  <si>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</si>
  <si>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</si>
  <si>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</si>
  <si>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</si>
  <si>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</si>
  <si>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</si>
  <si>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</si>
  <si>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</si>
  <si>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</si>
  <si>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</si>
  <si>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</si>
  <si>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</si>
  <si>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</si>
  <si>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</si>
  <si>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</si>
  <si>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</si>
  <si>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</si>
  <si>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</si>
  <si>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</si>
  <si>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</si>
  <si>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</si>
  <si>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</si>
  <si>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</si>
  <si>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</si>
  <si>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</si>
  <si>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</si>
  <si>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</si>
  <si>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</si>
  <si>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</si>
  <si>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</si>
  <si>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</si>
  <si>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</si>
  <si>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</si>
  <si>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</si>
  <si>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</si>
  <si>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</si>
  <si>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</si>
  <si>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</si>
  <si>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</si>
  <si>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</si>
  <si>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</si>
  <si>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</si>
  <si>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</si>
  <si>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</si>
  <si>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</si>
  <si>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</si>
  <si>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</si>
  <si>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</si>
  <si>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</si>
  <si>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</si>
  <si>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</si>
  <si>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</si>
  <si>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</si>
  <si>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</si>
  <si>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</si>
  <si>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</si>
  <si>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</si>
  <si>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</si>
  <si>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</si>
  <si>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</si>
  <si>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</si>
  <si>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</si>
  <si>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</si>
  <si>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</si>
  <si>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</si>
  <si>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</si>
  <si>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</si>
  <si>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</si>
  <si>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</si>
  <si>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</si>
  <si>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</si>
  <si>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</si>
  <si>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</si>
  <si>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</si>
  <si>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</si>
  <si>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</si>
  <si>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</si>
  <si>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</si>
  <si>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</si>
  <si>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</si>
  <si>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</si>
  <si>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</si>
  <si>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</si>
  <si>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</si>
  <si>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</si>
  <si>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</si>
  <si>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</si>
  <si>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</si>
  <si>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</si>
  <si>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</si>
  <si>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</si>
  <si>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</si>
  <si>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</si>
  <si>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</si>
  <si>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</si>
  <si>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</si>
  <si>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</si>
  <si>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</si>
  <si>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</si>
  <si>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</si>
  <si>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</si>
  <si>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</si>
  <si>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</si>
  <si>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</si>
  <si>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</si>
  <si>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</si>
  <si>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</si>
  <si>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</si>
  <si>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</si>
  <si>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</si>
  <si>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</si>
  <si>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</si>
  <si>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</si>
  <si>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</si>
  <si>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</si>
  <si>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</si>
  <si>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</si>
  <si>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</si>
  <si>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</si>
  <si>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</si>
  <si>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</si>
  <si>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</si>
  <si>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</si>
  <si>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</si>
  <si>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</si>
  <si>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</si>
  <si>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</si>
  <si>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</si>
  <si>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</si>
  <si>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</si>
  <si>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</si>
  <si>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</si>
  <si>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</si>
  <si>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</si>
  <si>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</si>
  <si>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</si>
  <si>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</si>
  <si>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</si>
  <si>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</si>
  <si>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</si>
  <si>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</si>
  <si>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</si>
  <si>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</si>
  <si>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</si>
  <si>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</si>
  <si>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</si>
  <si>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</si>
  <si>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</si>
  <si>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</si>
  <si>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</si>
  <si>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</si>
  <si>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</si>
  <si>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</si>
  <si>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</si>
  <si>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</si>
  <si>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</si>
  <si>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</si>
  <si>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</si>
  <si>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</si>
  <si>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</si>
  <si>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</si>
  <si>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</si>
  <si>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</si>
  <si>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</si>
  <si>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</si>
  <si>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</si>
  <si>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</si>
  <si>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</si>
  <si>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</si>
  <si>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</si>
  <si>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</si>
  <si>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</si>
  <si>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</si>
  <si>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</si>
  <si>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</si>
  <si>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</si>
  <si>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</si>
  <si>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</si>
  <si>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</si>
  <si>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</si>
  <si>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</si>
  <si>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</si>
  <si>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</si>
  <si>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</si>
  <si>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</si>
  <si>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</si>
  <si>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</si>
  <si>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</si>
  <si>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</si>
  <si>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</si>
  <si>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</si>
  <si>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</si>
  <si>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</si>
  <si>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</si>
  <si>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</si>
  <si>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</si>
  <si>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</si>
  <si>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</si>
  <si>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</si>
  <si>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</si>
  <si>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</si>
  <si>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</si>
  <si>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</si>
  <si>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</si>
  <si>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</si>
  <si>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</si>
  <si>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</si>
  <si>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</si>
  <si>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</si>
  <si>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</si>
  <si>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</si>
  <si>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</si>
  <si>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</si>
  <si>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</si>
  <si>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</si>
  <si>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</si>
  <si>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</si>
  <si>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</si>
  <si>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</si>
  <si>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</si>
  <si>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</si>
  <si>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</si>
  <si>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</si>
  <si>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</si>
  <si>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</si>
  <si>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</si>
  <si>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</si>
  <si>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</si>
  <si>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</si>
  <si>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</si>
  <si>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</si>
  <si>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</si>
  <si>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</si>
  <si>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</si>
  <si>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</si>
  <si>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</si>
  <si>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</si>
  <si>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</si>
  <si>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</si>
  <si>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</si>
  <si>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</si>
  <si>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</si>
  <si>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</si>
  <si>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</si>
  <si>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</si>
  <si>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</si>
  <si>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</si>
  <si>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</si>
  <si>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</si>
  <si>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</si>
  <si>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</si>
  <si>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</si>
  <si>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</si>
  <si>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</si>
  <si>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</si>
  <si>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</si>
  <si>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</si>
  <si>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</si>
  <si>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</si>
  <si>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</si>
  <si>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</si>
  <si>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</si>
  <si>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</si>
  <si>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</si>
  <si>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</si>
  <si>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</si>
  <si>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</si>
  <si>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</si>
  <si>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</si>
  <si>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</si>
  <si>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</si>
  <si>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</si>
  <si>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</si>
  <si>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</si>
  <si>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</si>
  <si>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</si>
  <si>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</si>
  <si>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</si>
  <si>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</si>
  <si>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</si>
  <si>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</si>
  <si>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</si>
  <si>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</si>
  <si>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</si>
  <si>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</si>
  <si>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</si>
  <si>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</si>
  <si>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</si>
  <si>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</si>
  <si>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</si>
  <si>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</si>
  <si>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</si>
  <si>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</si>
  <si>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</si>
  <si>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</si>
  <si>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</si>
  <si>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</si>
  <si>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</si>
  <si>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</si>
  <si>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</si>
  <si>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</si>
  <si>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</si>
  <si>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</si>
  <si>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</si>
  <si>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</si>
  <si>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</si>
  <si>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</si>
  <si>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</si>
  <si>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</si>
  <si>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</si>
  <si>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</si>
  <si>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</si>
  <si>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</si>
  <si>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</si>
  <si>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</si>
  <si>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</si>
  <si>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</si>
  <si>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</si>
  <si>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</si>
  <si>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</si>
  <si>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</si>
  <si>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</si>
  <si>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</si>
  <si>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</si>
  <si>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</si>
  <si>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</si>
  <si>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</si>
  <si>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</si>
  <si>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</si>
  <si>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</si>
  <si>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</si>
  <si>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</si>
  <si>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</si>
  <si>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</si>
  <si>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</si>
  <si>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</si>
  <si>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</si>
  <si>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</si>
  <si>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</si>
  <si>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</si>
  <si>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</si>
  <si>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</si>
  <si>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</si>
  <si>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</si>
  <si>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</si>
  <si>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</si>
  <si>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</si>
  <si>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</si>
  <si>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</si>
  <si>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</si>
  <si>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</si>
  <si>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</si>
  <si>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</si>
  <si>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</si>
  <si>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</si>
  <si>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</si>
  <si>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</si>
  <si>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</si>
  <si>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</si>
  <si>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</si>
  <si>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</si>
  <si>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</si>
  <si>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</si>
  <si>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</si>
  <si>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</si>
  <si>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</si>
  <si>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</si>
  <si>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</si>
  <si>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</si>
  <si>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</si>
  <si>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</si>
  <si>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</si>
  <si>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</si>
  <si>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</si>
  <si>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</si>
  <si>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</si>
  <si>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</si>
  <si>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</si>
  <si>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</si>
  <si>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</si>
  <si>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</si>
  <si>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</si>
  <si>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</si>
  <si>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</si>
  <si>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</si>
  <si>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</si>
  <si>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</si>
  <si>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</si>
  <si>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</si>
  <si>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</si>
  <si>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</si>
  <si>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</si>
  <si>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</si>
  <si>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</si>
  <si>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</si>
  <si>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</si>
  <si>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</si>
  <si>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</si>
  <si>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</si>
  <si>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</si>
  <si>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</si>
  <si>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</si>
  <si>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</si>
  <si>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</si>
  <si>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</si>
  <si>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</si>
  <si>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</si>
  <si>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</si>
  <si>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</si>
  <si>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</si>
  <si>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</si>
  <si>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</si>
  <si>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</si>
  <si>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</si>
  <si>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</si>
  <si>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</si>
  <si>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</si>
  <si>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</si>
  <si>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</si>
  <si>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</si>
  <si>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</si>
  <si>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</si>
  <si>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</si>
  <si>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</si>
  <si>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</si>
  <si>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</si>
  <si>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</si>
  <si>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</si>
  <si>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</si>
  <si>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</si>
  <si>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</si>
  <si>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</si>
  <si>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</si>
  <si>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</si>
  <si>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</si>
  <si>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</si>
  <si>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</si>
  <si>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</si>
  <si>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</si>
  <si>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</si>
  <si>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</si>
  <si>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</si>
  <si>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</si>
  <si>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</si>
  <si>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</si>
  <si>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</si>
  <si>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</si>
  <si>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</si>
  <si>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</si>
  <si>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</si>
  <si>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</si>
  <si>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</si>
  <si>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</si>
  <si>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</si>
  <si>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</si>
  <si>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</si>
  <si>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</si>
  <si>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</si>
  <si>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</si>
  <si>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</si>
  <si>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</si>
  <si>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</si>
  <si>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</si>
  <si>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</si>
  <si>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</si>
  <si>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</si>
  <si>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</si>
  <si>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</si>
  <si>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</si>
  <si>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</si>
  <si>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</si>
  <si>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</si>
  <si>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</si>
  <si>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</si>
  <si>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</si>
  <si>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</si>
  <si>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</si>
  <si>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</si>
  <si>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</si>
  <si>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</si>
  <si>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</si>
  <si>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</si>
  <si>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</si>
  <si>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</si>
  <si>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</si>
  <si>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</si>
  <si>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</si>
  <si>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</si>
  <si>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</si>
  <si>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</si>
  <si>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</si>
  <si>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</si>
  <si>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</si>
  <si>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</si>
  <si>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</si>
  <si>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</si>
  <si>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</si>
  <si>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</si>
  <si>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</si>
  <si>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</si>
  <si>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</si>
  <si>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</si>
  <si>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</si>
  <si>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</si>
  <si>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</si>
  <si>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</si>
  <si>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</si>
  <si>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</si>
  <si>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</si>
  <si>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</si>
  <si>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</si>
  <si>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</si>
  <si>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</si>
  <si>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</si>
  <si>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</si>
  <si>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</si>
  <si>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</si>
  <si>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</si>
  <si>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</si>
  <si>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</si>
  <si>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</si>
  <si>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</si>
  <si>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</si>
  <si>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</si>
  <si>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</si>
  <si>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</si>
  <si>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</si>
  <si>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</si>
  <si>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</si>
  <si>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</si>
  <si>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</si>
  <si>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</si>
  <si>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</si>
  <si>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</si>
  <si>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</si>
  <si>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</si>
  <si>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</si>
  <si>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</si>
  <si>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</si>
  <si>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</si>
  <si>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</si>
  <si>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</si>
  <si>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</si>
  <si>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</si>
  <si>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</si>
  <si>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</si>
  <si>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</si>
  <si>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</si>
  <si>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</si>
  <si>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</si>
  <si>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</si>
  <si>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</si>
  <si>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</si>
  <si>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</si>
  <si>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</si>
  <si>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</si>
  <si>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</si>
  <si>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</si>
  <si>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</si>
  <si>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</si>
  <si>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</si>
  <si>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</si>
  <si>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</si>
  <si>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</si>
  <si>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</si>
  <si>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</si>
  <si>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</si>
  <si>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</si>
  <si>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</si>
  <si>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</si>
  <si>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</si>
  <si>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</si>
  <si>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</si>
  <si>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</si>
  <si>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</si>
  <si>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</si>
  <si>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</si>
  <si>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</si>
  <si>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</si>
  <si>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</si>
  <si>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</si>
  <si>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</si>
  <si>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</si>
  <si>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</si>
  <si>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</si>
  <si>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</si>
  <si>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</si>
  <si>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</si>
  <si>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</si>
  <si>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</si>
  <si>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</si>
  <si>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</si>
  <si>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</si>
  <si>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</si>
  <si>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</si>
  <si>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</si>
  <si>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</si>
  <si>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</si>
  <si>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</si>
  <si>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</si>
  <si>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</si>
  <si>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</si>
  <si>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</si>
  <si>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</si>
  <si>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</si>
  <si>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</si>
  <si>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</si>
  <si>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</si>
  <si>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</si>
  <si>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</si>
  <si>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</si>
  <si>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</si>
  <si>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</si>
  <si>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</si>
  <si>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</si>
  <si>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</si>
  <si>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</si>
  <si>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</si>
  <si>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</si>
  <si>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</si>
  <si>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</si>
  <si>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</si>
  <si>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</si>
  <si>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</si>
  <si>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</si>
  <si>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</si>
  <si>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</si>
  <si>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</si>
  <si>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</si>
  <si>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</si>
  <si>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</si>
  <si>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</si>
  <si>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</si>
  <si>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</si>
  <si>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</si>
  <si>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</si>
  <si>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</si>
  <si>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</si>
  <si>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</si>
  <si>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</si>
  <si>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</si>
  <si>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</si>
  <si>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</si>
  <si>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</si>
  <si>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</si>
  <si>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</si>
  <si>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</si>
  <si>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</si>
  <si>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</si>
  <si>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</si>
  <si>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</si>
  <si>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</si>
  <si>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</si>
  <si>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</si>
  <si>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</si>
  <si>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</si>
  <si>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</si>
  <si>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</si>
  <si>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</si>
  <si>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</si>
  <si>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</si>
  <si>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</si>
  <si>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</si>
  <si>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</si>
  <si>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</si>
  <si>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</si>
  <si>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</si>
  <si>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</si>
  <si>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</si>
  <si>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</si>
  <si>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</si>
  <si>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</si>
  <si>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</si>
  <si>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</si>
  <si>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</si>
  <si>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</si>
  <si>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</si>
  <si>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</si>
  <si>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</si>
  <si>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</si>
  <si>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</si>
  <si>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</si>
  <si>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</si>
  <si>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</si>
  <si>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</si>
  <si>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</si>
  <si>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</si>
  <si>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</si>
  <si>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</si>
  <si>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</si>
  <si>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</si>
  <si>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</si>
  <si>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</si>
  <si>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</si>
  <si>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</si>
  <si>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</si>
  <si>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</si>
  <si>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</si>
  <si>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</si>
  <si>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</si>
  <si>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</si>
  <si>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</si>
  <si>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</si>
  <si>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</si>
  <si>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</si>
  <si>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</si>
  <si>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</si>
  <si>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</si>
  <si>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</si>
  <si>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</si>
  <si>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</si>
  <si>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</si>
  <si>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</si>
  <si>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</si>
  <si>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</si>
  <si>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</si>
  <si>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</si>
  <si>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</si>
  <si>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</si>
  <si>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</si>
  <si>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</si>
  <si>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</si>
  <si>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</si>
  <si>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</si>
  <si>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</si>
  <si>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</si>
  <si>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</si>
  <si>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</si>
  <si>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</si>
  <si>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</si>
  <si>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</si>
  <si>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</si>
  <si>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</si>
  <si>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</si>
  <si>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</si>
  <si>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</si>
  <si>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</si>
  <si>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</si>
  <si>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</si>
  <si>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</si>
  <si>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</si>
  <si>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</si>
  <si>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</si>
  <si>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</si>
  <si>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</si>
  <si>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</si>
  <si>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</si>
  <si>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</si>
  <si>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</si>
  <si>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</si>
  <si>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</si>
  <si>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</si>
  <si>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</si>
  <si>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</si>
  <si>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</si>
  <si>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</si>
  <si>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</si>
  <si>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</si>
  <si>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</si>
  <si>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</si>
  <si>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</si>
  <si>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</si>
  <si>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</si>
  <si>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</si>
  <si>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</si>
  <si>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</si>
  <si>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</si>
  <si>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</si>
  <si>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</si>
  <si>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</si>
  <si>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</si>
  <si>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</si>
  <si>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</si>
  <si>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</si>
  <si>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</si>
  <si>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</si>
  <si>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</si>
  <si>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</si>
  <si>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</si>
  <si>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</si>
  <si>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</si>
  <si>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</si>
  <si>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</si>
  <si>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</si>
  <si>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</si>
  <si>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</si>
  <si>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</si>
  <si>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</si>
  <si>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</si>
  <si>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</si>
  <si>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</si>
  <si>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</si>
  <si>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</si>
  <si>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</si>
  <si>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</si>
  <si>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</si>
  <si>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</si>
  <si>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</si>
  <si>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</si>
  <si>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</si>
  <si>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</si>
  <si>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</si>
  <si>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</si>
  <si>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</si>
  <si>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</si>
  <si>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</si>
  <si>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</si>
  <si>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</si>
  <si>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</si>
  <si>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</si>
  <si>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</si>
  <si>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</si>
  <si>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</si>
  <si>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</si>
  <si>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</si>
  <si>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</si>
  <si>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</si>
  <si>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</si>
  <si>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</si>
  <si>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</si>
  <si>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</si>
  <si>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</si>
  <si>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</si>
  <si>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</si>
  <si>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</si>
  <si>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</si>
  <si>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</si>
  <si>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</si>
  <si>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</si>
  <si>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</si>
  <si>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</si>
  <si>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</si>
  <si>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</si>
  <si>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</si>
  <si>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</si>
  <si>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</si>
  <si>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</si>
  <si>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</si>
  <si>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</si>
  <si>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</si>
  <si>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</si>
  <si>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</si>
  <si>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</si>
  <si>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</si>
  <si>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</si>
  <si>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</si>
  <si>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</si>
  <si>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</si>
  <si>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</si>
  <si>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</si>
  <si>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</si>
  <si>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</si>
  <si>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</si>
  <si>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</si>
  <si>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</si>
  <si>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</si>
  <si>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</si>
  <si>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</si>
  <si>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</si>
  <si>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</si>
  <si>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</si>
  <si>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</si>
  <si>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</si>
  <si>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</si>
  <si>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</si>
  <si>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</si>
  <si>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</si>
  <si>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</si>
  <si>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</si>
  <si>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</si>
  <si>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</si>
  <si>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</si>
  <si>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</si>
  <si>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</si>
  <si>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</si>
  <si>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</si>
  <si>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</si>
  <si>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</si>
  <si>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</si>
  <si>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</si>
  <si>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</si>
  <si>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</si>
  <si>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</si>
  <si>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</si>
  <si>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</si>
  <si>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</si>
  <si>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</si>
  <si>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</si>
  <si>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</si>
  <si>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</si>
  <si>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</si>
  <si>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</si>
  <si>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</si>
  <si>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</si>
  <si>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</si>
  <si>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</si>
  <si>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</si>
  <si>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</si>
  <si>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</si>
  <si>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</si>
  <si>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</si>
  <si>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</si>
  <si>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</si>
  <si>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</si>
  <si>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</si>
  <si>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</si>
  <si>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</si>
  <si>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</si>
  <si>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</si>
  <si>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</si>
  <si>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</si>
  <si>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</si>
  <si>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</si>
  <si>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</si>
  <si>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</si>
  <si>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</si>
  <si>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</si>
  <si>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</si>
  <si>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</si>
  <si>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</si>
  <si>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</si>
  <si>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</si>
  <si>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</si>
  <si>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</si>
  <si>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</si>
  <si>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</si>
  <si>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</si>
  <si>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</si>
  <si>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</si>
  <si>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</si>
  <si>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</si>
  <si>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</si>
  <si>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</si>
  <si>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</si>
  <si>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</si>
  <si>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</si>
  <si>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</si>
  <si>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</si>
  <si>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</si>
  <si>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</si>
  <si>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</si>
  <si>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</si>
  <si>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</si>
  <si>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</si>
  <si>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</si>
  <si>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</si>
  <si>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</si>
  <si>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</si>
  <si>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</si>
  <si>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</si>
  <si>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</si>
  <si>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</si>
  <si>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</si>
  <si>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</si>
  <si>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</si>
  <si>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</si>
  <si>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</si>
  <si>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</si>
  <si>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</si>
  <si>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</si>
  <si>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</si>
  <si>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</si>
  <si>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</si>
  <si>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</si>
  <si>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</si>
  <si>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</si>
  <si>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</si>
  <si>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</si>
  <si>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</si>
  <si>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</si>
  <si>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</si>
  <si>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</si>
  <si>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</si>
  <si>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</si>
  <si>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</si>
  <si>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</si>
  <si>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</si>
  <si>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</si>
  <si>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</si>
  <si>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</si>
  <si>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</si>
  <si>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</si>
  <si>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</si>
  <si>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</si>
  <si>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</si>
  <si>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</si>
  <si>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</si>
  <si>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</si>
  <si>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</si>
  <si>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</si>
  <si>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</si>
  <si>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</si>
  <si>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</si>
  <si>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</si>
  <si>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</si>
  <si>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</si>
  <si>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</si>
  <si>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</si>
  <si>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</si>
  <si>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</si>
  <si>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</si>
  <si>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</si>
  <si>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</si>
  <si>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</si>
  <si>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</si>
  <si>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</si>
  <si>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</si>
  <si>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</si>
  <si>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</si>
  <si>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</si>
  <si>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</si>
  <si>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</si>
  <si>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</si>
  <si>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</si>
  <si>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</si>
  <si>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</si>
  <si>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</si>
  <si>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</si>
  <si>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</si>
  <si>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</si>
  <si>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</si>
  <si>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</si>
  <si>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</si>
  <si>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</si>
  <si>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</si>
  <si>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</si>
  <si>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</si>
  <si>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</si>
  <si>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</si>
  <si>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</si>
  <si>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</si>
  <si>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</si>
  <si>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</si>
  <si>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</si>
  <si>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</si>
  <si>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</si>
  <si>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</si>
  <si>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</si>
  <si>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</si>
  <si>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</si>
  <si>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</si>
  <si>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</si>
  <si>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</si>
  <si>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</si>
  <si>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</si>
  <si>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</si>
  <si>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</si>
  <si>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</si>
  <si>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</si>
  <si>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</si>
  <si>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</si>
  <si>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</si>
  <si>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</si>
  <si>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</si>
  <si>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</si>
  <si>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</si>
  <si>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</si>
  <si>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</si>
  <si>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</si>
  <si>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</si>
  <si>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</si>
  <si>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</si>
  <si>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</si>
  <si>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</si>
  <si>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</si>
  <si>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</si>
  <si>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</si>
  <si>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</si>
  <si>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</si>
  <si>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</si>
  <si>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</si>
  <si>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</si>
  <si>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</si>
  <si>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</si>
  <si>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</si>
  <si>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</si>
  <si>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</si>
  <si>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</si>
  <si>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</si>
  <si>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</si>
  <si>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</si>
  <si>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</si>
  <si>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</si>
  <si>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</si>
  <si>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</si>
  <si>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</si>
  <si>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</si>
  <si>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</si>
  <si>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</si>
  <si>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</si>
  <si>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</si>
  <si>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</si>
  <si>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</si>
  <si>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</si>
  <si>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</si>
  <si>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</si>
  <si>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</si>
  <si>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</si>
  <si>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</si>
  <si>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</si>
  <si>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</si>
  <si>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</si>
  <si>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</si>
  <si>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</si>
  <si>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</si>
  <si>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</si>
  <si>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</si>
  <si>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</si>
  <si>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</si>
  <si>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</si>
  <si>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</si>
  <si>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</si>
  <si>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</si>
  <si>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</si>
  <si>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</si>
  <si>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</si>
  <si>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</si>
  <si>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</si>
  <si>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</si>
  <si>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</si>
  <si>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</si>
  <si>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</si>
  <si>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</si>
  <si>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</si>
  <si>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</si>
  <si>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</si>
  <si>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</si>
  <si>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</si>
  <si>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</si>
  <si>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</si>
  <si>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</si>
  <si>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</si>
  <si>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</si>
  <si>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</si>
  <si>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</si>
  <si>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</si>
  <si>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</si>
  <si>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</si>
  <si>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</si>
  <si>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</si>
  <si>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</si>
  <si>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</si>
  <si>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</si>
  <si>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</si>
  <si>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</si>
  <si>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</si>
  <si>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</si>
  <si>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</si>
  <si>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</si>
  <si>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</si>
  <si>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</si>
  <si>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</si>
  <si>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</si>
  <si>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</si>
  <si>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</si>
  <si>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</si>
  <si>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</si>
  <si>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</si>
  <si>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</si>
  <si>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</si>
  <si>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</si>
  <si>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</si>
  <si>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</si>
  <si>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</si>
  <si>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</si>
  <si>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</si>
  <si>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</si>
  <si>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</si>
  <si>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</si>
  <si>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</si>
  <si>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</si>
  <si>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</si>
  <si>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</si>
  <si>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</si>
  <si>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</si>
  <si>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</si>
  <si>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</si>
  <si>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</si>
  <si>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</si>
  <si>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</si>
  <si>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</si>
  <si>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</si>
  <si>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</si>
  <si>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</si>
  <si>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</si>
  <si>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</si>
  <si>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</si>
  <si>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</si>
  <si>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</si>
  <si>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</si>
  <si>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</si>
  <si>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</si>
  <si>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</si>
  <si>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</si>
  <si>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</si>
  <si>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</si>
  <si>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</si>
  <si>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</si>
  <si>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</si>
  <si>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</si>
  <si>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</si>
  <si>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</si>
  <si>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</si>
  <si>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</si>
  <si>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</si>
  <si>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</si>
  <si>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</si>
  <si>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</si>
  <si>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</si>
  <si>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</si>
  <si>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</si>
  <si>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</si>
  <si>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</si>
  <si>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</si>
  <si>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</si>
  <si>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</si>
  <si>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</si>
  <si>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</si>
  <si>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</si>
  <si>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</si>
  <si>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</si>
  <si>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</si>
  <si>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</si>
  <si>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</si>
  <si>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</si>
  <si>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</si>
  <si>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</si>
  <si>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</si>
  <si>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</si>
  <si>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</si>
  <si>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</si>
  <si>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</si>
  <si>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</si>
  <si>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</si>
  <si>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</si>
  <si>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</si>
  <si>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</si>
  <si>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</si>
  <si>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</si>
  <si>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</si>
  <si>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</si>
  <si>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</si>
  <si>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</si>
  <si>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</si>
  <si>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</si>
  <si>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</si>
  <si>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</si>
  <si>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</si>
  <si>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</si>
  <si>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</si>
  <si>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</si>
  <si>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</si>
  <si>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</si>
  <si>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</si>
  <si>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</si>
  <si>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</si>
  <si>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</si>
  <si>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</si>
  <si>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</si>
  <si>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</si>
  <si>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</si>
  <si>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</si>
  <si>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</si>
  <si>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</si>
  <si>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</si>
  <si>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</si>
  <si>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</si>
  <si>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</si>
  <si>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</si>
  <si>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</si>
  <si>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</si>
  <si>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</si>
  <si>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</si>
  <si>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</si>
  <si>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</si>
  <si>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</si>
  <si>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</si>
  <si>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</si>
  <si>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</si>
  <si>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</si>
  <si>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</si>
  <si>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</si>
  <si>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</si>
  <si>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</si>
  <si>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</si>
  <si>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</si>
  <si>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</si>
  <si>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</si>
  <si>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</si>
  <si>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</si>
  <si>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</si>
  <si>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</si>
  <si>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</si>
  <si>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</si>
  <si>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</si>
  <si>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</si>
  <si>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</si>
  <si>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</si>
  <si>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</si>
  <si>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</si>
  <si>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</si>
  <si>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</si>
  <si>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</si>
  <si>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</si>
  <si>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</si>
  <si>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</si>
  <si>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</si>
  <si>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</si>
  <si>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</si>
  <si>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</si>
  <si>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</si>
  <si>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</si>
  <si>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</si>
  <si>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</si>
  <si>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</si>
  <si>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</si>
  <si>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</si>
  <si>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</si>
  <si>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</si>
  <si>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</si>
  <si>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</si>
  <si>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</si>
  <si>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</si>
  <si>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</si>
  <si>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</si>
  <si>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</si>
  <si>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</si>
  <si>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</si>
  <si>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</si>
  <si>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</si>
  <si>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</si>
  <si>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</si>
  <si>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</si>
  <si>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</si>
  <si>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</si>
  <si>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</si>
  <si>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</si>
  <si>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</si>
  <si>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</si>
  <si>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</si>
  <si>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</si>
  <si>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</si>
  <si>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</si>
  <si>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</si>
  <si>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</si>
  <si>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</si>
  <si>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</si>
  <si>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</si>
  <si>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</si>
  <si>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</si>
  <si>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</si>
  <si>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</si>
  <si>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</si>
  <si>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</si>
  <si>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</si>
  <si>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</si>
  <si>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</si>
  <si>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</si>
  <si>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</si>
  <si>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</si>
  <si>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</si>
  <si>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</si>
  <si>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</si>
  <si>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</si>
  <si>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</si>
  <si>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</si>
  <si>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</si>
  <si>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</si>
  <si>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</si>
  <si>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</si>
  <si>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</si>
  <si>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</si>
  <si>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</si>
  <si>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</si>
  <si>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</si>
  <si>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</si>
  <si>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</si>
  <si>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</si>
  <si>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</si>
  <si>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</si>
  <si>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</si>
  <si>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</si>
  <si>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</si>
  <si>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</si>
  <si>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</si>
  <si>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</si>
  <si>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</si>
  <si>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</si>
  <si>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</si>
  <si>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</si>
  <si>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</si>
  <si>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</si>
  <si>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</si>
  <si>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</si>
  <si>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</si>
  <si>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</si>
  <si>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</si>
  <si>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</si>
  <si>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</si>
  <si>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</si>
  <si>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</si>
  <si>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</si>
  <si>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</si>
  <si>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</si>
  <si>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</si>
  <si>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</si>
  <si>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</si>
  <si>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</si>
  <si>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</si>
  <si>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</si>
  <si>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</si>
  <si>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</si>
  <si>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</si>
  <si>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</si>
  <si>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</si>
  <si>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</si>
  <si>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</si>
  <si>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</si>
  <si>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</si>
  <si>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</si>
  <si>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</si>
  <si>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</si>
  <si>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</si>
  <si>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</si>
  <si>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</si>
  <si>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</si>
  <si>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</si>
  <si>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</si>
  <si>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</si>
  <si>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</si>
  <si>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</si>
  <si>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</si>
  <si>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</si>
  <si>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</si>
  <si>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</si>
  <si>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</si>
  <si>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</si>
  <si>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</si>
  <si>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</si>
  <si>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</si>
  <si>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</si>
  <si>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</si>
  <si>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</si>
  <si>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</si>
  <si>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</si>
  <si>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</si>
  <si>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</si>
  <si>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</si>
  <si>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</si>
  <si>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</si>
  <si>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</si>
  <si>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</si>
  <si>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</si>
  <si>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</si>
  <si>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</si>
  <si>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</si>
  <si>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</si>
  <si>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</si>
  <si>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</si>
  <si>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</si>
  <si>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</si>
  <si>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</si>
  <si>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</si>
  <si>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</si>
  <si>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</si>
  <si>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</si>
  <si>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</si>
  <si>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</si>
  <si>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</si>
  <si>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</si>
  <si>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</si>
  <si>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</si>
  <si>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</si>
  <si>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</si>
  <si>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</si>
  <si>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</si>
  <si>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</si>
  <si>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</si>
  <si>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</si>
  <si>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</si>
  <si>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</si>
  <si>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</si>
  <si>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</si>
  <si>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</si>
  <si>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</si>
  <si>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</si>
  <si>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</si>
  <si>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</si>
  <si>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</si>
  <si>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</si>
  <si>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</si>
  <si>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</si>
  <si>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</si>
  <si>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</si>
  <si>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</si>
  <si>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</si>
  <si>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</si>
  <si>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</si>
  <si>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</si>
  <si>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</si>
  <si>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</si>
  <si>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</si>
  <si>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</si>
  <si>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</si>
  <si>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</si>
  <si>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</si>
  <si>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</si>
  <si>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</si>
  <si>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</si>
  <si>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</si>
  <si>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</si>
  <si>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</si>
  <si>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</si>
  <si>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</si>
  <si>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</si>
  <si>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</si>
  <si>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</si>
  <si>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</si>
  <si>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</si>
  <si>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</si>
  <si>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</si>
  <si>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</si>
  <si>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</si>
  <si>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</si>
  <si>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</si>
  <si>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</si>
  <si>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</si>
  <si>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</si>
  <si>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</si>
  <si>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</si>
  <si>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</si>
  <si>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</si>
  <si>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</si>
  <si>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</si>
  <si>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</si>
  <si>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</si>
  <si>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</si>
  <si>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</si>
  <si>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</si>
  <si>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</si>
  <si>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</si>
  <si>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</si>
  <si>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</si>
  <si>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</si>
  <si>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</si>
  <si>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</si>
  <si>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</si>
  <si>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</si>
  <si>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</si>
  <si>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</si>
  <si>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</si>
  <si>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</si>
  <si>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</si>
  <si>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</si>
  <si>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</si>
  <si>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</si>
  <si>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</si>
  <si>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</si>
  <si>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</si>
  <si>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</si>
  <si>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</si>
  <si>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</si>
  <si>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</si>
  <si>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</si>
  <si>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</si>
  <si>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</si>
  <si>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</si>
  <si>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</si>
  <si>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</si>
  <si>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</si>
  <si>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</si>
  <si>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</si>
  <si>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</si>
  <si>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</si>
  <si>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</si>
  <si>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</si>
  <si>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</si>
  <si>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</si>
  <si>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</si>
  <si>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</si>
  <si>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</si>
  <si>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</si>
  <si>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</si>
  <si>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</si>
  <si>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</si>
  <si>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</si>
  <si>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</si>
  <si>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</si>
  <si>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</si>
  <si>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</si>
  <si>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</si>
  <si>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</si>
  <si>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</si>
  <si>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</si>
  <si>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</si>
  <si>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</si>
  <si>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</si>
  <si>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</si>
  <si>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</si>
  <si>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</si>
  <si>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</si>
  <si>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</si>
  <si>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</si>
  <si>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</si>
  <si>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</si>
  <si>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</si>
  <si>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</si>
  <si>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</si>
  <si>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</si>
  <si>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</si>
  <si>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</si>
  <si>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</si>
  <si>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</si>
  <si>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</si>
  <si>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</si>
  <si>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</si>
  <si>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</si>
  <si>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</si>
  <si>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</si>
  <si>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</si>
  <si>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</si>
  <si>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</si>
  <si>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</si>
  <si>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</si>
  <si>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</si>
  <si>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</si>
  <si>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</si>
  <si>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</si>
  <si>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</si>
  <si>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</si>
  <si>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</si>
  <si>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</si>
  <si>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</si>
  <si>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</si>
  <si>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</si>
  <si>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</si>
  <si>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</si>
  <si>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</si>
  <si>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</si>
  <si>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</si>
  <si>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</si>
  <si>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</si>
  <si>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</si>
  <si>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</si>
  <si>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</si>
  <si>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</si>
  <si>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</si>
  <si>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</si>
  <si>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</si>
  <si>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</si>
  <si>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</si>
  <si>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</si>
  <si>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</si>
  <si>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</si>
  <si>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</si>
  <si>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</si>
  <si>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</si>
  <si>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</si>
  <si>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</si>
  <si>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</si>
  <si>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</si>
  <si>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</si>
  <si>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</si>
  <si>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</si>
  <si>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</si>
  <si>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</si>
  <si>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</si>
  <si>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</si>
  <si>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</si>
  <si>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</si>
  <si>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</si>
  <si>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</si>
  <si>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</si>
  <si>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</si>
  <si>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</si>
  <si>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</si>
  <si>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</si>
  <si>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</si>
  <si>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</si>
  <si>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</si>
  <si>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</si>
  <si>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</si>
  <si>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</si>
  <si>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</si>
  <si>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</si>
  <si>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</si>
  <si>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</si>
  <si>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</si>
  <si>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</si>
  <si>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</si>
  <si>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</si>
  <si>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</si>
  <si>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</si>
  <si>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</si>
  <si>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</si>
  <si>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</si>
  <si>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</si>
  <si>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</si>
  <si>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</si>
  <si>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</si>
  <si>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</si>
  <si>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</si>
  <si>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</si>
  <si>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</si>
  <si>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</si>
  <si>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</si>
  <si>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</si>
  <si>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</si>
  <si>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</si>
  <si>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</si>
  <si>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</si>
  <si>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</si>
  <si>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</si>
  <si>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</si>
  <si>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</si>
  <si>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</si>
  <si>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</si>
  <si>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</si>
  <si>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</si>
  <si>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</si>
  <si>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</si>
  <si>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</si>
  <si>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</si>
  <si>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</si>
  <si>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</si>
  <si>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</si>
  <si>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</si>
  <si>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</si>
  <si>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</si>
  <si>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</si>
  <si>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</si>
  <si>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</si>
  <si>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</si>
  <si>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</si>
  <si>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</si>
  <si>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</si>
  <si>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</si>
  <si>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</si>
  <si>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</si>
  <si>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</si>
  <si>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</si>
  <si>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</si>
  <si>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</si>
  <si>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</si>
  <si>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</si>
  <si>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</si>
  <si>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</si>
  <si>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</si>
  <si>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</si>
  <si>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</si>
  <si>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</si>
  <si>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</si>
  <si>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</si>
  <si>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</si>
  <si>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</si>
  <si>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</si>
  <si>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</si>
  <si>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</si>
  <si>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</si>
  <si>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</si>
  <si>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</si>
  <si>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</si>
  <si>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</si>
  <si>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</si>
  <si>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</si>
  <si>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</si>
  <si>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</si>
  <si>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</si>
  <si>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</si>
  <si>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</si>
  <si>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</si>
  <si>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</si>
  <si>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</si>
  <si>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</si>
  <si>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</si>
  <si>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</si>
  <si>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</si>
  <si>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</si>
  <si>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</si>
  <si>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</si>
  <si>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</si>
  <si>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</si>
  <si>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</si>
  <si>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</si>
  <si>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</si>
  <si>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</si>
  <si>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</si>
  <si>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</si>
  <si>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</si>
  <si>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</si>
  <si>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</si>
  <si>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</si>
  <si>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</si>
  <si>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</si>
  <si>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</si>
  <si>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</si>
  <si>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</si>
  <si>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</si>
  <si>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</si>
  <si>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</si>
  <si>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</si>
  <si>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</si>
  <si>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</si>
  <si>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</si>
  <si>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</si>
  <si>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</si>
  <si>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</si>
  <si>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</si>
  <si>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</si>
  <si>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</si>
  <si>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</si>
  <si>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</si>
  <si>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</si>
  <si>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</si>
  <si>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</si>
  <si>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</si>
  <si>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</si>
  <si>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</si>
  <si>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</si>
  <si>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</si>
  <si>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</si>
  <si>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</si>
  <si>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</si>
  <si>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</si>
  <si>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</si>
  <si>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</si>
  <si>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</si>
  <si>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</si>
  <si>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</si>
  <si>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</si>
  <si>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</si>
  <si>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</si>
  <si>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</si>
  <si>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</si>
  <si>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</si>
  <si>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</si>
  <si>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</si>
  <si>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</si>
  <si>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</si>
  <si>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</si>
  <si>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</si>
  <si>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</si>
  <si>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</si>
  <si>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</si>
  <si>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</si>
  <si>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</si>
  <si>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</si>
  <si>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</si>
  <si>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</si>
  <si>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</si>
  <si>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</si>
  <si>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</si>
  <si>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</si>
  <si>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</si>
  <si>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</si>
  <si>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</si>
  <si>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</si>
  <si>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</si>
  <si>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</si>
  <si>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</si>
  <si>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</si>
  <si>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</si>
  <si>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</si>
  <si>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</si>
  <si>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</si>
  <si>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</si>
  <si>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</si>
  <si>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</si>
  <si>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</si>
  <si>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</si>
  <si>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</si>
  <si>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</si>
  <si>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</si>
  <si>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</si>
  <si>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</si>
  <si>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</si>
  <si>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</si>
  <si>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</si>
  <si>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</si>
  <si>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</si>
  <si>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</si>
  <si>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</si>
  <si>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</si>
  <si>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</si>
  <si>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</si>
  <si>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</si>
  <si>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</si>
  <si>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</si>
  <si>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</si>
  <si>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</si>
  <si>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</si>
  <si>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</si>
  <si>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</si>
  <si>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</si>
  <si>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</si>
  <si>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</si>
  <si>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</si>
  <si>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</si>
  <si>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</si>
  <si>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</si>
  <si>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</si>
  <si>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</si>
  <si>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</si>
  <si>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</si>
  <si>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</si>
  <si>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</si>
  <si>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</si>
  <si>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</si>
  <si>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</si>
  <si>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</si>
  <si>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</si>
  <si>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</si>
  <si>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</si>
  <si>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</si>
  <si>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</si>
  <si>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</si>
  <si>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</si>
  <si>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</si>
  <si>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</si>
  <si>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</si>
  <si>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</si>
  <si>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</si>
  <si>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</si>
  <si>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</si>
  <si>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</si>
  <si>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</si>
  <si>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</si>
  <si>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</si>
  <si>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</si>
  <si>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</si>
  <si>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</si>
  <si>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</si>
  <si>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</si>
  <si>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</si>
  <si>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</si>
  <si>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</si>
  <si>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</si>
  <si>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</si>
  <si>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</si>
  <si>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</si>
  <si>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</si>
  <si>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</si>
  <si>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</si>
  <si>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</si>
  <si>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</si>
  <si>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</si>
  <si>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</si>
  <si>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</si>
  <si>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</si>
  <si>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</si>
  <si>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</si>
  <si>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</si>
  <si>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</si>
  <si>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</si>
  <si>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</si>
  <si>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</si>
  <si>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</si>
  <si>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</si>
  <si>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</si>
  <si>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</si>
  <si>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</si>
  <si>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</si>
  <si>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</si>
  <si>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</si>
  <si>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</si>
  <si>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</si>
  <si>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</si>
  <si>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</si>
  <si>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</si>
  <si>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</si>
  <si>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</si>
  <si>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</si>
  <si>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</si>
  <si>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</si>
  <si>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</si>
  <si>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</si>
  <si>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</si>
  <si>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</si>
  <si>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</si>
  <si>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</si>
  <si>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</si>
  <si>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</si>
  <si>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</si>
  <si>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</si>
  <si>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</si>
  <si>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</si>
  <si>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</si>
  <si>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</si>
  <si>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</si>
  <si>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</si>
  <si>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</si>
  <si>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</si>
  <si>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</si>
  <si>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</si>
  <si>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</si>
  <si>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</si>
  <si>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</si>
  <si>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</si>
  <si>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</si>
  <si>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</si>
  <si>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</si>
  <si>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</si>
  <si>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</si>
  <si>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</si>
  <si>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</si>
  <si>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</si>
  <si>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</si>
  <si>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</si>
  <si>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</si>
  <si>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</si>
  <si>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</si>
  <si>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</si>
  <si>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</si>
  <si>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</si>
  <si>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</si>
  <si>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</si>
  <si>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</si>
  <si>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</si>
  <si>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</si>
  <si>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</si>
  <si>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</si>
  <si>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</si>
  <si>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</si>
  <si>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</si>
  <si>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</si>
  <si>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</si>
  <si>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</si>
  <si>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</si>
  <si>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</si>
  <si>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</si>
  <si>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</si>
  <si>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</si>
  <si>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</si>
  <si>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</si>
  <si>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</si>
  <si>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</si>
  <si>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</si>
  <si>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</si>
  <si>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</si>
  <si>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</si>
  <si>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</si>
  <si>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</si>
  <si>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</si>
  <si>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</si>
  <si>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</si>
  <si>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</si>
  <si>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</si>
  <si>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</si>
  <si>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</si>
  <si>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</si>
  <si>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</si>
  <si>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</si>
  <si>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</si>
  <si>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</si>
  <si>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</si>
  <si>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</si>
  <si>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</si>
  <si>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</si>
  <si>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</si>
  <si>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</si>
  <si>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</si>
  <si>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</si>
  <si>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</si>
  <si>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</si>
  <si>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</si>
  <si>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</si>
  <si>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</si>
  <si>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</si>
  <si>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</si>
  <si>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</si>
  <si>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</si>
  <si>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</si>
  <si>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</si>
  <si>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</si>
  <si>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</si>
  <si>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</si>
  <si>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</si>
  <si>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</si>
  <si>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</si>
  <si>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</si>
  <si>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</si>
  <si>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</si>
  <si>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</si>
  <si>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</si>
  <si>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</si>
  <si>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</si>
  <si>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</si>
  <si>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</si>
  <si>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</si>
  <si>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</si>
  <si>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</si>
  <si>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</si>
  <si>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</si>
  <si>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</si>
  <si>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</si>
  <si>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</si>
  <si>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</si>
  <si>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</si>
  <si>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</si>
  <si>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</si>
  <si>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</si>
  <si>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</si>
  <si>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</si>
  <si>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</si>
  <si>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</si>
  <si>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</si>
  <si>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</si>
  <si>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</si>
  <si>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</si>
  <si>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</si>
  <si>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</si>
  <si>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</si>
  <si>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</si>
  <si>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</si>
  <si>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</si>
  <si>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</si>
  <si>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</si>
  <si>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</si>
  <si>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</si>
  <si>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</si>
  <si>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</si>
  <si>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</si>
  <si>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</si>
  <si>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</si>
  <si>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</si>
  <si>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</si>
  <si>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</si>
  <si>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</si>
  <si>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</si>
  <si>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</si>
  <si>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</si>
  <si>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</si>
  <si>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</si>
  <si>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</si>
  <si>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</si>
  <si>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</si>
  <si>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</si>
  <si>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</si>
  <si>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</si>
  <si>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</si>
  <si>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</si>
  <si>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</si>
  <si>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</si>
  <si>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</si>
  <si>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</si>
  <si>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</si>
  <si>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</si>
  <si>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</si>
  <si>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</si>
  <si>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</si>
  <si>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</si>
  <si>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</si>
  <si>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</si>
  <si>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</si>
  <si>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</si>
  <si>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</si>
  <si>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</si>
  <si>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</si>
  <si>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</si>
  <si>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</si>
  <si>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</si>
  <si>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</si>
  <si>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</si>
  <si>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</si>
  <si>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</si>
  <si>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</si>
  <si>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</si>
  <si>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</si>
  <si>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</si>
  <si>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</si>
  <si>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</si>
  <si>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</si>
  <si>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</si>
  <si>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</si>
  <si>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</si>
  <si>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</si>
  <si>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</si>
  <si>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</si>
  <si>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</si>
  <si>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</si>
  <si>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</si>
  <si>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</si>
  <si>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</si>
  <si>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</si>
  <si>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</si>
  <si>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</si>
  <si>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</si>
  <si>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</si>
  <si>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</si>
  <si>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</si>
  <si>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</si>
  <si>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</si>
  <si>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</si>
  <si>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</si>
  <si>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</si>
  <si>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</si>
  <si>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</si>
  <si>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</si>
  <si>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</si>
  <si>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</si>
  <si>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</si>
  <si>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</si>
  <si>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</si>
  <si>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</si>
  <si>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</si>
  <si>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</si>
  <si>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</si>
  <si>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</si>
  <si>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</si>
  <si>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</si>
  <si>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</si>
  <si>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</si>
  <si>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</si>
  <si>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</si>
  <si>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</si>
  <si>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</si>
  <si>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</si>
  <si>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</si>
  <si>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</si>
  <si>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</si>
  <si>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</si>
  <si>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</si>
  <si>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</si>
  <si>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</si>
  <si>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</si>
  <si>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</si>
  <si>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</si>
  <si>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</si>
  <si>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</si>
  <si>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</si>
  <si>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</si>
  <si>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</si>
  <si>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</si>
  <si>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</si>
  <si>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</si>
  <si>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</si>
  <si>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</si>
  <si>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</si>
  <si>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</si>
  <si>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</si>
  <si>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</si>
  <si>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</si>
  <si>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</si>
  <si>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</si>
  <si>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</si>
  <si>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</si>
  <si>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</si>
  <si>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</si>
  <si>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</si>
  <si>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</si>
  <si>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</si>
  <si>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</si>
  <si>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</si>
  <si>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</si>
  <si>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</si>
  <si>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</si>
  <si>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</si>
  <si>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</si>
  <si>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</si>
  <si>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</si>
  <si>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</si>
  <si>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</si>
  <si>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</si>
  <si>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</si>
  <si>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</si>
  <si>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</si>
  <si>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</si>
  <si>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</si>
  <si>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</si>
  <si>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</si>
  <si>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</si>
  <si>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</si>
  <si>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</si>
  <si>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</si>
  <si>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</si>
  <si>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</si>
  <si>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</si>
  <si>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</si>
  <si>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</si>
  <si>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</si>
  <si>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</si>
  <si>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</si>
  <si>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</si>
  <si>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</si>
  <si>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</si>
  <si>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</si>
  <si>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</si>
  <si>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</si>
  <si>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</si>
  <si>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</si>
  <si>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</si>
  <si>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</si>
  <si>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</si>
  <si>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</si>
  <si>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</si>
  <si>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</si>
  <si>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</si>
  <si>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</si>
  <si>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</si>
  <si>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</si>
  <si>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</si>
  <si>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</si>
  <si>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</si>
  <si>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</si>
  <si>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</si>
  <si>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</si>
  <si>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</si>
  <si>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</si>
  <si>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</si>
  <si>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</si>
  <si>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</si>
  <si>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</si>
  <si>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</si>
  <si>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</si>
  <si>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</si>
  <si>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</si>
  <si>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</si>
  <si>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</si>
  <si>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</si>
  <si>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</si>
  <si>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</si>
  <si>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</si>
  <si>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</si>
  <si>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</si>
  <si>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</si>
  <si>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</si>
  <si>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</si>
  <si>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</si>
  <si>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</si>
  <si>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</si>
  <si>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</si>
  <si>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</si>
  <si>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</si>
  <si>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</si>
  <si>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</si>
  <si>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</si>
  <si>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</si>
  <si>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</si>
  <si>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</si>
  <si>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</si>
  <si>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</si>
  <si>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</si>
  <si>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</si>
  <si>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</si>
  <si>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</si>
  <si>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</si>
  <si>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</si>
  <si>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</si>
  <si>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</si>
  <si>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</si>
  <si>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</si>
  <si>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</si>
  <si>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</si>
  <si>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</si>
  <si>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</si>
  <si>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</si>
  <si>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</si>
  <si>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</si>
  <si>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</si>
  <si>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</si>
  <si>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</si>
  <si>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</si>
  <si>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</si>
  <si>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</si>
  <si>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</si>
  <si>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</si>
  <si>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</si>
  <si>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</si>
  <si>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</si>
  <si>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</si>
  <si>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</si>
  <si>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</si>
  <si>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</si>
  <si>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</si>
  <si>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</si>
  <si>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</si>
  <si>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</si>
  <si>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</si>
  <si>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</si>
  <si>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</si>
  <si>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</si>
  <si>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</si>
  <si>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</si>
  <si>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</si>
  <si>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</si>
  <si>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</si>
  <si>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</si>
  <si>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</si>
  <si>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</si>
  <si>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</si>
  <si>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</si>
  <si>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</si>
  <si>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</si>
  <si>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</si>
  <si>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</si>
  <si>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</si>
  <si>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</si>
  <si>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</si>
  <si>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</si>
  <si>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</si>
  <si>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</si>
  <si>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</si>
  <si>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</si>
  <si>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</si>
  <si>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</si>
  <si>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</si>
  <si>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</si>
  <si>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</si>
  <si>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</si>
  <si>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</si>
  <si>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</si>
  <si>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</si>
  <si>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</si>
  <si>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</si>
  <si>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</si>
  <si>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</si>
  <si>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</si>
  <si>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</si>
  <si>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</si>
  <si>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</si>
  <si>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</si>
  <si>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</si>
  <si>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</si>
  <si>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</si>
  <si>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</si>
  <si>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</si>
  <si>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</si>
  <si>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</si>
  <si>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</si>
  <si>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</si>
  <si>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</si>
  <si>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</si>
  <si>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</si>
  <si>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</si>
  <si>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</si>
  <si>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</si>
  <si>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</si>
  <si>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</si>
  <si>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</si>
  <si>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</si>
  <si>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</si>
  <si>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</si>
  <si>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</si>
  <si>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</si>
  <si>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</si>
  <si>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</si>
  <si>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</si>
  <si>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</si>
  <si>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</si>
  <si>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</si>
  <si>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</si>
  <si>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</si>
  <si>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</si>
  <si>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</si>
  <si>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</si>
  <si>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</si>
  <si>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</si>
  <si>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</si>
  <si>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</si>
  <si>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</si>
  <si>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</si>
  <si>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</si>
  <si>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</si>
  <si>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</si>
  <si>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</si>
  <si>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</si>
  <si>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</si>
  <si>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</si>
  <si>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</si>
  <si>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</si>
  <si>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</si>
  <si>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</si>
  <si>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</si>
  <si>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</si>
  <si>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</si>
  <si>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</si>
  <si>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</si>
  <si>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</si>
  <si>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</si>
  <si>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</si>
  <si>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</si>
  <si>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</si>
  <si>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</si>
  <si>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</si>
  <si>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</si>
  <si>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</si>
  <si>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</si>
  <si>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</si>
  <si>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</si>
  <si>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</si>
  <si>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</si>
  <si>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</si>
  <si>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</si>
  <si>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</si>
  <si>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</si>
  <si>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</si>
  <si>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</si>
  <si>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</si>
  <si>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</si>
  <si>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</si>
  <si>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</si>
  <si>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</si>
  <si>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</si>
  <si>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</si>
  <si>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</si>
  <si>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</si>
  <si>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</si>
  <si>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</si>
  <si>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</si>
  <si>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</si>
  <si>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</si>
  <si>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</si>
  <si>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</si>
  <si>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</si>
  <si>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</si>
  <si>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</si>
  <si>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</si>
  <si>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</si>
  <si>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</si>
  <si>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</si>
  <si>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</si>
  <si>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</si>
  <si>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</si>
  <si>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</si>
  <si>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</si>
  <si>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</si>
  <si>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</si>
  <si>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</si>
  <si>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</si>
  <si>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</si>
  <si>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</si>
  <si>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</si>
  <si>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</si>
  <si>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</si>
  <si>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</si>
  <si>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</si>
  <si>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</si>
  <si>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</si>
  <si>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</si>
  <si>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</si>
  <si>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</si>
  <si>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</si>
  <si>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</si>
  <si>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</si>
  <si>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</si>
  <si>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</si>
  <si>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</si>
  <si>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</si>
  <si>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</si>
  <si>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</si>
  <si>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</si>
  <si>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</si>
  <si>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</si>
  <si>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</si>
  <si>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</si>
  <si>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</si>
  <si>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</si>
  <si>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</si>
  <si>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</si>
  <si>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</si>
  <si>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</si>
  <si>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</si>
  <si>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</si>
  <si>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</si>
  <si>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</si>
  <si>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</si>
  <si>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</si>
  <si>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</si>
  <si>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</si>
  <si>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</si>
  <si>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</si>
  <si>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</si>
  <si>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</si>
  <si>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</si>
  <si>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</si>
  <si>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</si>
  <si>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</si>
  <si>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</si>
  <si>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</si>
  <si>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</si>
  <si>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</si>
  <si>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</si>
  <si>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</si>
  <si>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</si>
  <si>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</si>
  <si>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</si>
  <si>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</si>
  <si>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</si>
  <si>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</si>
  <si>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</si>
  <si>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</si>
  <si>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</si>
  <si>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</si>
  <si>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</si>
  <si>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</si>
  <si>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</si>
  <si>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</si>
  <si>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</si>
  <si>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</si>
  <si>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</si>
  <si>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</si>
  <si>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</si>
  <si>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</si>
  <si>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</si>
  <si>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</si>
  <si>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</si>
  <si>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</si>
  <si>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</si>
  <si>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</si>
  <si>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</si>
  <si>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</si>
  <si>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</si>
  <si>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</si>
  <si>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</si>
  <si>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</si>
  <si>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</si>
  <si>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</si>
  <si>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</si>
  <si>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</si>
  <si>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</si>
  <si>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</si>
  <si>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</si>
  <si>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</si>
  <si>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</si>
  <si>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</si>
  <si>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</si>
  <si>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</si>
  <si>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</si>
  <si>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</si>
  <si>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</si>
  <si>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</si>
  <si>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</si>
  <si>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</si>
  <si>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</si>
  <si>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</si>
  <si>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</si>
  <si>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</si>
  <si>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</si>
  <si>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</si>
  <si>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</si>
  <si>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</si>
  <si>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</si>
  <si>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</si>
  <si>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</si>
  <si>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</si>
  <si>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</si>
  <si>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</si>
  <si>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</si>
  <si>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</si>
  <si>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</si>
  <si>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</si>
  <si>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</si>
  <si>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</si>
  <si>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</si>
  <si>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</si>
  <si>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</si>
  <si>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</si>
  <si>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</si>
  <si>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</si>
  <si>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</si>
  <si>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</si>
  <si>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</si>
  <si>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</si>
  <si>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</si>
  <si>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</si>
  <si>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</si>
  <si>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</si>
  <si>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</si>
  <si>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</si>
  <si>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</si>
  <si>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</si>
  <si>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</si>
  <si>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</si>
  <si>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</si>
  <si>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</si>
  <si>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</si>
  <si>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</si>
  <si>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</si>
  <si>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</si>
  <si>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</si>
  <si>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</si>
  <si>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</si>
  <si>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</si>
  <si>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</si>
  <si>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</si>
  <si>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</si>
  <si>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</si>
  <si>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</si>
  <si>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</si>
  <si>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</si>
  <si>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</si>
  <si>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</si>
  <si>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</si>
  <si>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</si>
  <si>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</si>
  <si>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</si>
  <si>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</si>
  <si>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</si>
  <si>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</si>
  <si>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</si>
  <si>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</si>
  <si>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</si>
  <si>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</si>
  <si>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</si>
  <si>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</si>
  <si>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</si>
  <si>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</si>
  <si>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</si>
  <si>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</si>
  <si>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</si>
  <si>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</si>
  <si>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</si>
  <si>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</si>
  <si>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</si>
  <si>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</si>
  <si>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</si>
  <si>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</si>
  <si>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</si>
  <si>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</si>
  <si>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</si>
  <si>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</si>
  <si>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</si>
  <si>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</si>
  <si>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</si>
  <si>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</si>
  <si>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</si>
  <si>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</si>
  <si>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</si>
  <si>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</si>
  <si>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</si>
  <si>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</si>
  <si>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</si>
  <si>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</si>
  <si>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</si>
  <si>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</si>
  <si>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</si>
  <si>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</si>
  <si>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</si>
  <si>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</si>
  <si>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</si>
  <si>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</si>
  <si>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</si>
  <si>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</si>
  <si>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</si>
  <si>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</si>
  <si>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</si>
  <si>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</si>
  <si>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</si>
  <si>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</si>
  <si>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</si>
  <si>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</si>
  <si>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</si>
  <si>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</si>
  <si>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</si>
  <si>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</si>
  <si>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</si>
  <si>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</si>
  <si>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</si>
  <si>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</si>
  <si>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</si>
  <si>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</si>
  <si>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</si>
  <si>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</si>
  <si>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</si>
  <si>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</si>
  <si>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</si>
  <si>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</si>
  <si>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</si>
  <si>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</si>
  <si>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</si>
  <si>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</si>
  <si>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</si>
  <si>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</si>
  <si>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</si>
  <si>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</si>
  <si>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</si>
  <si>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</si>
  <si>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</si>
  <si>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</si>
  <si>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</si>
  <si>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</si>
  <si>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</si>
  <si>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</si>
  <si>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</si>
  <si>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</si>
  <si>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</si>
  <si>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</si>
  <si>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</si>
  <si>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</si>
  <si>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</si>
  <si>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</si>
  <si>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</si>
  <si>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</si>
  <si>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</si>
  <si>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</si>
  <si>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</si>
  <si>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</si>
  <si>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</si>
  <si>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</si>
  <si>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</si>
  <si>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</si>
  <si>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</si>
  <si>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</si>
  <si>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</si>
  <si>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</si>
  <si>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</si>
  <si>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</si>
  <si>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</si>
  <si>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</si>
  <si>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</si>
  <si>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</si>
  <si>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</si>
  <si>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</si>
  <si>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</si>
  <si>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</si>
  <si>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</si>
  <si>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</si>
  <si>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</si>
  <si>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</si>
  <si>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</si>
  <si>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</si>
  <si>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</si>
  <si>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</si>
  <si>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</si>
  <si>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</si>
  <si>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</si>
  <si>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</si>
  <si>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</si>
  <si>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</si>
  <si>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</si>
  <si>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</si>
  <si>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</si>
  <si>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</si>
  <si>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</si>
  <si>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</si>
  <si>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</si>
  <si>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</si>
  <si>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</si>
  <si>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</si>
  <si>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</si>
  <si>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</si>
  <si>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</si>
  <si>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</si>
  <si>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</si>
  <si>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</si>
  <si>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</si>
  <si>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</si>
  <si>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</si>
  <si>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</si>
  <si>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</si>
  <si>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</si>
  <si>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</si>
  <si>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</si>
  <si>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</si>
  <si>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</si>
  <si>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</si>
  <si>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</si>
  <si>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</si>
  <si>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</si>
  <si>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</si>
  <si>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</si>
  <si>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</si>
  <si>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</si>
  <si>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</si>
  <si>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</si>
  <si>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</si>
  <si>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</si>
  <si>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</si>
  <si>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</si>
  <si>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</si>
  <si>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</si>
  <si>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</si>
  <si>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</si>
  <si>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</si>
  <si>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</si>
  <si>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</si>
  <si>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</si>
  <si>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</si>
  <si>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</si>
  <si>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</si>
  <si>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</si>
  <si>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</si>
  <si>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</si>
  <si>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</si>
  <si>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</si>
  <si>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</si>
  <si>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</si>
  <si>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</si>
  <si>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</si>
  <si>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</si>
  <si>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</si>
  <si>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</si>
  <si>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</si>
  <si>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</si>
  <si>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</si>
  <si>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</si>
  <si>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</si>
  <si>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</si>
  <si>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</si>
  <si>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</si>
  <si>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</si>
  <si>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</si>
  <si>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</si>
  <si>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</si>
  <si>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</si>
  <si>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</si>
  <si>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</si>
  <si>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</si>
  <si>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</si>
  <si>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</si>
  <si>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</si>
  <si>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</si>
  <si>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</si>
  <si>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</si>
  <si>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</si>
  <si>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</si>
  <si>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</si>
  <si>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</si>
  <si>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</si>
  <si>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</si>
  <si>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</si>
  <si>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</si>
  <si>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</si>
  <si>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</si>
  <si>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</si>
  <si>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</si>
  <si>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</si>
  <si>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</si>
  <si>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</si>
  <si>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</si>
  <si>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</si>
  <si>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</si>
  <si>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</si>
  <si>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</si>
  <si>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</si>
  <si>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</si>
  <si>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</si>
  <si>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</si>
  <si>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</si>
  <si>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</si>
  <si>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</si>
  <si>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</si>
  <si>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</si>
  <si>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</si>
  <si>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</si>
  <si>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</si>
  <si>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</si>
  <si>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</si>
  <si>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</si>
  <si>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</si>
  <si>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</si>
  <si>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</si>
  <si>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</si>
  <si>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</si>
  <si>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</si>
  <si>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</si>
  <si>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</si>
  <si>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</si>
  <si>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</si>
  <si>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</si>
  <si>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</si>
  <si>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</si>
  <si>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</si>
  <si>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</si>
  <si>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</si>
  <si>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</si>
  <si>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</si>
  <si>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</si>
  <si>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</si>
  <si>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</si>
  <si>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</si>
  <si>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</si>
  <si>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</si>
  <si>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</si>
  <si>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</si>
  <si>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</si>
  <si>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</si>
  <si>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</si>
  <si>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</si>
  <si>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</si>
  <si>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</si>
  <si>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</si>
  <si>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</si>
  <si>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</si>
  <si>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</si>
  <si>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</si>
  <si>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</si>
  <si>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</si>
  <si>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</si>
  <si>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</si>
  <si>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</si>
  <si>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</si>
  <si>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</si>
  <si>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</si>
  <si>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</si>
  <si>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</si>
  <si>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</si>
  <si>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</si>
  <si>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</si>
  <si>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</si>
  <si>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</si>
  <si>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</si>
  <si>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</si>
  <si>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</si>
  <si>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</si>
  <si>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</si>
  <si>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</si>
  <si>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</si>
  <si>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</si>
  <si>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</si>
  <si>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</si>
  <si>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</si>
  <si>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</si>
  <si>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</si>
  <si>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</si>
  <si>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</si>
  <si>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</si>
  <si>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</si>
  <si>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</si>
  <si>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</si>
  <si>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</si>
  <si>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</si>
  <si>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</si>
  <si>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</si>
  <si>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</si>
  <si>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</si>
  <si>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</si>
  <si>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</si>
  <si>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</si>
  <si>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</si>
  <si>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</si>
  <si>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</si>
  <si>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</si>
  <si>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</si>
  <si>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</si>
  <si>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</si>
  <si>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</si>
  <si>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</si>
  <si>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</si>
  <si>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</si>
  <si>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</si>
  <si>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</si>
  <si>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</si>
  <si>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</si>
  <si>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</si>
  <si>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</si>
  <si>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</si>
  <si>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</si>
  <si>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</si>
  <si>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</si>
  <si>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</si>
  <si>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</si>
  <si>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</si>
  <si>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</si>
  <si>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</si>
  <si>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</si>
  <si>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</si>
  <si>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</si>
  <si>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</si>
  <si>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</si>
  <si>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</si>
  <si>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</si>
  <si>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</si>
  <si>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</si>
  <si>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</si>
  <si>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</si>
  <si>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</si>
  <si>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</si>
  <si>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</si>
  <si>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</si>
  <si>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</si>
  <si>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</si>
  <si>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</si>
  <si>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</si>
  <si>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</si>
  <si>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</si>
  <si>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</si>
  <si>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</si>
  <si>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</si>
  <si>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</si>
  <si>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</si>
  <si>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</si>
  <si>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</si>
  <si>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</si>
  <si>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</si>
  <si>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</si>
  <si>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</si>
  <si>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</si>
  <si>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</si>
  <si>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</si>
  <si>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</si>
  <si>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</si>
  <si>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</si>
  <si>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</si>
  <si>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</si>
  <si>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</si>
  <si>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</si>
  <si>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</si>
  <si>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</si>
  <si>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</si>
  <si>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</si>
  <si>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</si>
  <si>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</si>
  <si>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</si>
  <si>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</si>
  <si>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</si>
  <si>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</si>
  <si>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</si>
  <si>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</si>
  <si>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</si>
  <si>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</si>
  <si>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</si>
  <si>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</si>
  <si>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</si>
  <si>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</si>
  <si>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</si>
  <si>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</si>
  <si>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</si>
  <si>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</si>
  <si>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</si>
  <si>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</si>
  <si>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</si>
  <si>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</si>
  <si>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</si>
  <si>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</si>
  <si>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</si>
  <si>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</si>
  <si>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</si>
  <si>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</si>
  <si>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</si>
  <si>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</si>
  <si>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</si>
  <si>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</si>
  <si>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</si>
  <si>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</si>
  <si>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</si>
  <si>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</si>
  <si>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</si>
  <si>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</si>
  <si>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</si>
  <si>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</si>
  <si>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</si>
  <si>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</si>
  <si>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</si>
  <si>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</si>
  <si>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</si>
  <si>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</si>
  <si>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</si>
  <si>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</si>
  <si>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</si>
  <si>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</si>
  <si>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</si>
  <si>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</si>
  <si>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</si>
  <si>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</si>
  <si>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</si>
  <si>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</si>
  <si>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</si>
  <si>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</si>
  <si>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</si>
  <si>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</si>
  <si>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</si>
  <si>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</si>
  <si>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</si>
  <si>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</si>
  <si>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</si>
  <si>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</si>
  <si>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</si>
  <si>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</si>
  <si>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</si>
  <si>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</si>
  <si>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</si>
  <si>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</si>
  <si>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</si>
  <si>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</si>
  <si>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</si>
  <si>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</si>
  <si>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</si>
  <si>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</si>
  <si>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</si>
  <si>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</si>
  <si>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</si>
  <si>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</si>
  <si>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</si>
  <si>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</si>
  <si>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</si>
  <si>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</si>
  <si>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</si>
  <si>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</si>
  <si>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</si>
  <si>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</si>
  <si>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</si>
  <si>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</si>
  <si>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</si>
  <si>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</si>
  <si>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</si>
  <si>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</si>
  <si>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</si>
  <si>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</si>
  <si>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</si>
  <si>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</si>
  <si>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</si>
  <si>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</si>
  <si>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</si>
  <si>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</si>
  <si>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</si>
  <si>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</si>
  <si>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</si>
  <si>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</si>
  <si>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</si>
  <si>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</si>
  <si>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</si>
  <si>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</si>
  <si>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</si>
  <si>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</si>
  <si>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</si>
  <si>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</si>
  <si>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</si>
  <si>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</si>
  <si>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</si>
  <si>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</si>
  <si>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</si>
  <si>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</si>
  <si>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</si>
  <si>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</si>
  <si>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</si>
  <si>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</si>
  <si>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</si>
  <si>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</si>
  <si>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</si>
  <si>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</si>
  <si>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</si>
  <si>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</si>
  <si>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</si>
  <si>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</si>
  <si>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</si>
  <si>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</si>
  <si>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</si>
  <si>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</si>
  <si>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</si>
  <si>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</si>
  <si>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</si>
  <si>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</si>
  <si>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</si>
  <si>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</si>
  <si>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</si>
  <si>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</si>
  <si>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</si>
  <si>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</si>
  <si>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</si>
  <si>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</si>
  <si>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</si>
  <si>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</si>
  <si>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</si>
  <si>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</si>
  <si>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</si>
  <si>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</si>
  <si>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</si>
  <si>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</si>
  <si>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</si>
  <si>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</si>
  <si>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</si>
  <si>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</si>
  <si>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</si>
  <si>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</si>
  <si>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</si>
  <si>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</si>
  <si>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</si>
  <si>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</si>
  <si>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</si>
  <si>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</si>
  <si>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</si>
  <si>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</si>
  <si>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</si>
  <si>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</si>
  <si>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</si>
  <si>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</si>
  <si>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</si>
  <si>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</si>
  <si>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</si>
  <si>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</si>
  <si>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</si>
  <si>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</si>
  <si>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</si>
  <si>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</si>
  <si>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</si>
  <si>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</si>
  <si>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</si>
  <si>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</si>
  <si>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</si>
  <si>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</si>
  <si>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</si>
  <si>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</si>
  <si>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</si>
  <si>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</si>
  <si>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</si>
  <si>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</si>
  <si>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</si>
  <si>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</si>
  <si>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</si>
  <si>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</si>
  <si>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</si>
  <si>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</si>
  <si>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</si>
  <si>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</si>
  <si>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</si>
  <si>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</si>
  <si>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</si>
  <si>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</si>
  <si>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</si>
  <si>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</si>
  <si>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</si>
  <si>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</si>
  <si>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</si>
  <si>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</si>
  <si>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</si>
  <si>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</si>
  <si>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</si>
  <si>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</si>
  <si>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</si>
  <si>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</si>
  <si>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</si>
  <si>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</si>
  <si>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</si>
  <si>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</si>
  <si>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</si>
  <si>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</si>
  <si>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</si>
  <si>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</si>
  <si>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</si>
  <si>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</si>
  <si>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</si>
  <si>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</si>
  <si>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</si>
  <si>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</si>
  <si>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</si>
  <si>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</si>
  <si>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</si>
  <si>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</si>
  <si>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</si>
  <si>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</si>
  <si>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</si>
  <si>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</si>
  <si>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</si>
  <si>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</si>
  <si>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</si>
  <si>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</si>
  <si>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</si>
  <si>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</si>
  <si>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</si>
  <si>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</si>
  <si>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</si>
  <si>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</si>
  <si>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</si>
  <si>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</si>
  <si>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</si>
  <si>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</si>
  <si>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</si>
  <si>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</si>
  <si>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</si>
  <si>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</si>
  <si>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</si>
  <si>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</si>
  <si>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</si>
  <si>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</si>
  <si>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</si>
  <si>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</si>
  <si>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</si>
  <si>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</si>
  <si>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</si>
  <si>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</si>
  <si>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</si>
  <si>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</si>
  <si>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</si>
  <si>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</si>
  <si>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</si>
  <si>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</si>
  <si>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</si>
  <si>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</si>
  <si>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</si>
  <si>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</si>
  <si>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</si>
  <si>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</si>
  <si>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</si>
  <si>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</si>
  <si>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</si>
  <si>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</si>
  <si>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</si>
  <si>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</si>
  <si>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</si>
  <si>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</si>
  <si>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</si>
  <si>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</si>
  <si>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</si>
  <si>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</si>
  <si>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</si>
  <si>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</si>
  <si>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</si>
  <si>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</si>
  <si>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</si>
  <si>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</si>
  <si>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</si>
  <si>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</si>
  <si>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</si>
  <si>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</si>
  <si>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</si>
  <si>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</si>
  <si>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</si>
  <si>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</si>
  <si>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</si>
  <si>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</si>
  <si>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</si>
  <si>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</si>
  <si>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</si>
  <si>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</si>
  <si>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</si>
  <si>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</si>
  <si>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</si>
  <si>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</si>
  <si>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</si>
  <si>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</si>
  <si>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</si>
  <si>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</si>
  <si>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</si>
  <si>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</si>
  <si>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</si>
  <si>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</si>
  <si>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</si>
  <si>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</si>
  <si>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</si>
  <si>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</si>
  <si>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</si>
  <si>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</si>
  <si>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</si>
  <si>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</si>
  <si>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</si>
  <si>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</si>
  <si>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</si>
  <si>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</si>
  <si>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</si>
  <si>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</si>
  <si>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</si>
  <si>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</si>
  <si>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</si>
  <si>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</si>
  <si>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</si>
  <si>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</si>
  <si>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</si>
  <si>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</si>
  <si>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</si>
  <si>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</si>
  <si>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</si>
  <si>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</si>
  <si>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</si>
  <si>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</si>
  <si>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</si>
  <si>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</si>
  <si>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</si>
  <si>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</si>
  <si>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</si>
  <si>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</si>
  <si>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</si>
  <si>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</si>
  <si>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</si>
  <si>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</si>
  <si>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</si>
  <si>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</si>
  <si>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</si>
  <si>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</si>
  <si>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</si>
  <si>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</si>
  <si>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</si>
  <si>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</si>
  <si>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</si>
  <si>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</si>
  <si>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</si>
  <si>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</si>
  <si>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</si>
  <si>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</si>
  <si>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</si>
  <si>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</si>
  <si>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</si>
  <si>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</si>
  <si>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</si>
  <si>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</si>
  <si>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</si>
  <si>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</si>
  <si>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</si>
  <si>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</si>
  <si>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</si>
  <si>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</si>
  <si>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</si>
  <si>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</si>
  <si>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</si>
  <si>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</si>
  <si>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</si>
  <si>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</si>
  <si>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</si>
  <si>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</si>
  <si>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</si>
  <si>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</si>
  <si>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</si>
  <si>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</si>
  <si>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</si>
  <si>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</si>
  <si>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</si>
  <si>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</si>
  <si>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</si>
  <si>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</si>
  <si>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</si>
  <si>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</si>
  <si>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</si>
  <si>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</si>
  <si>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</si>
  <si>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</si>
  <si>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</si>
  <si>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</si>
  <si>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</si>
  <si>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</si>
  <si>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</si>
  <si>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</si>
  <si>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</si>
  <si>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</si>
  <si>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</si>
  <si>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</si>
  <si>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</si>
  <si>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</si>
  <si>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</si>
  <si>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</si>
  <si>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</si>
  <si>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</si>
  <si>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</si>
  <si>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</si>
  <si>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</si>
  <si>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</si>
  <si>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</si>
  <si>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</si>
  <si>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</si>
  <si>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</si>
  <si>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</si>
  <si>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</si>
  <si>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</si>
  <si>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</si>
  <si>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</si>
  <si>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</si>
  <si>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</si>
  <si>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</si>
  <si>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</si>
  <si>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</si>
  <si>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</si>
  <si>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</si>
  <si>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</si>
  <si>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</si>
  <si>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</si>
  <si>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</si>
  <si>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</si>
  <si>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</si>
  <si>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</si>
  <si>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</si>
  <si>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</si>
  <si>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</si>
  <si>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</si>
  <si>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</si>
  <si>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</si>
  <si>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</si>
  <si>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</si>
  <si>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</si>
  <si>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</si>
  <si>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</si>
  <si>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</si>
  <si>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</si>
  <si>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</si>
  <si>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</si>
  <si>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</si>
  <si>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</si>
  <si>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</si>
  <si>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</si>
  <si>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</si>
  <si>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</si>
  <si>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</si>
  <si>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</si>
  <si>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</si>
  <si>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</si>
  <si>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</si>
  <si>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</si>
  <si>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</si>
  <si>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</si>
  <si>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</si>
  <si>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</si>
  <si>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</si>
  <si>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</si>
  <si>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</si>
  <si>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</si>
  <si>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</si>
  <si>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</si>
  <si>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</si>
  <si>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</si>
  <si>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</si>
  <si>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</si>
  <si>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</si>
  <si>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</si>
  <si>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</si>
  <si>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</si>
  <si>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</si>
  <si>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</si>
  <si>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</si>
  <si>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</si>
  <si>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</si>
  <si>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</si>
  <si>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</si>
  <si>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</si>
  <si>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</si>
  <si>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</si>
  <si>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</si>
  <si>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</si>
  <si>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</si>
  <si>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</si>
  <si>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</si>
  <si>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</si>
  <si>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</si>
  <si>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</si>
  <si>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</si>
  <si>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</si>
  <si>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</si>
  <si>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</si>
  <si>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</si>
  <si>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</si>
  <si>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</si>
  <si>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</si>
  <si>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</si>
  <si>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</si>
  <si>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</si>
  <si>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</si>
  <si>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</si>
  <si>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</si>
  <si>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</si>
  <si>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</si>
  <si>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</si>
  <si>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</si>
  <si>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</si>
  <si>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</si>
  <si>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</si>
  <si>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</si>
  <si>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</si>
  <si>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</si>
  <si>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</si>
  <si>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</si>
  <si>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</si>
  <si>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</si>
  <si>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</si>
  <si>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</si>
  <si>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</si>
  <si>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</si>
  <si>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</si>
  <si>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</si>
  <si>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</si>
  <si>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</si>
  <si>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</si>
  <si>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</si>
  <si>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</si>
  <si>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</si>
  <si>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</si>
  <si>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</si>
  <si>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</si>
  <si>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</si>
  <si>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</si>
  <si>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</si>
  <si>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</si>
  <si>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</si>
  <si>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</si>
  <si>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</si>
  <si>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</si>
  <si>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</si>
  <si>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</si>
  <si>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</si>
  <si>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</si>
  <si>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</si>
  <si>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</si>
  <si>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</si>
  <si>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</si>
  <si>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</si>
  <si>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</si>
  <si>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</si>
  <si>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</si>
  <si>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</si>
  <si>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</si>
  <si>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</si>
  <si>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</si>
  <si>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</si>
  <si>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</si>
  <si>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</si>
  <si>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</si>
  <si>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</si>
  <si>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</si>
  <si>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</si>
  <si>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</si>
  <si>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</si>
  <si>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</si>
  <si>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</si>
  <si>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</si>
  <si>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</si>
  <si>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</si>
  <si>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</si>
  <si>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</si>
  <si>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</si>
  <si>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</si>
  <si>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</si>
  <si>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</si>
  <si>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</si>
  <si>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</si>
  <si>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</si>
  <si>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</si>
  <si>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</si>
  <si>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</si>
  <si>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</si>
  <si>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</si>
  <si>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</si>
  <si>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</si>
  <si>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</si>
  <si>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</si>
  <si>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</si>
  <si>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</si>
  <si>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</si>
  <si>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</si>
  <si>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</si>
  <si>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</si>
  <si>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</si>
  <si>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</si>
  <si>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</si>
  <si>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</si>
  <si>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</si>
  <si>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</si>
  <si>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</si>
  <si>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</si>
  <si>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</si>
  <si>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</si>
  <si>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</si>
  <si>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</si>
  <si>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</si>
  <si>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</si>
  <si>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</si>
  <si>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</si>
  <si>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</si>
  <si>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</si>
  <si>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</si>
  <si>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</si>
  <si>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</si>
  <si>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</si>
  <si>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</si>
  <si>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</si>
  <si>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</si>
  <si>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</si>
  <si>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</si>
  <si>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</si>
  <si>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</si>
  <si>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</si>
  <si>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</si>
  <si>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</si>
  <si>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</si>
  <si>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</si>
  <si>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</si>
  <si>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</si>
  <si>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</si>
  <si>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</si>
  <si>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</si>
  <si>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</si>
  <si>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</si>
  <si>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</si>
  <si>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</si>
  <si>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</si>
  <si>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</si>
  <si>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</si>
  <si>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</si>
  <si>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</si>
  <si>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</si>
  <si>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</si>
  <si>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</si>
  <si>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</si>
  <si>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</si>
  <si>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</si>
  <si>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</si>
  <si>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</si>
  <si>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</si>
  <si>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</si>
  <si>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</si>
  <si>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</si>
  <si>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</si>
  <si>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</si>
  <si>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</si>
  <si>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</si>
  <si>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</si>
  <si>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</si>
  <si>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</si>
  <si>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</si>
  <si>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</si>
  <si>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</si>
  <si>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</si>
  <si>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</si>
  <si>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</si>
  <si>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</si>
  <si>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</si>
  <si>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</si>
  <si>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</si>
  <si>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</si>
  <si>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</si>
  <si>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</si>
  <si>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</si>
  <si>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</si>
  <si>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</si>
  <si>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</si>
  <si>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</si>
  <si>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</si>
  <si>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</si>
  <si>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</si>
  <si>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</si>
  <si>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</si>
  <si>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</si>
  <si>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</si>
  <si>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</si>
  <si>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</si>
  <si>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</si>
  <si>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</si>
  <si>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</si>
  <si>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</si>
  <si>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</si>
  <si>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</si>
  <si>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</si>
  <si>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</si>
  <si>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</si>
  <si>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</si>
  <si>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</si>
  <si>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</si>
  <si>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</si>
  <si>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</si>
  <si>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</si>
  <si>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</si>
  <si>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</si>
  <si>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</si>
  <si>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</si>
  <si>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</si>
  <si>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</si>
  <si>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</si>
  <si>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</si>
  <si>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</si>
  <si>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</si>
  <si>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</si>
  <si>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</si>
  <si>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</si>
  <si>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</si>
  <si>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</si>
  <si>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</si>
  <si>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</si>
  <si>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</si>
  <si>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</si>
  <si>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</si>
  <si>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</si>
  <si>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</si>
  <si>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</si>
  <si>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</si>
  <si>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</si>
  <si>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</si>
  <si>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</si>
  <si>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</si>
  <si>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</si>
  <si>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</si>
  <si>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</si>
  <si>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</si>
  <si>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</si>
  <si>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</si>
  <si>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</si>
  <si>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</si>
  <si>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</si>
  <si>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</si>
  <si>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</si>
  <si>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</si>
  <si>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</si>
  <si>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</si>
  <si>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</si>
  <si>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</si>
  <si>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</si>
  <si>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</si>
  <si>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</si>
  <si>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</si>
  <si>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</si>
  <si>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</si>
  <si>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</si>
  <si>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</si>
  <si>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</si>
  <si>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</si>
  <si>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</si>
  <si>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</si>
  <si>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</si>
  <si>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</si>
  <si>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</si>
  <si>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</si>
  <si>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</si>
  <si>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</si>
  <si>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</si>
  <si>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</si>
  <si>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</si>
  <si>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</si>
  <si>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</si>
  <si>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</si>
  <si>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</si>
  <si>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</si>
  <si>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</si>
  <si>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</si>
  <si>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</si>
  <si>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</si>
  <si>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</si>
  <si>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</si>
  <si>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</si>
  <si>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</si>
  <si>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</si>
  <si>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</si>
  <si>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</si>
  <si>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</si>
  <si>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</si>
  <si>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</si>
  <si>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</si>
  <si>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</si>
  <si>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</si>
  <si>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</si>
  <si>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</si>
  <si>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</si>
  <si>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</si>
  <si>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</si>
  <si>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</si>
  <si>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</si>
  <si>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</si>
  <si>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</si>
  <si>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</si>
  <si>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</si>
  <si>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</si>
  <si>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</si>
  <si>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</si>
  <si>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</si>
  <si>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</si>
  <si>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</si>
  <si>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</si>
  <si>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</si>
  <si>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</si>
  <si>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</si>
  <si>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</si>
  <si>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</si>
  <si>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</si>
  <si>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</si>
  <si>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</si>
  <si>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</si>
  <si>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</si>
  <si>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</si>
  <si>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</si>
  <si>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</si>
  <si>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</si>
  <si>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</si>
  <si>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</si>
  <si>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</si>
  <si>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</si>
  <si>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</si>
  <si>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</si>
  <si>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</si>
  <si>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</si>
  <si>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</si>
  <si>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</si>
  <si>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</si>
  <si>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</si>
  <si>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</si>
  <si>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</si>
  <si>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</si>
  <si>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</si>
  <si>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</si>
  <si>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</si>
  <si>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</si>
  <si>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</si>
  <si>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</si>
  <si>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</si>
  <si>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</si>
  <si>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</si>
  <si>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</si>
  <si>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</si>
  <si>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</si>
  <si>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</si>
  <si>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</si>
  <si>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</si>
  <si>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</si>
  <si>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</si>
  <si>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</si>
  <si>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</si>
  <si>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</si>
  <si>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</si>
  <si>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</si>
  <si>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</si>
  <si>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</si>
  <si>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</si>
  <si>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</si>
  <si>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</si>
  <si>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</si>
  <si>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</si>
  <si>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</si>
  <si>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</si>
  <si>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</si>
  <si>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</si>
  <si>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</si>
  <si>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</si>
  <si>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</si>
  <si>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</si>
  <si>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</si>
  <si>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</si>
  <si>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</si>
  <si>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</si>
  <si>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</si>
  <si>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</si>
  <si>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</si>
  <si>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</si>
  <si>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</si>
  <si>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</si>
  <si>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</si>
  <si>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</si>
  <si>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</si>
  <si>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</si>
  <si>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</si>
  <si>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</si>
  <si>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</si>
  <si>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</si>
  <si>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</si>
  <si>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</si>
  <si>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</si>
  <si>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</si>
  <si>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</si>
  <si>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</si>
  <si>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</si>
  <si>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</si>
  <si>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</si>
  <si>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</si>
  <si>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</si>
  <si>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</si>
  <si>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</si>
  <si>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</si>
  <si>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</si>
  <si>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</si>
  <si>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</si>
  <si>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</si>
  <si>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</si>
  <si>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</si>
  <si>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</si>
  <si>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</si>
  <si>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</si>
  <si>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</si>
  <si>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</si>
  <si>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</si>
  <si>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</si>
  <si>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</si>
  <si>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</si>
  <si>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</si>
  <si>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</si>
  <si>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</si>
  <si>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</si>
  <si>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</si>
  <si>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</si>
  <si>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</si>
  <si>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</si>
  <si>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</si>
  <si>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</si>
  <si>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</si>
  <si>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</si>
  <si>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</si>
  <si>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</si>
  <si>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</si>
  <si>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</si>
  <si>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</si>
  <si>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</si>
  <si>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</si>
  <si>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</si>
  <si>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</si>
  <si>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</si>
  <si>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</si>
  <si>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</si>
  <si>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</si>
  <si>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</si>
  <si>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</si>
  <si>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</si>
  <si>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</si>
  <si>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</si>
  <si>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</si>
  <si>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</si>
  <si>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</si>
  <si>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</si>
  <si>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</si>
  <si>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</si>
  <si>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</si>
  <si>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</si>
  <si>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</si>
  <si>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</si>
  <si>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</si>
  <si>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</si>
  <si>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</si>
  <si>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</si>
  <si>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</si>
  <si>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</si>
  <si>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</si>
  <si>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</si>
  <si>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</si>
  <si>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</si>
  <si>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</si>
  <si>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</si>
  <si>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</si>
  <si>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</si>
  <si>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</si>
  <si>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</si>
  <si>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</si>
  <si>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</si>
  <si>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</si>
  <si>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</si>
  <si>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</si>
  <si>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</si>
  <si>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</si>
  <si>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</si>
  <si>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</si>
  <si>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</si>
  <si>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</si>
  <si>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</si>
  <si>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</si>
  <si>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</si>
  <si>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</si>
  <si>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</si>
  <si>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</si>
  <si>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</si>
  <si>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</si>
  <si>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</si>
  <si>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</si>
  <si>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</si>
  <si>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</si>
  <si>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</si>
  <si>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</si>
  <si>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</si>
  <si>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</si>
  <si>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</si>
  <si>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</si>
  <si>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</si>
  <si>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</si>
  <si>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</si>
  <si>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</si>
  <si>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</si>
  <si>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</si>
  <si>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</si>
  <si>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</si>
  <si>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</si>
  <si>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</si>
  <si>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</si>
  <si>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</si>
  <si>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</si>
  <si>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</si>
  <si>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</si>
  <si>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</si>
  <si>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</si>
  <si>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</si>
  <si>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</si>
  <si>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</si>
  <si>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</si>
  <si>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</si>
  <si>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</si>
  <si>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</si>
  <si>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</si>
  <si>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</si>
  <si>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</si>
  <si>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</si>
  <si>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</si>
  <si>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</si>
  <si>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</si>
  <si>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</si>
  <si>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</si>
  <si>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</si>
  <si>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</si>
  <si>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</si>
  <si>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</si>
  <si>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</si>
  <si>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</si>
  <si>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</si>
  <si>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</si>
  <si>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</si>
  <si>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</si>
  <si>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</si>
  <si>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</si>
  <si>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</si>
  <si>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</si>
  <si>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</si>
  <si>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</si>
  <si>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</si>
  <si>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</si>
  <si>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</si>
  <si>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</si>
  <si>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</si>
  <si>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</si>
  <si>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</si>
  <si>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</si>
  <si>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</si>
  <si>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</si>
  <si>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</si>
  <si>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</si>
  <si>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</si>
  <si>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</si>
  <si>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</si>
  <si>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</si>
  <si>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</si>
  <si>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</si>
  <si>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</si>
  <si>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</si>
  <si>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</si>
  <si>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</si>
  <si>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</si>
  <si>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</si>
  <si>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</si>
  <si>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</si>
  <si>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</si>
  <si>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</si>
  <si>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</si>
  <si>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</si>
  <si>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</si>
  <si>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</si>
  <si>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</si>
  <si>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</si>
  <si>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</si>
  <si>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</si>
  <si>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</si>
  <si>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</si>
  <si>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</si>
  <si>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</si>
  <si>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</si>
  <si>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</si>
  <si>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</si>
  <si>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</si>
  <si>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</si>
  <si>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</si>
  <si>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</si>
  <si>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</si>
  <si>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</si>
  <si>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</si>
  <si>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</si>
  <si>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</si>
  <si>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</si>
  <si>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</si>
  <si>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</si>
  <si>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</si>
  <si>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</si>
  <si>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</si>
  <si>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</si>
  <si>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</si>
  <si>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</si>
  <si>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</si>
  <si>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</si>
  <si>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</si>
  <si>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</si>
  <si>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</si>
  <si>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</si>
  <si>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</si>
  <si>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</si>
  <si>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</si>
  <si>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</si>
  <si>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</si>
  <si>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</si>
  <si>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</si>
  <si>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</si>
  <si>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</si>
  <si>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</si>
  <si>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</si>
  <si>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</si>
  <si>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</si>
  <si>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</si>
  <si>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</si>
  <si>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</si>
  <si>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</si>
  <si>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</si>
  <si>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</si>
  <si>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</si>
  <si>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</si>
  <si>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</si>
  <si>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</si>
  <si>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</si>
  <si>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</si>
  <si>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</si>
  <si>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</si>
  <si>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</si>
  <si>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</si>
  <si>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</si>
  <si>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</si>
  <si>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</si>
  <si>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</si>
  <si>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</si>
  <si>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</si>
  <si>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</si>
  <si>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</si>
  <si>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</si>
  <si>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</si>
  <si>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</si>
  <si>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</si>
  <si>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</si>
  <si>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</si>
  <si>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</si>
  <si>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</si>
  <si>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</si>
  <si>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</si>
  <si>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</si>
  <si>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</si>
  <si>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</si>
  <si>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</si>
  <si>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</si>
  <si>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</si>
  <si>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</si>
  <si>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</si>
  <si>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</si>
  <si>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</si>
  <si>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</si>
  <si>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</si>
  <si>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</si>
  <si>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</si>
  <si>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</si>
  <si>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</si>
  <si>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</si>
  <si>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</si>
  <si>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</si>
  <si>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</si>
  <si>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</si>
  <si>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</si>
  <si>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</si>
  <si>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</si>
  <si>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</si>
  <si>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</si>
  <si>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</si>
  <si>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</si>
  <si>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</si>
  <si>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</si>
  <si>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</si>
  <si>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</si>
  <si>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</si>
  <si>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</si>
  <si>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</si>
  <si>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</si>
  <si>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</si>
  <si>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</si>
  <si>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</si>
  <si>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</si>
  <si>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</si>
  <si>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</si>
  <si>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</si>
  <si>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</si>
  <si>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</si>
  <si>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</si>
  <si>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</si>
  <si>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</si>
  <si>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</si>
  <si>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</si>
  <si>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</si>
  <si>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</si>
  <si>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</si>
  <si>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</si>
  <si>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</si>
  <si>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</si>
  <si>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</si>
  <si>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</si>
  <si>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</si>
  <si>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</si>
  <si>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</si>
  <si>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</si>
  <si>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</si>
  <si>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</si>
  <si>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</si>
  <si>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</si>
  <si>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</si>
  <si>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</si>
  <si>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</si>
  <si>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</si>
  <si>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</si>
  <si>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</si>
  <si>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</si>
  <si>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</si>
  <si>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</si>
  <si>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</si>
  <si>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</si>
  <si>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</si>
  <si>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</si>
  <si>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</si>
  <si>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</si>
  <si>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</si>
  <si>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</si>
  <si>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</si>
  <si>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</si>
  <si>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</si>
  <si>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</si>
  <si>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</si>
  <si>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</si>
  <si>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</si>
  <si>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</si>
  <si>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</si>
  <si>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</si>
  <si>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</si>
  <si>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</si>
  <si>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</si>
  <si>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</si>
  <si>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</si>
  <si>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</si>
  <si>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</si>
  <si>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</si>
  <si>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</si>
  <si>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</si>
  <si>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</si>
  <si>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</si>
  <si>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</si>
  <si>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</si>
  <si>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</si>
  <si>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</si>
  <si>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</si>
  <si>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</si>
  <si>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</si>
  <si>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</si>
  <si>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</si>
  <si>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</si>
  <si>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</si>
  <si>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</si>
  <si>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</si>
  <si>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</si>
  <si>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</si>
  <si>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</si>
  <si>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</si>
  <si>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</si>
  <si>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</si>
  <si>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</si>
  <si>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</si>
  <si>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</si>
  <si>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</si>
  <si>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</si>
  <si>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</si>
  <si>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</si>
  <si>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</si>
  <si>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</si>
  <si>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</si>
  <si>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</si>
  <si>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</si>
  <si>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</si>
  <si>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</si>
  <si>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</si>
  <si>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</si>
  <si>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</si>
  <si>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</si>
  <si>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</si>
  <si>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</si>
  <si>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</si>
  <si>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</si>
  <si>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</si>
  <si>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</si>
  <si>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</si>
  <si>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</si>
  <si>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</si>
  <si>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</si>
  <si>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</si>
  <si>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</si>
  <si>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</si>
  <si>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</si>
  <si>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</si>
  <si>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</si>
  <si>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</si>
  <si>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</si>
  <si>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</si>
  <si>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</si>
  <si>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</si>
  <si>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</si>
  <si>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</si>
  <si>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</si>
  <si>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</si>
  <si>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</si>
  <si>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</si>
  <si>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</si>
  <si>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</si>
  <si>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</si>
  <si>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</si>
  <si>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</si>
  <si>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</si>
  <si>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</si>
  <si>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</si>
  <si>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</si>
  <si>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</si>
  <si>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</si>
  <si>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</si>
  <si>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</si>
  <si>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</si>
  <si>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</si>
  <si>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</si>
  <si>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</si>
  <si>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</si>
  <si>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</si>
  <si>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</si>
  <si>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</si>
  <si>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</si>
  <si>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</si>
  <si>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</si>
  <si>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</si>
  <si>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</si>
  <si>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</si>
  <si>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</si>
  <si>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</si>
  <si>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</si>
  <si>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</si>
  <si>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</si>
  <si>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</si>
  <si>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</si>
  <si>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</si>
  <si>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</si>
  <si>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</si>
  <si>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</si>
  <si>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</si>
  <si>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</si>
  <si>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</si>
  <si>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</si>
  <si>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</si>
  <si>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</si>
  <si>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</si>
  <si>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</si>
  <si>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</si>
  <si>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</si>
  <si>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</si>
  <si>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</si>
  <si>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</si>
  <si>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</si>
  <si>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</si>
  <si>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</si>
  <si>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</si>
  <si>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</si>
  <si>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</si>
  <si>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</si>
  <si>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</si>
  <si>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</si>
  <si>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</si>
  <si>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</si>
  <si>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</si>
  <si>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</si>
  <si>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</si>
  <si>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</si>
  <si>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</si>
  <si>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</si>
  <si>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</si>
  <si>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</si>
  <si>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</si>
  <si>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</si>
  <si>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</si>
  <si>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</si>
  <si>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</si>
  <si>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</si>
  <si>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</si>
  <si>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</si>
  <si>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</si>
  <si>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</si>
  <si>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</si>
  <si>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</si>
  <si>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</si>
  <si>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</si>
  <si>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</si>
  <si>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</si>
  <si>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</si>
  <si>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</si>
  <si>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</si>
  <si>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</si>
  <si>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</si>
  <si>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</si>
  <si>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</si>
  <si>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</si>
  <si>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</si>
  <si>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</si>
  <si>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</si>
  <si>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</si>
  <si>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</si>
  <si>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</si>
  <si>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</si>
  <si>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</si>
  <si>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</si>
  <si>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</si>
  <si>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</si>
  <si>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</si>
  <si>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</si>
  <si>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</si>
  <si>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</si>
  <si>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</si>
  <si>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</si>
  <si>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</si>
  <si>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</si>
  <si>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</si>
  <si>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</si>
  <si>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</si>
  <si>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</si>
  <si>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</si>
  <si>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</si>
  <si>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</si>
  <si>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</si>
  <si>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</si>
  <si>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</si>
  <si>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</si>
  <si>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</si>
  <si>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</si>
  <si>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</si>
  <si>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</si>
  <si>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</si>
  <si>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</si>
  <si>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</si>
  <si>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</si>
  <si>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</si>
  <si>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</si>
  <si>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</si>
  <si>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</si>
  <si>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</si>
  <si>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</si>
  <si>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</si>
  <si>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</si>
  <si>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</si>
  <si>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</si>
  <si>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</si>
  <si>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</si>
  <si>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</si>
  <si>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</si>
  <si>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</si>
  <si>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</si>
  <si>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</si>
  <si>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</si>
  <si>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</si>
  <si>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</si>
  <si>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</si>
  <si>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</si>
  <si>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</si>
  <si>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</si>
  <si>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</si>
  <si>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</si>
  <si>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</si>
  <si>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</si>
  <si>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</si>
  <si>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</si>
  <si>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</si>
  <si>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</si>
  <si>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</si>
  <si>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</si>
  <si>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</si>
  <si>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</si>
  <si>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</si>
  <si>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</si>
  <si>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</si>
  <si>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</si>
  <si>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</si>
  <si>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</si>
  <si>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</si>
  <si>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</si>
  <si>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</si>
  <si>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</si>
  <si>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</si>
  <si>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</si>
  <si>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</si>
  <si>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</si>
  <si>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</si>
  <si>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</si>
  <si>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</si>
  <si>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</si>
  <si>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</si>
  <si>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</si>
  <si>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</si>
  <si>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</si>
  <si>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</si>
  <si>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</si>
  <si>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</si>
  <si>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</si>
  <si>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</si>
  <si>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</si>
  <si>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</si>
  <si>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</si>
  <si>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</si>
  <si>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</si>
  <si>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</si>
  <si>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</si>
  <si>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</si>
  <si>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</si>
  <si>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</si>
  <si>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</si>
  <si>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</si>
  <si>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</si>
  <si>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</si>
  <si>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</si>
  <si>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</si>
  <si>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</si>
  <si>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</si>
  <si>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</si>
  <si>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</si>
  <si>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</si>
  <si>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</si>
  <si>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</si>
  <si>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</si>
  <si>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</si>
  <si>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</si>
  <si>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</si>
  <si>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</si>
  <si>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</si>
  <si>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</si>
  <si>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</si>
  <si>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</si>
  <si>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</si>
  <si>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</si>
  <si>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</si>
  <si>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</si>
  <si>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</si>
  <si>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</si>
  <si>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</si>
  <si>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</si>
  <si>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</si>
  <si>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</si>
  <si>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</si>
  <si>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</si>
  <si>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</si>
  <si>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</si>
  <si>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</si>
  <si>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</si>
  <si>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</si>
  <si>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</si>
  <si>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</si>
  <si>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</si>
  <si>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</si>
  <si>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</si>
  <si>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</si>
  <si>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</si>
  <si>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</si>
  <si>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</si>
  <si>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</si>
  <si>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</si>
  <si>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</si>
  <si>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</si>
  <si>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</si>
  <si>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</si>
  <si>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</si>
  <si>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</si>
  <si>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</si>
  <si>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</si>
  <si>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</si>
  <si>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</si>
  <si>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</si>
  <si>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</si>
  <si>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</si>
  <si>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</si>
  <si>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</si>
  <si>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</si>
  <si>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</si>
  <si>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</si>
  <si>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</si>
  <si>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</si>
  <si>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</si>
  <si>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</si>
  <si>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</si>
  <si>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</si>
  <si>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</si>
  <si>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</si>
  <si>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</si>
  <si>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</si>
  <si>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</si>
  <si>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</si>
  <si>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</si>
  <si>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</si>
  <si>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</si>
  <si>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</si>
  <si>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</si>
  <si>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</si>
  <si>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</si>
  <si>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</si>
  <si>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</si>
  <si>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</si>
  <si>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</si>
  <si>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</si>
  <si>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</si>
  <si>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</si>
  <si>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</si>
  <si>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</si>
  <si>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</si>
  <si>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</si>
  <si>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</si>
  <si>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</si>
  <si>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</si>
  <si>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</si>
  <si>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</si>
  <si>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</si>
  <si>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</si>
  <si>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</si>
  <si>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</si>
  <si>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</si>
  <si>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</si>
  <si>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</si>
  <si>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</si>
  <si>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</si>
  <si>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</si>
  <si>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</si>
  <si>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</si>
  <si>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</si>
  <si>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</si>
  <si>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</si>
  <si>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</si>
  <si>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</si>
  <si>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</si>
  <si>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</si>
  <si>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</si>
  <si>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</si>
  <si>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</si>
  <si>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</si>
  <si>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</si>
  <si>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</si>
  <si>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</si>
  <si>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</si>
  <si>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</si>
  <si>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</si>
  <si>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</si>
  <si>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</si>
  <si>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</si>
  <si>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</si>
  <si>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</si>
  <si>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</si>
  <si>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</si>
  <si>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</si>
  <si>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</si>
  <si>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</si>
  <si>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</si>
  <si>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</si>
  <si>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</si>
  <si>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</si>
  <si>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</si>
  <si>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</si>
  <si>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</si>
  <si>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</si>
  <si>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</si>
  <si>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</si>
  <si>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</si>
  <si>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</si>
  <si>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</si>
  <si>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</si>
  <si>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</si>
  <si>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</si>
  <si>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</si>
  <si>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</si>
  <si>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</si>
  <si>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</si>
  <si>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</si>
  <si>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</si>
  <si>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</si>
  <si>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</si>
  <si>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</si>
  <si>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</si>
  <si>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</si>
  <si>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</si>
  <si>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</si>
  <si>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</si>
  <si>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</si>
  <si>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</si>
  <si>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</si>
  <si>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</si>
  <si>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</si>
  <si>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</si>
  <si>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</si>
  <si>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</si>
  <si>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</si>
  <si>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</si>
  <si>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</si>
  <si>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</si>
  <si>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</si>
  <si>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</si>
  <si>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</si>
  <si>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</si>
  <si>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</si>
  <si>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</si>
  <si>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</si>
  <si>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</si>
  <si>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</si>
  <si>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</si>
  <si>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</si>
  <si>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</si>
  <si>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</si>
  <si>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</si>
  <si>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</si>
  <si>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</si>
  <si>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</si>
  <si>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</si>
  <si>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</si>
  <si>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</si>
  <si>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</si>
  <si>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</si>
  <si>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</si>
  <si>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</si>
  <si>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</si>
  <si>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</si>
  <si>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</si>
  <si>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</si>
  <si>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</si>
  <si>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</si>
  <si>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</si>
  <si>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</si>
  <si>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</si>
  <si>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</si>
  <si>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</si>
  <si>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</si>
  <si>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</si>
  <si>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</si>
  <si>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</si>
  <si>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</si>
  <si>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</si>
  <si>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</si>
  <si>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</si>
  <si>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</si>
  <si>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</si>
  <si>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</si>
  <si>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</si>
  <si>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</si>
  <si>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</si>
  <si>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</si>
  <si>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</si>
  <si>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</si>
  <si>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</si>
  <si>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</si>
  <si>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</si>
  <si>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</si>
  <si>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</si>
  <si>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</si>
  <si>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</si>
  <si>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</si>
  <si>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</si>
  <si>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</si>
  <si>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</si>
  <si>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</si>
  <si>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</si>
  <si>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</si>
  <si>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</si>
  <si>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</si>
  <si>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</si>
  <si>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</si>
  <si>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</si>
  <si>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</si>
  <si>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</si>
  <si>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</si>
  <si>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</si>
  <si>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</si>
  <si>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</si>
  <si>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</si>
  <si>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</si>
  <si>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</si>
  <si>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</si>
  <si>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</si>
  <si>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</si>
  <si>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</si>
  <si>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</si>
  <si>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</si>
  <si>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</si>
  <si>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</si>
  <si>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</si>
  <si>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</si>
  <si>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</si>
  <si>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</si>
  <si>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</si>
  <si>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</si>
  <si>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</si>
  <si>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</si>
  <si>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</si>
  <si>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</si>
  <si>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</si>
  <si>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</si>
  <si>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</si>
  <si>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</si>
  <si>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</si>
  <si>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</si>
  <si>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</si>
  <si>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</si>
  <si>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</si>
  <si>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</si>
  <si>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</si>
  <si>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</si>
  <si>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</si>
  <si>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</si>
  <si>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</si>
  <si>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</si>
  <si>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</si>
  <si>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</si>
  <si>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</si>
  <si>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</si>
  <si>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</si>
  <si>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</si>
  <si>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</si>
  <si>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</si>
  <si>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</si>
  <si>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</si>
  <si>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</si>
  <si>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</si>
  <si>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</si>
  <si>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</si>
  <si>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</si>
  <si>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</si>
  <si>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</si>
  <si>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</si>
  <si>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</si>
  <si>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</si>
  <si>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</si>
  <si>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</si>
  <si>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</si>
  <si>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</si>
  <si>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</si>
  <si>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</si>
  <si>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</si>
  <si>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</si>
  <si>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</si>
  <si>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</si>
  <si>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</si>
  <si>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</si>
  <si>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</si>
  <si>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</si>
  <si>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</si>
  <si>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</si>
  <si>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</si>
  <si>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</si>
  <si>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</si>
  <si>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</si>
  <si>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</si>
  <si>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</si>
  <si>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</si>
  <si>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</si>
  <si>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</si>
  <si>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</si>
  <si>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</si>
  <si>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</si>
  <si>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</si>
  <si>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</si>
  <si>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</si>
  <si>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</si>
  <si>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</si>
  <si>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</si>
  <si>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</si>
  <si>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</si>
  <si>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</si>
  <si>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</si>
  <si>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</si>
  <si>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</si>
  <si>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</si>
  <si>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</si>
  <si>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</si>
  <si>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</si>
  <si>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</si>
  <si>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</si>
  <si>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</si>
  <si>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</si>
  <si>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</si>
  <si>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</si>
  <si>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</si>
  <si>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</si>
  <si>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</si>
  <si>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</si>
  <si>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</si>
  <si>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</si>
  <si>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</si>
  <si>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</si>
  <si>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</si>
  <si>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</si>
  <si>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</si>
  <si>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</si>
  <si>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</si>
  <si>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</si>
  <si>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</si>
  <si>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</si>
  <si>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</si>
  <si>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</si>
  <si>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</si>
  <si>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</si>
  <si>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</si>
  <si>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</si>
  <si>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</si>
  <si>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</si>
  <si>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</si>
  <si>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</si>
  <si>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</si>
  <si>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</si>
  <si>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</si>
  <si>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</si>
  <si>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</si>
  <si>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</si>
  <si>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</si>
  <si>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</si>
  <si>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</si>
  <si>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</si>
  <si>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</si>
  <si>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</si>
  <si>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</si>
  <si>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</si>
  <si>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</si>
  <si>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</si>
  <si>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</si>
  <si>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</si>
  <si>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</si>
  <si>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</si>
  <si>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</si>
  <si>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</si>
  <si>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</si>
  <si>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</si>
  <si>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</si>
  <si>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</si>
  <si>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</si>
  <si>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</si>
  <si>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</si>
  <si>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</si>
  <si>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</si>
  <si>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</si>
  <si>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</si>
  <si>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</si>
  <si>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</si>
  <si>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</si>
  <si>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</si>
  <si>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</si>
  <si>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</si>
  <si>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</si>
  <si>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</si>
  <si>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</si>
  <si>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</si>
  <si>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</si>
  <si>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</si>
  <si>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</si>
  <si>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</si>
  <si>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</si>
  <si>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</si>
  <si>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</si>
  <si>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</si>
  <si>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</si>
  <si>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</si>
  <si>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</si>
  <si>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</si>
  <si>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</si>
  <si>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</si>
  <si>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</si>
  <si>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</si>
  <si>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</si>
  <si>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</si>
  <si>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</si>
  <si>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</si>
  <si>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</si>
  <si>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</si>
  <si>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</si>
  <si>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</si>
  <si>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</si>
  <si>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</si>
  <si>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</si>
  <si>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</si>
  <si>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</si>
  <si>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</si>
  <si>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</si>
  <si>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</si>
  <si>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</si>
  <si>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</si>
  <si>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</si>
  <si>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</si>
  <si>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</si>
  <si>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</si>
  <si>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</si>
  <si>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</si>
  <si>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</si>
  <si>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</si>
  <si>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</si>
  <si>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</si>
  <si>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</si>
  <si>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</si>
  <si>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</si>
  <si>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</si>
  <si>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</si>
  <si>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</si>
  <si>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</si>
  <si>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</si>
  <si>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</si>
  <si>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</si>
  <si>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</si>
  <si>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</si>
  <si>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</si>
  <si>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</si>
  <si>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</si>
  <si>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</si>
  <si>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</si>
  <si>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</si>
  <si>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</si>
  <si>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</si>
  <si>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</si>
  <si>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</si>
  <si>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</si>
  <si>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</si>
  <si>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</si>
  <si>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</si>
  <si>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</si>
  <si>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</si>
  <si>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</si>
  <si>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</si>
  <si>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</si>
  <si>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</si>
  <si>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</si>
  <si>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</si>
  <si>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</si>
  <si>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</si>
  <si>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</si>
  <si>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</si>
  <si>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</si>
  <si>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</si>
  <si>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</si>
  <si>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</si>
  <si>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</si>
  <si>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</si>
  <si>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</si>
  <si>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</si>
  <si>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</si>
  <si>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</si>
  <si>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</si>
  <si>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</si>
  <si>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</si>
  <si>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</si>
  <si>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</si>
  <si>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</si>
  <si>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</si>
  <si>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</si>
  <si>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</si>
  <si>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</si>
  <si>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</si>
  <si>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</si>
  <si>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</si>
  <si>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</si>
  <si>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</si>
  <si>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</si>
  <si>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</si>
  <si>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</si>
  <si>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</si>
  <si>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</si>
  <si>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</si>
  <si>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</si>
  <si>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</si>
  <si>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</si>
  <si>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</si>
  <si>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</si>
  <si>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</si>
  <si>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</si>
  <si>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</si>
  <si>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</si>
  <si>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</si>
  <si>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</si>
  <si>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</si>
  <si>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</si>
  <si>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</si>
  <si>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</si>
  <si>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</si>
  <si>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</si>
  <si>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</si>
  <si>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</si>
  <si>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</si>
  <si>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</si>
  <si>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</si>
  <si>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</si>
  <si>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</si>
  <si>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</si>
  <si>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</si>
  <si>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</si>
  <si>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</si>
  <si>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</si>
  <si>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</si>
  <si>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</si>
  <si>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</si>
  <si>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</si>
  <si>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</si>
  <si>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</si>
  <si>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</si>
  <si>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</si>
  <si>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</si>
  <si>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</si>
  <si>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</si>
  <si>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</si>
  <si>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</si>
  <si>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</si>
  <si>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</si>
  <si>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</si>
  <si>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</si>
  <si>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</si>
  <si>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</si>
  <si>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</si>
  <si>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</si>
  <si>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</si>
  <si>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</si>
  <si>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</si>
  <si>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</si>
  <si>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</si>
  <si>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</si>
  <si>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</si>
  <si>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</si>
  <si>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</si>
  <si>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</si>
  <si>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</si>
  <si>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</si>
  <si>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</si>
  <si>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</si>
  <si>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</si>
  <si>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</si>
  <si>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</si>
  <si>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</si>
  <si>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</si>
  <si>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</si>
  <si>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</si>
  <si>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</si>
  <si>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</si>
  <si>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</si>
  <si>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</si>
  <si>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</si>
  <si>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</si>
  <si>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</si>
  <si>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</si>
  <si>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</si>
  <si>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</si>
  <si>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</si>
  <si>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</si>
  <si>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</si>
  <si>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</si>
  <si>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</si>
  <si>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</si>
  <si>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</si>
  <si>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</si>
  <si>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</si>
  <si>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</si>
  <si>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</si>
  <si>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</si>
  <si>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</si>
  <si>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</si>
  <si>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</si>
  <si>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</si>
  <si>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</si>
  <si>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</si>
  <si>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</si>
  <si>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</si>
  <si>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</si>
  <si>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</si>
  <si>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</si>
  <si>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</si>
  <si>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</si>
  <si>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</si>
  <si>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</si>
  <si>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</si>
  <si>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</si>
  <si>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</si>
  <si>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</si>
  <si>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</si>
  <si>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</si>
  <si>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</si>
  <si>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</si>
  <si>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</si>
  <si>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</si>
  <si>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</si>
  <si>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</si>
  <si>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</si>
  <si>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</si>
  <si>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</si>
  <si>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</si>
  <si>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</si>
  <si>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</si>
  <si>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</si>
  <si>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</si>
  <si>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</si>
  <si>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</si>
  <si>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</si>
  <si>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</si>
  <si>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</si>
  <si>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</si>
  <si>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</si>
  <si>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</si>
  <si>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</si>
  <si>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</si>
  <si>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</si>
  <si>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</si>
  <si>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</si>
  <si>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</si>
  <si>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</si>
  <si>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</si>
  <si>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</si>
  <si>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</si>
  <si>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</si>
  <si>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</si>
  <si>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</si>
  <si>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</si>
  <si>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</si>
  <si>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</si>
  <si>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</si>
  <si>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</si>
  <si>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</si>
  <si>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</si>
  <si>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</si>
  <si>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</si>
  <si>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</si>
  <si>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</si>
  <si>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</si>
  <si>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</si>
  <si>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</si>
  <si>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</si>
  <si>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</si>
  <si>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</si>
  <si>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</si>
  <si>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</si>
  <si>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</si>
  <si>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</si>
  <si>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</si>
  <si>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</si>
  <si>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</si>
  <si>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</si>
  <si>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</si>
  <si>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</si>
  <si>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</si>
  <si>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</si>
  <si>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</si>
  <si>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</si>
  <si>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</si>
  <si>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</si>
  <si>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</si>
  <si>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</si>
  <si>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</si>
  <si>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</si>
  <si>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</si>
  <si>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</si>
  <si>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</si>
  <si>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</si>
  <si>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</si>
  <si>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</si>
  <si>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</si>
  <si>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</si>
  <si>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</si>
  <si>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</si>
  <si>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</si>
  <si>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</si>
  <si>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</si>
  <si>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</si>
  <si>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</si>
  <si>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</si>
  <si>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</si>
  <si>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</si>
  <si>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</si>
  <si>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</si>
  <si>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</si>
  <si>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</si>
  <si>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</si>
  <si>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</si>
  <si>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</si>
  <si>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</si>
  <si>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</si>
  <si>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</si>
  <si>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</si>
  <si>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</si>
  <si>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</si>
  <si>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</si>
  <si>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</si>
  <si>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</si>
  <si>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</si>
  <si>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</si>
  <si>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</si>
  <si>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</si>
  <si>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</si>
  <si>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</si>
  <si>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</si>
  <si>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</si>
  <si>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</si>
  <si>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</si>
  <si>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</si>
  <si>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</si>
  <si>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</si>
  <si>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</si>
  <si>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</si>
  <si>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</si>
  <si>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</si>
  <si>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</si>
  <si>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</si>
  <si>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</si>
  <si>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</si>
  <si>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</si>
  <si>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</si>
  <si>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</si>
  <si>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</si>
  <si>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</si>
  <si>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</si>
  <si>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</si>
  <si>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</si>
  <si>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</si>
  <si>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</si>
  <si>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</si>
  <si>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</si>
  <si>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</si>
  <si>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</si>
  <si>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</si>
  <si>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</si>
  <si>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</si>
  <si>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</si>
  <si>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</si>
  <si>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</si>
  <si>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</si>
  <si>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</si>
  <si>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</si>
  <si>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</si>
  <si>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</si>
  <si>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</si>
  <si>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</si>
  <si>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</si>
  <si>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</si>
  <si>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</si>
  <si>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</si>
  <si>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</si>
  <si>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</si>
  <si>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</si>
  <si>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</si>
  <si>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</si>
  <si>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</si>
  <si>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</si>
  <si>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</si>
  <si>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</si>
  <si>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</si>
  <si>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</si>
  <si>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</si>
  <si>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</si>
  <si>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</si>
  <si>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</si>
  <si>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</si>
  <si>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</si>
  <si>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</si>
  <si>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</si>
  <si>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</si>
  <si>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</si>
  <si>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</si>
  <si>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</si>
  <si>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</si>
  <si>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</si>
  <si>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</si>
  <si>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</si>
  <si>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</si>
  <si>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</si>
  <si>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</si>
  <si>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</si>
  <si>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</si>
  <si>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</si>
  <si>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</si>
  <si>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</si>
  <si>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</si>
  <si>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</si>
  <si>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</si>
  <si>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</si>
  <si>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</si>
  <si>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</si>
  <si>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</si>
  <si>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</si>
  <si>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</si>
  <si>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</si>
  <si>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</si>
  <si>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</si>
  <si>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</si>
  <si>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</si>
  <si>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</si>
  <si>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</si>
  <si>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</si>
  <si>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</si>
  <si>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</si>
  <si>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</si>
  <si>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</si>
  <si>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</si>
  <si>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</si>
  <si>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</si>
  <si>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</si>
  <si>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</si>
  <si>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</si>
  <si>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</si>
  <si>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</si>
  <si>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</si>
  <si>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</si>
  <si>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</si>
  <si>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</si>
  <si>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</si>
  <si>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</si>
  <si>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</si>
  <si>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</si>
  <si>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</si>
  <si>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</si>
  <si>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</si>
  <si>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</si>
  <si>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</si>
  <si>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</si>
  <si>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</si>
  <si>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</si>
  <si>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</si>
  <si>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</si>
  <si>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</si>
  <si>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</si>
  <si>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</si>
  <si>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</si>
  <si>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</si>
  <si>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</si>
  <si>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</si>
  <si>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</si>
  <si>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</si>
  <si>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</si>
  <si>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</si>
  <si>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</si>
  <si>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</si>
  <si>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</si>
  <si>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</si>
  <si>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</si>
  <si>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</si>
  <si>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</si>
  <si>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</si>
  <si>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</si>
  <si>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</si>
  <si>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</si>
  <si>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</si>
  <si>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</si>
  <si>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</si>
  <si>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</si>
  <si>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</si>
  <si>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</si>
  <si>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</si>
  <si>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</si>
  <si>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</si>
  <si>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</si>
  <si>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</si>
  <si>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</si>
  <si>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</si>
  <si>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</si>
  <si>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</si>
  <si>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</si>
  <si>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</si>
  <si>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</si>
  <si>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</si>
  <si>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</si>
  <si>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</si>
  <si>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</si>
  <si>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</si>
  <si>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</si>
  <si>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</si>
  <si>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</si>
  <si>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</si>
  <si>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</si>
  <si>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</si>
  <si>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</si>
  <si>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</si>
  <si>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</si>
  <si>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</si>
  <si>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</si>
  <si>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</si>
  <si>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</si>
  <si>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</si>
  <si>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</si>
  <si>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</si>
  <si>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</si>
  <si>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</si>
  <si>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</si>
  <si>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</si>
  <si>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</si>
  <si>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</si>
  <si>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</si>
  <si>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</si>
  <si>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</si>
  <si>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</si>
  <si>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</si>
  <si>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</si>
  <si>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</si>
  <si>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</si>
  <si>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</si>
  <si>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</si>
  <si>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</si>
  <si>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</si>
  <si>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</si>
  <si>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</si>
  <si>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</si>
  <si>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</si>
  <si>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</si>
  <si>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</si>
  <si>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</si>
  <si>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</si>
  <si>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</si>
  <si>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</si>
  <si>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</si>
  <si>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</si>
  <si>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</si>
  <si>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</si>
  <si>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</si>
  <si>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</si>
  <si>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</si>
  <si>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</si>
  <si>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</si>
  <si>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</si>
  <si>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</si>
  <si>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</si>
  <si>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</si>
  <si>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</si>
  <si>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</si>
  <si>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</si>
  <si>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</si>
  <si>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</si>
  <si>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</si>
  <si>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</si>
  <si>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</si>
  <si>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</si>
  <si>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</si>
  <si>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</si>
  <si>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</si>
  <si>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</si>
  <si>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</si>
  <si>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</si>
  <si>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</si>
  <si>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</si>
  <si>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</si>
  <si>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</si>
  <si>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</si>
  <si>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</si>
  <si>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</si>
  <si>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</si>
  <si>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</si>
  <si>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</si>
  <si>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</si>
  <si>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</si>
  <si>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</si>
  <si>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</si>
  <si>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</si>
  <si>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</si>
  <si>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</si>
  <si>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</si>
  <si>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</si>
  <si>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</si>
  <si>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</si>
  <si>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</si>
  <si>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</si>
  <si>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</si>
  <si>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</si>
  <si>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</si>
  <si>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</si>
  <si>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</si>
  <si>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</si>
  <si>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</si>
  <si>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</si>
  <si>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</si>
  <si>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</si>
  <si>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</si>
  <si>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</si>
  <si>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</si>
  <si>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</si>
  <si>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</si>
  <si>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</si>
  <si>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</si>
  <si>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</si>
  <si>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</si>
  <si>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</si>
  <si>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</si>
  <si>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</si>
  <si>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</si>
  <si>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</si>
  <si>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</si>
  <si>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</si>
  <si>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</si>
  <si>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</si>
  <si>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</si>
  <si>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</si>
  <si>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</si>
  <si>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</si>
  <si>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</si>
  <si>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</si>
  <si>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</si>
  <si>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</si>
  <si>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</si>
  <si>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</si>
  <si>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</si>
  <si>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</si>
  <si>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</si>
  <si>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</si>
  <si>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</si>
  <si>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</si>
  <si>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</si>
  <si>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</si>
  <si>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</si>
  <si>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</si>
  <si>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</si>
  <si>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</si>
  <si>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</si>
  <si>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</si>
  <si>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</si>
  <si>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</si>
  <si>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</si>
  <si>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</si>
  <si>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</si>
  <si>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</si>
  <si>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</si>
  <si>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</si>
  <si>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</si>
  <si>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</si>
  <si>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</si>
  <si>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</si>
  <si>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</si>
  <si>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</si>
  <si>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</si>
  <si>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</si>
  <si>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</si>
  <si>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</si>
  <si>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</si>
  <si>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</si>
  <si>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</si>
  <si>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</si>
  <si>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</si>
  <si>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</si>
  <si>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</si>
  <si>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</si>
  <si>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</si>
  <si>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</si>
  <si>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</si>
  <si>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</si>
  <si>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</si>
  <si>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</si>
  <si>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</si>
  <si>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</si>
  <si>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</si>
  <si>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</si>
  <si>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</si>
  <si>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</si>
  <si>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</si>
  <si>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</si>
  <si>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</si>
  <si>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</si>
  <si>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</si>
  <si>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</si>
  <si>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</si>
  <si>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</si>
  <si>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</si>
  <si>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</si>
  <si>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</si>
  <si>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</si>
  <si>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</si>
  <si>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</si>
  <si>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</si>
  <si>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</si>
  <si>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</si>
  <si>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</si>
  <si>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</si>
  <si>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</si>
  <si>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</si>
  <si>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</si>
  <si>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</si>
  <si>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</si>
  <si>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</si>
  <si>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</si>
  <si>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</si>
  <si>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</si>
  <si>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</si>
  <si>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</si>
  <si>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</si>
  <si>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</si>
  <si>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</si>
  <si>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</si>
  <si>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</si>
  <si>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</si>
  <si>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</si>
  <si>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</si>
  <si>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</si>
  <si>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</si>
  <si>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</si>
  <si>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</si>
  <si>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</si>
  <si>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</si>
  <si>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</si>
  <si>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</si>
  <si>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</si>
  <si>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</si>
  <si>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</si>
  <si>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</si>
  <si>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</si>
  <si>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</si>
  <si>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</si>
  <si>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</si>
  <si>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</si>
  <si>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</si>
  <si>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</si>
  <si>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</si>
  <si>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</si>
  <si>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</si>
  <si>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</si>
  <si>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</si>
  <si>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</si>
  <si>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</si>
  <si>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</si>
  <si>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</si>
  <si>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</si>
  <si>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</si>
  <si>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</si>
  <si>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</si>
  <si>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</si>
  <si>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</si>
  <si>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</si>
  <si>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</si>
  <si>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</si>
  <si>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</si>
  <si>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</si>
  <si>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</si>
  <si>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</si>
  <si>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</si>
  <si>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</si>
  <si>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</si>
  <si>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</si>
  <si>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</si>
  <si>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</si>
  <si>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</si>
  <si>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</si>
  <si>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</si>
  <si>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</si>
  <si>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</si>
  <si>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</si>
  <si>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</si>
  <si>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</si>
  <si>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</si>
  <si>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</si>
  <si>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</si>
  <si>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</si>
  <si>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</si>
  <si>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</si>
  <si>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</si>
  <si>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</si>
  <si>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</si>
  <si>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</si>
  <si>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</si>
  <si>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</si>
  <si>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</si>
  <si>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</si>
  <si>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</si>
  <si>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</si>
  <si>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</si>
  <si>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</si>
  <si>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</si>
  <si>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</si>
  <si>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</si>
  <si>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</si>
  <si>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</si>
  <si>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</si>
  <si>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</si>
  <si>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</si>
  <si>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</si>
  <si>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</si>
  <si>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</si>
  <si>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</si>
  <si>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</si>
  <si>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</si>
  <si>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</si>
  <si>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</si>
  <si>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</si>
  <si>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</si>
  <si>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</si>
  <si>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</si>
  <si>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</si>
  <si>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</si>
  <si>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</si>
  <si>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</si>
  <si>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</si>
  <si>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</si>
  <si>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</si>
  <si>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</si>
  <si>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</si>
  <si>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</si>
  <si>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</si>
  <si>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</si>
  <si>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</si>
  <si>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</si>
  <si>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</si>
  <si>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</si>
  <si>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</si>
  <si>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</si>
  <si>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</si>
  <si>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</si>
  <si>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</si>
  <si>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</si>
  <si>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</si>
  <si>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</si>
  <si>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</si>
  <si>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</si>
  <si>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</si>
  <si>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</si>
  <si>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</si>
  <si>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</si>
  <si>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</si>
  <si>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</si>
  <si>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</si>
  <si>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</si>
  <si>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</si>
  <si>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</si>
  <si>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</si>
  <si>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</si>
  <si>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</si>
  <si>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</si>
  <si>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</si>
  <si>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</si>
  <si>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</si>
  <si>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</si>
  <si>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</si>
  <si>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</si>
  <si>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</si>
  <si>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</si>
  <si>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</si>
  <si>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</si>
  <si>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</si>
  <si>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</si>
  <si>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</si>
  <si>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</si>
  <si>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</si>
  <si>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</si>
  <si>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</si>
  <si>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</si>
  <si>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</si>
  <si>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</si>
  <si>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</si>
  <si>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</si>
  <si>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</si>
  <si>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</si>
  <si>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</si>
  <si>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</si>
  <si>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</si>
  <si>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</si>
  <si>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</si>
  <si>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</si>
  <si>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</si>
  <si>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</si>
  <si>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</si>
  <si>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</si>
  <si>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</si>
  <si>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</si>
  <si>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</si>
  <si>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</si>
  <si>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</si>
  <si>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</si>
  <si>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</si>
  <si>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</si>
  <si>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</si>
  <si>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</si>
  <si>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</si>
  <si>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</si>
  <si>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</si>
  <si>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</si>
  <si>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</si>
  <si>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</si>
  <si>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</si>
  <si>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</si>
  <si>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</si>
  <si>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</si>
  <si>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</si>
  <si>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</si>
  <si>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</si>
  <si>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</si>
  <si>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</si>
  <si>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</si>
  <si>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</si>
  <si>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</si>
  <si>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</si>
  <si>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</si>
  <si>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</si>
  <si>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</si>
  <si>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</si>
  <si>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</si>
  <si>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</si>
  <si>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</si>
  <si>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</si>
  <si>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</si>
  <si>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</si>
  <si>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</si>
  <si>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</si>
  <si>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</si>
  <si>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</si>
  <si>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</si>
  <si>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</si>
  <si>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</si>
  <si>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</si>
  <si>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</si>
  <si>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</si>
  <si>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</si>
  <si>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</si>
  <si>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</si>
  <si>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</si>
  <si>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</si>
  <si>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</si>
  <si>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</si>
  <si>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</si>
  <si>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</si>
  <si>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</si>
  <si>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</si>
  <si>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</si>
  <si>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</si>
  <si>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</si>
  <si>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</si>
  <si>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</si>
  <si>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</si>
  <si>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</si>
  <si>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</si>
  <si>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</si>
  <si>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</si>
  <si>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</si>
  <si>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</si>
  <si>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</si>
  <si>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</si>
  <si>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</si>
  <si>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</si>
  <si>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</si>
  <si>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</si>
  <si>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</si>
  <si>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</si>
  <si>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</si>
  <si>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</si>
  <si>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</si>
  <si>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</si>
  <si>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</si>
  <si>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</si>
  <si>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</si>
  <si>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</si>
  <si>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</si>
  <si>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</si>
  <si>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</si>
  <si>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</si>
  <si>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</si>
  <si>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</si>
  <si>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</si>
  <si>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</si>
  <si>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</si>
  <si>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</si>
  <si>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</si>
  <si>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</si>
  <si>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</si>
  <si>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</si>
  <si>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</si>
  <si>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</si>
  <si>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</si>
  <si>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</si>
  <si>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</si>
  <si>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</si>
  <si>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</si>
  <si>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</si>
  <si>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</si>
  <si>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</si>
  <si>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</si>
  <si>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</si>
  <si>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</si>
  <si>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</si>
  <si>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</si>
  <si>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</si>
  <si>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</si>
  <si>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</si>
  <si>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</si>
  <si>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</si>
  <si>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</si>
  <si>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</si>
  <si>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</si>
  <si>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</si>
  <si>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</si>
  <si>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</si>
  <si>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</si>
  <si>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</si>
  <si>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</si>
  <si>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</si>
  <si>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</si>
  <si>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</si>
  <si>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</si>
  <si>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</si>
  <si>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</si>
  <si>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</si>
  <si>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</si>
  <si>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</si>
  <si>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</si>
  <si>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</si>
  <si>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</si>
  <si>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</si>
  <si>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</si>
  <si>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</si>
  <si>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</si>
  <si>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</si>
  <si>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</si>
  <si>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</si>
  <si>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</si>
  <si>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</si>
  <si>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</si>
  <si>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</si>
  <si>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</si>
  <si>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</si>
  <si>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</si>
  <si>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</si>
  <si>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</si>
  <si>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</si>
  <si>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</si>
  <si>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</si>
  <si>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</si>
  <si>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</si>
  <si>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</si>
  <si>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</si>
  <si>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</si>
  <si>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</si>
  <si>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</si>
  <si>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</si>
  <si>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</si>
  <si>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</si>
  <si>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</si>
  <si>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</si>
  <si>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</si>
  <si>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</si>
  <si>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</si>
  <si>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</si>
  <si>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</si>
  <si>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</si>
  <si>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</si>
  <si>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</si>
  <si>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</si>
  <si>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</si>
  <si>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</si>
  <si>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</si>
  <si>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</si>
  <si>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</si>
  <si>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</si>
  <si>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</si>
  <si>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</si>
  <si>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</si>
  <si>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</si>
  <si>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</si>
  <si>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</si>
  <si>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</si>
  <si>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</si>
  <si>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</si>
  <si>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</si>
  <si>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</si>
  <si>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</si>
  <si>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</si>
  <si>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</si>
  <si>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</si>
  <si>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</si>
  <si>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</si>
  <si>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</si>
  <si>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</si>
  <si>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</si>
  <si>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</si>
  <si>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</si>
  <si>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</si>
  <si>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</si>
  <si>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</si>
  <si>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</si>
  <si>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</si>
  <si>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</si>
  <si>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</si>
  <si>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</si>
  <si>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</si>
  <si>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</si>
  <si>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</si>
  <si>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</si>
  <si>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</si>
  <si>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</si>
  <si>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</si>
  <si>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</si>
  <si>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</si>
  <si>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</si>
  <si>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</si>
  <si>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</si>
  <si>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</si>
  <si>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</si>
  <si>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</si>
  <si>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</si>
  <si>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</si>
  <si>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</si>
  <si>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</si>
  <si>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</si>
  <si>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</si>
  <si>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</si>
  <si>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</si>
  <si>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</si>
  <si>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</si>
  <si>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</si>
  <si>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</si>
  <si>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</si>
  <si>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</si>
  <si>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</si>
  <si>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</si>
  <si>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</si>
  <si>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</si>
  <si>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</si>
  <si>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</si>
  <si>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</si>
  <si>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</si>
  <si>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</si>
  <si>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</si>
  <si>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</si>
  <si>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</si>
  <si>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</si>
  <si>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</si>
  <si>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</si>
  <si>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</si>
  <si>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</si>
  <si>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</si>
  <si>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</si>
  <si>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</si>
  <si>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</si>
  <si>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</si>
  <si>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</si>
  <si>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</si>
  <si>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</si>
  <si>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</si>
  <si>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</si>
  <si>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</si>
  <si>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</si>
  <si>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</si>
  <si>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</si>
  <si>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</si>
  <si>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</si>
  <si>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</si>
  <si>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</si>
  <si>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</si>
  <si>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</si>
  <si>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</si>
  <si>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</si>
  <si>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</si>
  <si>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</si>
  <si>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</si>
  <si>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</si>
  <si>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</si>
  <si>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</si>
  <si>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</si>
  <si>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</si>
  <si>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</si>
  <si>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</si>
  <si>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</si>
  <si>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</si>
  <si>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</si>
  <si>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</si>
  <si>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</si>
  <si>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</si>
  <si>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</si>
  <si>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</si>
  <si>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</si>
  <si>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</si>
  <si>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</si>
  <si>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</si>
  <si>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</si>
  <si>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</si>
  <si>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</si>
  <si>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</si>
  <si>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</si>
  <si>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</si>
  <si>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</si>
  <si>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</si>
  <si>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</si>
  <si>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</si>
  <si>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</si>
  <si>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</si>
  <si>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</si>
  <si>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</si>
  <si>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</si>
  <si>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</si>
  <si>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</si>
  <si>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</si>
  <si>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</si>
  <si>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</si>
  <si>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</si>
  <si>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</si>
  <si>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</si>
  <si>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</si>
  <si>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</si>
  <si>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</si>
  <si>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</si>
  <si>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</si>
  <si>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</si>
  <si>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</si>
  <si>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</si>
  <si>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</si>
  <si>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</si>
  <si>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</si>
  <si>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</si>
  <si>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</si>
  <si>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</si>
  <si>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</si>
  <si>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</si>
  <si>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</si>
  <si>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</si>
  <si>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</si>
  <si>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</si>
  <si>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</si>
  <si>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</si>
  <si>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</si>
  <si>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</si>
  <si>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</si>
  <si>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</si>
  <si>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</si>
  <si>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</si>
  <si>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</si>
  <si>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</si>
  <si>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</si>
  <si>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</si>
  <si>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</si>
  <si>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</si>
  <si>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</si>
  <si>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</si>
  <si>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</si>
  <si>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</si>
  <si>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</si>
  <si>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</si>
  <si>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</si>
  <si>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</si>
  <si>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</si>
  <si>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</si>
  <si>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</si>
  <si>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</si>
  <si>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</si>
  <si>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</si>
  <si>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</si>
  <si>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</si>
  <si>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</si>
  <si>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</si>
  <si>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</si>
  <si>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</si>
  <si>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</si>
  <si>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</si>
  <si>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</si>
  <si>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</si>
  <si>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</si>
  <si>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</si>
  <si>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</si>
  <si>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</si>
  <si>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</si>
  <si>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</si>
  <si>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</si>
  <si>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</si>
  <si>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</si>
  <si>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</si>
  <si>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</si>
  <si>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</si>
  <si>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</si>
  <si>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</si>
  <si>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</si>
  <si>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</si>
  <si>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</si>
  <si>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</si>
  <si>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</si>
  <si>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</si>
  <si>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</si>
  <si>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</si>
  <si>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</si>
  <si>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</si>
  <si>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</si>
  <si>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</si>
  <si>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</si>
  <si>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</si>
  <si>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</si>
  <si>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</si>
  <si>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</si>
  <si>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</si>
  <si>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</si>
  <si>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</si>
  <si>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</si>
  <si>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</si>
  <si>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</si>
  <si>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</si>
  <si>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</si>
  <si>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</si>
  <si>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</si>
  <si>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</si>
  <si>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</si>
  <si>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</si>
  <si>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</si>
  <si>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</si>
  <si>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</si>
  <si>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</si>
  <si>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</si>
  <si>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</si>
  <si>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</si>
  <si>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</si>
  <si>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</si>
  <si>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</si>
  <si>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</si>
  <si>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</si>
  <si>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</si>
  <si>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</si>
  <si>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</si>
  <si>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</si>
  <si>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</si>
  <si>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</si>
  <si>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</si>
  <si>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</si>
  <si>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</si>
  <si>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</si>
  <si>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</si>
  <si>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</si>
  <si>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</si>
  <si>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</si>
  <si>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</si>
  <si>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</si>
  <si>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</si>
  <si>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</si>
  <si>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</si>
  <si>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</si>
  <si>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</si>
  <si>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</si>
  <si>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</si>
  <si>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</si>
  <si>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</si>
  <si>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</si>
  <si>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</si>
  <si>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</si>
  <si>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</si>
  <si>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</si>
  <si>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</si>
  <si>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</si>
  <si>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</si>
  <si>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</si>
  <si>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</si>
  <si>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</si>
  <si>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</si>
  <si>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</si>
  <si>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</si>
  <si>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</si>
  <si>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</si>
  <si>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</si>
  <si>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</si>
  <si>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</si>
  <si>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</si>
  <si>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</si>
  <si>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</si>
  <si>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</si>
  <si>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</si>
  <si>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</si>
  <si>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</si>
  <si>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</si>
  <si>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</si>
  <si>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</si>
  <si>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</si>
  <si>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</si>
  <si>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</si>
  <si>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</si>
  <si>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</si>
  <si>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</si>
  <si>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</si>
  <si>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</si>
  <si>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</si>
  <si>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</si>
  <si>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</si>
  <si>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</si>
  <si>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</si>
  <si>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</si>
  <si>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</si>
  <si>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</si>
  <si>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</si>
  <si>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</si>
  <si>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</si>
  <si>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</si>
  <si>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</si>
  <si>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</si>
  <si>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</si>
  <si>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</si>
  <si>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</si>
  <si>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</si>
  <si>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</si>
  <si>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</si>
  <si>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</si>
  <si>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</si>
  <si>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</si>
  <si>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</si>
  <si>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</si>
  <si>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</si>
  <si>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</si>
  <si>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</si>
  <si>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</si>
  <si>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</si>
  <si>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</si>
  <si>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</si>
  <si>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</si>
  <si>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</si>
  <si>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</si>
  <si>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</si>
  <si>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</si>
  <si>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</si>
  <si>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</si>
  <si>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</si>
  <si>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</si>
  <si>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</si>
  <si>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</si>
  <si>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</si>
  <si>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</si>
  <si>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</si>
  <si>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</si>
  <si>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</si>
  <si>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</si>
  <si>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</si>
  <si>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</si>
  <si>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</si>
  <si>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</si>
  <si>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</si>
  <si>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</si>
  <si>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</si>
  <si>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</si>
  <si>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</si>
  <si>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</si>
  <si>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</si>
  <si>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</si>
  <si>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</si>
  <si>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</si>
  <si>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</si>
  <si>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</si>
  <si>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</si>
  <si>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</si>
  <si>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</si>
  <si>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</si>
  <si>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</si>
  <si>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</si>
  <si>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</si>
  <si>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</si>
  <si>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</si>
  <si>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</si>
  <si>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</si>
  <si>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</si>
  <si>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</si>
  <si>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</si>
  <si>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</si>
  <si>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</si>
  <si>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</si>
  <si>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</si>
  <si>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</si>
  <si>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</si>
  <si>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</si>
  <si>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</si>
  <si>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</si>
  <si>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</si>
  <si>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</si>
  <si>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</si>
  <si>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</si>
  <si>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</si>
  <si>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</si>
  <si>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</si>
  <si>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</si>
  <si>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</si>
  <si>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</si>
  <si>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</si>
  <si>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</si>
  <si>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</si>
  <si>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</si>
  <si>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</si>
  <si>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</si>
  <si>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</si>
  <si>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</si>
  <si>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</si>
  <si>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</si>
  <si>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</si>
  <si>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</si>
  <si>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</si>
  <si>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</si>
  <si>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</si>
  <si>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</si>
  <si>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</si>
  <si>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</si>
  <si>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</si>
  <si>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</si>
  <si>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</si>
  <si>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</si>
  <si>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</si>
  <si>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</si>
  <si>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</si>
  <si>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</si>
  <si>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</si>
  <si>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</si>
  <si>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</si>
  <si>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</si>
  <si>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</si>
  <si>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</si>
  <si>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</si>
  <si>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</si>
  <si>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</si>
  <si>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</si>
  <si>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</si>
  <si>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</si>
  <si>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</si>
  <si>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</si>
  <si>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</si>
  <si>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</si>
  <si>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</si>
  <si>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</si>
  <si>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</si>
  <si>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</si>
  <si>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</si>
  <si>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</si>
  <si>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</si>
  <si>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</si>
  <si>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</si>
  <si>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</si>
  <si>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</si>
  <si>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</si>
  <si>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</si>
  <si>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</si>
  <si>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</si>
  <si>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</si>
  <si>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</si>
  <si>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</si>
  <si>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</si>
  <si>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</si>
  <si>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</si>
  <si>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</si>
  <si>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</si>
  <si>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</si>
  <si>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</si>
  <si>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</si>
  <si>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</si>
  <si>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</si>
  <si>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</si>
  <si>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</si>
  <si>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</si>
  <si>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</si>
  <si>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</si>
  <si>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</si>
  <si>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</si>
  <si>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</si>
  <si>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</si>
  <si>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</si>
  <si>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</si>
  <si>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</si>
  <si>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</si>
  <si>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</si>
  <si>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</si>
  <si>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</si>
  <si>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</si>
  <si>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</si>
  <si>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</si>
  <si>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</si>
  <si>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</si>
  <si>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</si>
  <si>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</si>
  <si>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</si>
  <si>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</si>
  <si>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</si>
  <si>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</si>
  <si>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</si>
  <si>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</si>
  <si>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</si>
  <si>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</si>
  <si>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</si>
  <si>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</si>
  <si>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</si>
  <si>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</si>
  <si>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</si>
  <si>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</si>
  <si>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</si>
  <si>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</si>
  <si>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</si>
  <si>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</si>
  <si>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</si>
  <si>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</si>
  <si>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</si>
  <si>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</si>
  <si>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</si>
  <si>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</si>
  <si>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</si>
  <si>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</si>
  <si>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</si>
  <si>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</si>
  <si>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</si>
  <si>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</si>
  <si>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</si>
  <si>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</si>
  <si>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</si>
  <si>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</si>
  <si>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</si>
  <si>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</si>
  <si>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</si>
  <si>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</si>
  <si>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</si>
  <si>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</si>
  <si>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</si>
  <si>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</si>
  <si>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</si>
  <si>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</si>
  <si>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</si>
  <si>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</si>
  <si>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</si>
  <si>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</si>
  <si>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</si>
  <si>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</si>
  <si>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</si>
  <si>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</si>
  <si>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</si>
  <si>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</si>
  <si>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</si>
  <si>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</si>
  <si>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</si>
  <si>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</si>
  <si>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</si>
  <si>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</si>
  <si>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</si>
  <si>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</si>
  <si>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</si>
  <si>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</si>
  <si>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</si>
  <si>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</si>
  <si>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</si>
  <si>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</si>
  <si>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</si>
  <si>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</si>
  <si>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</si>
  <si>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</si>
  <si>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</si>
  <si>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</si>
  <si>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</si>
  <si>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</si>
  <si>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</si>
  <si>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</si>
  <si>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</si>
  <si>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</si>
  <si>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</si>
  <si>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</si>
  <si>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</si>
  <si>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</si>
  <si>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</si>
  <si>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</si>
  <si>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</si>
  <si>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</si>
  <si>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</si>
  <si>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</si>
  <si>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</si>
  <si>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</si>
  <si>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</si>
  <si>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</si>
  <si>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</si>
  <si>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</si>
  <si>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</si>
  <si>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</si>
  <si>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</si>
  <si>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</si>
  <si>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</si>
  <si>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</si>
  <si>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</si>
  <si>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</si>
  <si>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</si>
  <si>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</si>
  <si>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</si>
  <si>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</si>
  <si>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</si>
  <si>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</si>
  <si>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</si>
  <si>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</si>
  <si>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</si>
  <si>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</si>
  <si>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</si>
  <si>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</si>
  <si>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</si>
  <si>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</si>
  <si>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</si>
  <si>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</si>
  <si>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</si>
  <si>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</si>
  <si>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</si>
  <si>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</si>
  <si>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</si>
  <si>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</si>
  <si>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</si>
  <si>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</si>
  <si>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</si>
  <si>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</si>
  <si>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</si>
  <si>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</si>
  <si>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</si>
  <si>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</si>
  <si>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</si>
  <si>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</si>
  <si>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</si>
  <si>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</si>
  <si>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</si>
  <si>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</si>
  <si>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</si>
  <si>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</si>
  <si>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</si>
  <si>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</si>
  <si>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</si>
  <si>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</si>
  <si>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</si>
  <si>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</si>
  <si>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</si>
  <si>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</si>
  <si>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</si>
  <si>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</si>
  <si>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</si>
  <si>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</si>
  <si>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</si>
  <si>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</si>
  <si>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</si>
  <si>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</si>
  <si>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</si>
  <si>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</si>
  <si>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</si>
  <si>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</si>
  <si>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</si>
  <si>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</si>
  <si>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</si>
  <si>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</si>
  <si>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</si>
  <si>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</si>
  <si>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</si>
  <si>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</si>
  <si>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</si>
  <si>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</si>
  <si>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</si>
  <si>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</si>
  <si>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</si>
  <si>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</si>
  <si>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</si>
  <si>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</si>
  <si>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</si>
  <si>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</si>
  <si>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</si>
  <si>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</si>
  <si>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</si>
  <si>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</si>
  <si>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</si>
  <si>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</si>
  <si>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</si>
  <si>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</si>
  <si>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</si>
  <si>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</si>
  <si>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</si>
  <si>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</si>
  <si>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</si>
  <si>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</si>
  <si>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</si>
  <si>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</si>
  <si>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</si>
  <si>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</si>
  <si>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</si>
  <si>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</si>
  <si>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</si>
  <si>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</si>
  <si>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</si>
  <si>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</si>
  <si>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</si>
  <si>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</si>
  <si>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</si>
  <si>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</si>
  <si>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</si>
  <si>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</si>
  <si>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</si>
  <si>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</si>
  <si>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</si>
  <si>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</si>
  <si>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</si>
  <si>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</si>
  <si>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</si>
  <si>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</si>
  <si>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</si>
  <si>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</si>
  <si>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</si>
  <si>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</si>
  <si>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</si>
  <si>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</si>
  <si>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</si>
  <si>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</si>
  <si>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</si>
  <si>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</si>
  <si>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</si>
  <si>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</si>
  <si>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</si>
  <si>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</si>
  <si>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</si>
  <si>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</si>
  <si>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</si>
  <si>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</si>
  <si>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</si>
  <si>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</si>
  <si>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</si>
  <si>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</si>
  <si>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</si>
  <si>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</si>
  <si>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</si>
  <si>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</si>
  <si>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</si>
  <si>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</si>
  <si>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</si>
  <si>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</si>
  <si>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</si>
  <si>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</si>
  <si>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</si>
  <si>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</si>
  <si>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</si>
  <si>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</si>
  <si>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</si>
  <si>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</si>
  <si>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</si>
  <si>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</si>
  <si>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</si>
  <si>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</si>
  <si>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</si>
  <si>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</si>
  <si>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</si>
  <si>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</si>
  <si>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</si>
  <si>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</si>
  <si>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</si>
  <si>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</si>
  <si>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</si>
  <si>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</si>
  <si>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</si>
  <si>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</si>
  <si>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</si>
  <si>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</si>
  <si>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</si>
  <si>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</si>
  <si>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</si>
  <si>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</si>
  <si>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</si>
  <si>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</si>
  <si>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</si>
  <si>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</si>
  <si>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</si>
  <si>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</si>
  <si>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</si>
  <si>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</si>
  <si>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</si>
  <si>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</si>
  <si>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</si>
  <si>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</si>
  <si>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</si>
  <si>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</si>
  <si>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</si>
  <si>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</si>
  <si>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</si>
  <si>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</si>
  <si>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</si>
  <si>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</si>
  <si>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</si>
  <si>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</si>
  <si>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</si>
  <si>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</si>
  <si>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</si>
  <si>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</si>
  <si>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</si>
  <si>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</si>
  <si>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</si>
  <si>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</si>
  <si>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</si>
  <si>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</si>
  <si>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</si>
  <si>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</si>
  <si>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</si>
  <si>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</si>
  <si>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</si>
  <si>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</si>
  <si>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</si>
  <si>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</si>
  <si>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</si>
  <si>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</si>
  <si>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</si>
  <si>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</si>
  <si>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</si>
  <si>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</si>
  <si>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</si>
  <si>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</si>
  <si>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</si>
  <si>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</si>
  <si>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</si>
  <si>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</si>
  <si>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</si>
  <si>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</si>
  <si>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</si>
  <si>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</si>
  <si>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</si>
  <si>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</si>
  <si>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</si>
  <si>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</si>
  <si>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</si>
  <si>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</si>
  <si>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</si>
  <si>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</si>
  <si>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</si>
  <si>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</si>
  <si>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</si>
  <si>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</si>
  <si>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</si>
  <si>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</si>
  <si>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</si>
  <si>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</si>
  <si>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</si>
  <si>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</si>
  <si>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</si>
  <si>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</si>
  <si>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</si>
  <si>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</si>
  <si>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</si>
  <si>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</si>
  <si>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</si>
  <si>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</si>
  <si>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</si>
  <si>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</si>
  <si>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</si>
  <si>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</si>
  <si>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</si>
  <si>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</si>
  <si>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</si>
  <si>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</si>
  <si>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</si>
  <si>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</si>
  <si>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</si>
  <si>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</si>
  <si>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</si>
  <si>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</si>
  <si>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</si>
  <si>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</si>
  <si>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</si>
  <si>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</si>
  <si>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</si>
  <si>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</si>
  <si>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</si>
  <si>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</si>
  <si>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</si>
  <si>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</si>
  <si>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</si>
  <si>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</si>
  <si>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</si>
  <si>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</si>
  <si>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</si>
  <si>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</si>
  <si>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</si>
  <si>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</si>
  <si>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</si>
  <si>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</si>
  <si>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</si>
  <si>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</si>
  <si>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</si>
  <si>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</si>
  <si>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</si>
  <si>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</si>
  <si>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</si>
  <si>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</si>
  <si>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</si>
  <si>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</si>
  <si>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</si>
  <si>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</si>
  <si>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</si>
  <si>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</si>
  <si>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</si>
  <si>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</si>
  <si>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</si>
  <si>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</si>
  <si>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</si>
  <si>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</si>
  <si>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</si>
  <si>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</si>
  <si>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</si>
  <si>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</si>
  <si>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</si>
  <si>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</si>
  <si>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</si>
  <si>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</si>
  <si>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</si>
  <si>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</si>
  <si>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</si>
  <si>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</si>
  <si>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</si>
  <si>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</si>
  <si>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</si>
  <si>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</si>
  <si>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</si>
  <si>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</si>
  <si>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</si>
  <si>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</si>
  <si>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</si>
  <si>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</si>
  <si>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</si>
  <si>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</si>
  <si>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</si>
  <si>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</si>
  <si>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</si>
  <si>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</si>
  <si>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</si>
  <si>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</si>
  <si>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</si>
  <si>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</si>
  <si>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</si>
  <si>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</si>
  <si>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</si>
  <si>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</si>
  <si>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</si>
  <si>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</si>
  <si>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</si>
  <si>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</si>
  <si>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</si>
  <si>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</si>
  <si>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</si>
  <si>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</si>
  <si>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</si>
  <si>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</si>
  <si>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</si>
  <si>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</si>
  <si>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</si>
  <si>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</si>
  <si>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</si>
  <si>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</si>
  <si>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</si>
  <si>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</si>
  <si>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</si>
  <si>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</si>
  <si>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</si>
  <si>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</si>
  <si>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</si>
  <si>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</si>
  <si>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</si>
  <si>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</si>
  <si>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</si>
  <si>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</si>
  <si>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</si>
  <si>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</si>
  <si>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</si>
  <si>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</si>
  <si>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</si>
  <si>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</si>
  <si>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</si>
  <si>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</si>
  <si>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</si>
  <si>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</si>
  <si>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</si>
  <si>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</si>
  <si>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</si>
  <si>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</si>
  <si>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</si>
  <si>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</si>
  <si>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</si>
  <si>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</si>
  <si>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</si>
  <si>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</si>
  <si>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</si>
  <si>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</si>
  <si>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</si>
  <si>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</si>
  <si>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</si>
  <si>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</si>
  <si>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</si>
  <si>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</si>
  <si>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</si>
  <si>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</si>
  <si>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</si>
  <si>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</si>
  <si>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</si>
  <si>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</si>
  <si>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</si>
  <si>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</si>
  <si>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</si>
  <si>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</si>
  <si>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</si>
  <si>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</si>
  <si>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</si>
  <si>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</si>
  <si>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</si>
  <si>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</si>
  <si>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</si>
  <si>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</si>
  <si>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</si>
  <si>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</si>
  <si>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</si>
  <si>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</si>
  <si>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</si>
  <si>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</si>
  <si>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</si>
  <si>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</si>
  <si>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</si>
  <si>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</si>
  <si>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</si>
  <si>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</si>
  <si>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</si>
  <si>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</si>
  <si>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</si>
  <si>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</si>
  <si>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</si>
  <si>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</si>
  <si>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</si>
  <si>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</si>
  <si>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</si>
  <si>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</si>
  <si>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</si>
  <si>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</si>
  <si>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</si>
  <si>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</si>
  <si>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</si>
  <si>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</si>
  <si>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</si>
  <si>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</si>
  <si>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</si>
  <si>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</si>
  <si>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</si>
  <si>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</si>
  <si>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</si>
  <si>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</si>
  <si>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</si>
  <si>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</si>
  <si>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</si>
  <si>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</si>
  <si>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</si>
  <si>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</si>
  <si>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</si>
  <si>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</si>
  <si>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</si>
  <si>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</si>
  <si>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</si>
  <si>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</si>
  <si>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</si>
  <si>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</si>
  <si>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</si>
  <si>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</si>
  <si>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</si>
  <si>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</si>
  <si>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</si>
  <si>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</si>
  <si>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</si>
  <si>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</si>
  <si>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</si>
  <si>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</si>
  <si>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</si>
  <si>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</si>
  <si>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</si>
  <si>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</si>
  <si>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</si>
  <si>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</si>
  <si>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</si>
  <si>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</si>
  <si>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</si>
  <si>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</si>
  <si>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</si>
  <si>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</si>
  <si>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</si>
  <si>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</si>
  <si>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</si>
  <si>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</si>
  <si>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</si>
  <si>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</si>
  <si>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</si>
  <si>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</si>
  <si>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</si>
  <si>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</si>
  <si>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</si>
  <si>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</si>
  <si>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</si>
  <si>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</si>
  <si>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</si>
  <si>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</si>
  <si>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</si>
  <si>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</si>
  <si>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</si>
  <si>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</si>
  <si>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</si>
  <si>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</si>
  <si>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</si>
  <si>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</si>
  <si>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</si>
  <si>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</si>
  <si>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</si>
  <si>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</si>
  <si>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</si>
  <si>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</si>
  <si>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</si>
  <si>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</si>
  <si>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</si>
  <si>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</si>
  <si>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</si>
  <si>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</si>
  <si>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</si>
  <si>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</si>
  <si>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</si>
  <si>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</si>
  <si>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</si>
  <si>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</si>
  <si>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</si>
  <si>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</si>
  <si>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</si>
  <si>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</si>
  <si>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</si>
  <si>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</si>
  <si>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</si>
  <si>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</si>
  <si>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</si>
  <si>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</si>
  <si>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</si>
  <si>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</si>
  <si>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</si>
  <si>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</si>
  <si>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</si>
  <si>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</si>
  <si>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</si>
  <si>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</si>
  <si>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</si>
  <si>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</si>
  <si>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</si>
  <si>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</si>
  <si>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</si>
  <si>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</si>
  <si>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</si>
  <si>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</si>
  <si>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</si>
  <si>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</si>
  <si>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</si>
  <si>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</si>
  <si>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</si>
  <si>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</si>
  <si>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</si>
  <si>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</si>
  <si>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</si>
  <si>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</si>
  <si>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</si>
  <si>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</si>
  <si>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</si>
  <si>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</si>
  <si>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</si>
  <si>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</si>
  <si>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</si>
  <si>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</si>
  <si>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</si>
  <si>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</si>
  <si>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</si>
  <si>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</si>
  <si>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</si>
  <si>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</si>
  <si>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</si>
  <si>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</si>
  <si>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</si>
  <si>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</si>
  <si>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</si>
  <si>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</si>
  <si>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</si>
  <si>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</si>
  <si>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</si>
  <si>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</si>
  <si>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</si>
  <si>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</si>
  <si>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</si>
  <si>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</si>
  <si>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</si>
  <si>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</si>
  <si>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</si>
  <si>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</si>
  <si>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</si>
  <si>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</si>
  <si>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</si>
  <si>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</si>
  <si>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</si>
  <si>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</si>
  <si>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</si>
  <si>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</si>
  <si>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</si>
  <si>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</si>
  <si>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</si>
  <si>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</si>
  <si>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</si>
  <si>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</si>
  <si>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</si>
  <si>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</si>
  <si>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</si>
  <si>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</si>
  <si>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</si>
  <si>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</si>
  <si>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</si>
  <si>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</si>
  <si>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</si>
  <si>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</si>
  <si>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</si>
  <si>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</si>
  <si>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</si>
  <si>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</si>
  <si>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</si>
  <si>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</si>
  <si>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</si>
  <si>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</si>
  <si>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</si>
  <si>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</si>
  <si>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</si>
  <si>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</si>
  <si>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</si>
  <si>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</si>
  <si>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</si>
  <si>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</si>
  <si>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</si>
  <si>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</si>
  <si>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</si>
  <si>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</si>
  <si>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</si>
  <si>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</si>
  <si>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</si>
  <si>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</si>
  <si>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</si>
  <si>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</si>
  <si>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</si>
  <si>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</si>
  <si>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</si>
  <si>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</si>
  <si>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</si>
  <si>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</si>
  <si>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</si>
  <si>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</si>
  <si>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</si>
  <si>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</si>
  <si>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</si>
  <si>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</si>
  <si>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</si>
  <si>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</si>
  <si>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</si>
  <si>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</si>
  <si>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</si>
  <si>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</si>
  <si>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</si>
  <si>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</si>
  <si>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</si>
  <si>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</si>
  <si>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</si>
  <si>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</si>
  <si>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</si>
  <si>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</si>
  <si>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</si>
  <si>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</si>
  <si>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</si>
  <si>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</si>
  <si>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</si>
  <si>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</si>
  <si>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</si>
  <si>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</si>
  <si>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</si>
  <si>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</si>
  <si>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</si>
  <si>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</si>
  <si>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</si>
  <si>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</si>
  <si>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</si>
  <si>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</si>
  <si>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</si>
  <si>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</si>
  <si>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</si>
  <si>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</si>
  <si>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</si>
  <si>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</si>
  <si>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</si>
  <si>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</si>
  <si>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</si>
  <si>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</si>
  <si>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</si>
  <si>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</si>
  <si>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</si>
  <si>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</si>
  <si>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</si>
  <si>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</si>
  <si>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</si>
  <si>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</si>
  <si>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</si>
  <si>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</si>
  <si>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</si>
  <si>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</si>
  <si>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</si>
  <si>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</si>
  <si>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</si>
  <si>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</si>
  <si>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</si>
  <si>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</si>
  <si>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</si>
  <si>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</si>
  <si>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</si>
  <si>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</si>
  <si>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</si>
  <si>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</si>
  <si>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</si>
  <si>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</si>
  <si>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</si>
  <si>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</si>
  <si>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</si>
  <si>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</si>
  <si>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</si>
  <si>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</si>
  <si>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</si>
  <si>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</si>
  <si>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</si>
  <si>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</si>
  <si>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</si>
  <si>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</si>
  <si>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</si>
  <si>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</si>
  <si>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</si>
  <si>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</si>
  <si>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</si>
  <si>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</si>
  <si>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</si>
  <si>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</si>
  <si>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</si>
  <si>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</si>
  <si>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</si>
  <si>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</si>
  <si>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</si>
  <si>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</si>
  <si>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</si>
  <si>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</si>
  <si>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</si>
  <si>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</si>
  <si>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</si>
  <si>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</si>
  <si>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</si>
  <si>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</si>
  <si>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</si>
  <si>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</si>
  <si>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</si>
  <si>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</si>
  <si>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</si>
  <si>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</si>
  <si>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</si>
  <si>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</si>
  <si>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</si>
  <si>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</si>
  <si>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</si>
  <si>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</si>
  <si>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</si>
  <si>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</si>
  <si>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</si>
  <si>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</si>
  <si>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</si>
  <si>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</si>
  <si>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</si>
  <si>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</si>
  <si>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</si>
  <si>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</si>
  <si>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</si>
  <si>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</si>
  <si>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</si>
  <si>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</si>
  <si>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</si>
  <si>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</si>
  <si>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</si>
  <si>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</si>
  <si>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</si>
  <si>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</si>
  <si>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</si>
  <si>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</si>
  <si>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</si>
  <si>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</si>
  <si>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</si>
  <si>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</si>
  <si>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</si>
  <si>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</si>
  <si>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</si>
  <si>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</si>
  <si>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</si>
  <si>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</si>
  <si>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</si>
  <si>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</si>
  <si>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</si>
  <si>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</si>
  <si>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</si>
  <si>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</si>
  <si>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</si>
  <si>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</si>
  <si>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</si>
  <si>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</si>
  <si>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</si>
  <si>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</si>
  <si>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</si>
  <si>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</si>
  <si>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</si>
  <si>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</si>
  <si>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</si>
  <si>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</si>
  <si>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</si>
  <si>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</si>
  <si>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</si>
  <si>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</si>
  <si>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</si>
  <si>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</si>
  <si>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</si>
  <si>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</si>
  <si>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</si>
  <si>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</si>
  <si>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</si>
  <si>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</si>
  <si>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</si>
  <si>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</si>
  <si>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</si>
  <si>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</si>
  <si>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</si>
  <si>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</si>
  <si>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</si>
  <si>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</si>
  <si>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</si>
  <si>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</si>
  <si>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</si>
  <si>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</si>
  <si>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</si>
  <si>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</si>
  <si>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</si>
  <si>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</si>
  <si>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</si>
  <si>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</si>
  <si>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</si>
  <si>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</si>
  <si>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</si>
  <si>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</si>
  <si>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</si>
  <si>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</si>
  <si>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</si>
  <si>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</si>
  <si>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</si>
  <si>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</si>
  <si>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</si>
  <si>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</si>
  <si>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</si>
  <si>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</si>
  <si>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</si>
  <si>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</si>
  <si>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</si>
  <si>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</si>
  <si>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</si>
  <si>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</si>
  <si>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</si>
  <si>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</si>
  <si>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</si>
  <si>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</si>
  <si>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</si>
  <si>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</si>
  <si>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</si>
  <si>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</si>
  <si>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</si>
  <si>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</si>
  <si>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</si>
  <si>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</si>
  <si>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</si>
  <si>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</si>
  <si>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</si>
  <si>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</si>
  <si>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</si>
  <si>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</si>
  <si>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</si>
  <si>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</si>
  <si>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</si>
  <si>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</si>
  <si>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</si>
  <si>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</si>
  <si>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</si>
  <si>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</si>
  <si>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</si>
  <si>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</si>
  <si>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</si>
  <si>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</si>
  <si>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</si>
  <si>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</si>
  <si>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</si>
  <si>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</si>
  <si>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</si>
  <si>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</si>
  <si>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</si>
  <si>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</si>
  <si>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</si>
  <si>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</si>
  <si>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</si>
  <si>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</si>
  <si>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</si>
  <si>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</si>
  <si>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</si>
  <si>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</si>
  <si>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</si>
  <si>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</si>
  <si>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</si>
  <si>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</si>
  <si>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</si>
  <si>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</si>
  <si>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</si>
  <si>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</si>
  <si>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</si>
  <si>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</si>
  <si>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</si>
  <si>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</si>
  <si>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</si>
  <si>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</si>
  <si>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</si>
  <si>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</si>
  <si>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</si>
  <si>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</si>
  <si>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</si>
  <si>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</si>
  <si>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</si>
  <si>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</si>
  <si>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</si>
  <si>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</si>
  <si>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</si>
  <si>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</si>
  <si>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</si>
  <si>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</si>
  <si>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</si>
  <si>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</si>
  <si>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</si>
  <si>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</si>
  <si>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</si>
  <si>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</si>
  <si>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</si>
  <si>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</si>
  <si>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</si>
  <si>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</si>
  <si>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</si>
  <si>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</si>
  <si>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</si>
  <si>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</si>
  <si>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</si>
  <si>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</si>
  <si>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</si>
  <si>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</si>
  <si>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</si>
  <si>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</si>
  <si>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</si>
  <si>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</si>
  <si>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</si>
  <si>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</si>
  <si>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</si>
  <si>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</si>
  <si>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</si>
  <si>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</si>
  <si>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</si>
  <si>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</si>
  <si>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</si>
  <si>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</si>
  <si>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</si>
  <si>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</si>
  <si>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</si>
  <si>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</si>
  <si>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</si>
  <si>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</si>
  <si>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</si>
  <si>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</si>
  <si>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</si>
  <si>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</si>
  <si>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</si>
  <si>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</si>
  <si>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</si>
  <si>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</si>
  <si>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</si>
  <si>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</si>
  <si>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</si>
  <si>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</si>
  <si>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</si>
  <si>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</si>
  <si>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</si>
  <si>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</si>
  <si>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</si>
  <si>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</si>
  <si>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</si>
  <si>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</si>
  <si>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</si>
  <si>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</si>
  <si>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</si>
  <si>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</si>
  <si>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</si>
  <si>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</si>
  <si>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</si>
  <si>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</si>
  <si>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</si>
  <si>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</si>
  <si>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</si>
  <si>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</si>
  <si>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</si>
  <si>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</si>
  <si>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</si>
  <si>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</si>
  <si>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</si>
  <si>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</si>
  <si>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</si>
  <si>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</si>
  <si>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</si>
  <si>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</si>
  <si>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</si>
  <si>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</si>
  <si>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</si>
  <si>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</si>
  <si>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</si>
  <si>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</si>
  <si>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</si>
  <si>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</si>
  <si>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</si>
  <si>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</si>
  <si>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</si>
  <si>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</si>
  <si>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</si>
  <si>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</si>
  <si>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</si>
  <si>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</si>
  <si>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</si>
  <si>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</si>
  <si>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</si>
  <si>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</si>
  <si>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</si>
  <si>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</si>
  <si>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</si>
  <si>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</si>
  <si>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</si>
  <si>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</si>
  <si>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</si>
  <si>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</si>
  <si>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</si>
  <si>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</si>
  <si>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</si>
  <si>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</si>
  <si>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</si>
  <si>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</si>
  <si>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</si>
  <si>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</si>
  <si>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</si>
  <si>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</si>
  <si>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</si>
  <si>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</si>
  <si>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</si>
  <si>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</si>
  <si>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</si>
  <si>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</si>
  <si>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</si>
  <si>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</si>
  <si>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</si>
  <si>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</si>
  <si>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</si>
  <si>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</si>
  <si>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</si>
  <si>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</si>
  <si>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</si>
  <si>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</si>
  <si>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</si>
  <si>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</si>
  <si>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</si>
  <si>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</si>
  <si>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</si>
  <si>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</si>
  <si>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</si>
  <si>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</si>
  <si>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</si>
  <si>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</si>
  <si>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</si>
  <si>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</si>
  <si>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</si>
  <si>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</si>
  <si>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</si>
  <si>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</si>
  <si>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</si>
  <si>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</si>
  <si>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</si>
  <si>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</si>
  <si>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</si>
  <si>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</si>
  <si>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</si>
  <si>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</si>
  <si>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</si>
  <si>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</si>
  <si>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</si>
  <si>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</si>
  <si>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</si>
  <si>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</si>
  <si>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</si>
  <si>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</si>
  <si>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</si>
  <si>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</si>
  <si>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</si>
  <si>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</si>
  <si>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</si>
  <si>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</si>
  <si>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</si>
  <si>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</si>
  <si>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</si>
  <si>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</si>
  <si>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</si>
  <si>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</si>
  <si>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</si>
  <si>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</si>
  <si>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</si>
  <si>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</si>
  <si>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</si>
  <si>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</si>
  <si>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</si>
  <si>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</si>
  <si>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</si>
  <si>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</si>
  <si>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</si>
  <si>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</si>
  <si>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</si>
  <si>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</si>
  <si>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</si>
  <si>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</si>
  <si>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</si>
  <si>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</si>
  <si>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</si>
  <si>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</si>
  <si>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</si>
  <si>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</si>
  <si>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</si>
  <si>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</si>
  <si>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</si>
  <si>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</si>
  <si>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</si>
  <si>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</si>
  <si>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</si>
  <si>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</si>
  <si>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</si>
  <si>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</si>
  <si>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</si>
  <si>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</si>
  <si>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</si>
  <si>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</si>
  <si>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</si>
  <si>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</si>
  <si>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</si>
  <si>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</si>
  <si>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</si>
  <si>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</si>
  <si>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</si>
  <si>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</si>
  <si>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</si>
  <si>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</si>
  <si>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</si>
  <si>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</si>
  <si>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</si>
  <si>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</si>
  <si>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</si>
  <si>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</si>
  <si>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</si>
  <si>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</si>
  <si>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</si>
  <si>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</si>
  <si>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</si>
  <si>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</si>
  <si>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</si>
  <si>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</si>
  <si>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</si>
  <si>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</si>
  <si>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</si>
  <si>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</si>
  <si>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</si>
  <si>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</si>
  <si>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</si>
  <si>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</si>
  <si>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</si>
  <si>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</si>
  <si>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</si>
  <si>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</si>
  <si>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</si>
  <si>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</si>
  <si>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</si>
  <si>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</si>
  <si>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</si>
  <si>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</si>
  <si>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</si>
  <si>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</si>
  <si>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</si>
  <si>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</si>
  <si>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</si>
  <si>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</si>
  <si>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</si>
  <si>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</si>
  <si>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</si>
  <si>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</si>
  <si>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</si>
  <si>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</si>
  <si>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</si>
  <si>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</si>
  <si>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</si>
  <si>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</si>
  <si>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</si>
  <si>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</si>
  <si>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</si>
  <si>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</si>
  <si>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</si>
  <si>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</si>
  <si>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</si>
  <si>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</si>
  <si>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</si>
  <si>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</si>
  <si>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</si>
  <si>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</si>
  <si>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</si>
  <si>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</si>
  <si>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</si>
  <si>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</si>
  <si>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</si>
  <si>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</si>
  <si>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</si>
  <si>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</si>
  <si>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</si>
  <si>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</si>
  <si>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</si>
  <si>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</si>
  <si>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</si>
  <si>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</si>
  <si>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</si>
  <si>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</si>
  <si>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</si>
  <si>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</si>
  <si>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</si>
  <si>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</si>
  <si>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</si>
  <si>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</si>
  <si>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</si>
  <si>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</si>
  <si>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</si>
  <si>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</si>
  <si>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</si>
  <si>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</si>
  <si>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</si>
  <si>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</si>
  <si>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</si>
  <si>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</si>
  <si>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</si>
  <si>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</si>
  <si>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</si>
  <si>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</si>
  <si>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</si>
  <si>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</si>
  <si>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</si>
  <si>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</si>
  <si>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</si>
  <si>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</si>
  <si>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</si>
  <si>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</si>
  <si>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</si>
  <si>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</si>
  <si>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</si>
  <si>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</si>
  <si>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</si>
  <si>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</si>
  <si>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</si>
  <si>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</si>
  <si>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</si>
  <si>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</si>
  <si>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</si>
  <si>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</si>
  <si>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</si>
  <si>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</si>
  <si>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</si>
  <si>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</si>
  <si>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</si>
  <si>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</si>
  <si>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</si>
  <si>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</si>
  <si>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</si>
  <si>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</si>
  <si>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</si>
  <si>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</si>
  <si>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</si>
  <si>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</si>
  <si>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</si>
  <si>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</si>
  <si>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</si>
  <si>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</si>
  <si>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</si>
  <si>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</si>
  <si>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</si>
  <si>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</si>
  <si>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</si>
  <si>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</si>
  <si>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</si>
  <si>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</si>
  <si>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</si>
  <si>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</si>
  <si>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</si>
  <si>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</si>
  <si>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</si>
  <si>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</si>
  <si>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</si>
  <si>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</si>
  <si>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</si>
  <si>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</si>
  <si>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</si>
  <si>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</si>
  <si>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</si>
  <si>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</si>
  <si>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</si>
  <si>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</si>
  <si>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</si>
  <si>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</si>
  <si>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</si>
  <si>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</si>
  <si>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</si>
  <si>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</si>
  <si>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</si>
  <si>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</si>
  <si>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</si>
  <si>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</si>
  <si>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</si>
  <si>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</si>
  <si>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</si>
  <si>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</si>
  <si>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</si>
  <si>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</si>
  <si>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</si>
  <si>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</si>
  <si>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</si>
  <si>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</si>
  <si>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</si>
  <si>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</si>
  <si>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</si>
  <si>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</si>
  <si>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</si>
  <si>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</si>
  <si>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</si>
  <si>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</si>
  <si>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</si>
  <si>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</si>
  <si>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</si>
  <si>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</si>
  <si>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</si>
  <si>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</si>
  <si>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</si>
  <si>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</si>
  <si>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</si>
  <si>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</si>
  <si>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</si>
  <si>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</si>
  <si>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</si>
  <si>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</si>
  <si>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</si>
  <si>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</si>
  <si>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</si>
  <si>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</si>
  <si>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</si>
  <si>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</si>
  <si>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</si>
  <si>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</si>
  <si>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</si>
  <si>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</si>
  <si>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</si>
  <si>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</si>
  <si>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</si>
  <si>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</si>
  <si>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</si>
  <si>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</si>
  <si>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</si>
  <si>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</si>
  <si>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</si>
  <si>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</si>
  <si>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</si>
  <si>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</si>
  <si>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</si>
  <si>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</si>
  <si>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</si>
  <si>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</si>
  <si>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</si>
  <si>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</si>
  <si>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</si>
  <si>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</si>
  <si>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</si>
  <si>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</si>
  <si>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</si>
  <si>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</si>
  <si>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</si>
  <si>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</si>
  <si>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</si>
  <si>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</si>
  <si>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</si>
  <si>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</si>
  <si>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</si>
  <si>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</si>
  <si>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</si>
  <si>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</si>
  <si>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</si>
  <si>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</si>
  <si>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</si>
  <si>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</si>
  <si>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</si>
  <si>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</si>
  <si>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</si>
  <si>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</si>
  <si>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</si>
  <si>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</si>
  <si>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</si>
  <si>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</si>
  <si>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</si>
  <si>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</si>
  <si>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</si>
  <si>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</si>
  <si>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</si>
  <si>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</si>
  <si>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</si>
  <si>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</si>
  <si>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</si>
  <si>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</si>
  <si>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</si>
  <si>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</si>
  <si>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</si>
  <si>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</si>
  <si>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</si>
  <si>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</si>
  <si>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</si>
  <si>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</si>
  <si>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</si>
  <si>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</si>
  <si>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</si>
  <si>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</si>
  <si>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</si>
  <si>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</si>
  <si>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</si>
  <si>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</si>
  <si>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</si>
  <si>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</si>
  <si>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</si>
  <si>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</si>
  <si>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</si>
  <si>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</si>
  <si>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</si>
  <si>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</si>
  <si>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</si>
  <si>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</si>
  <si>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</si>
  <si>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</si>
  <si>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</si>
  <si>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</si>
  <si>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</si>
  <si>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</si>
  <si>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</si>
  <si>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</si>
  <si>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</si>
  <si>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</si>
  <si>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</si>
  <si>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</si>
  <si>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</si>
  <si>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</si>
  <si>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</si>
  <si>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</si>
  <si>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</si>
  <si>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</si>
  <si>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</si>
  <si>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</si>
  <si>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</si>
  <si>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</si>
  <si>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</si>
  <si>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</si>
  <si>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</si>
  <si>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</si>
  <si>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</si>
  <si>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</si>
  <si>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</si>
  <si>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</si>
  <si>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</si>
  <si>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</si>
  <si>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</si>
  <si>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</si>
  <si>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</si>
  <si>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</si>
  <si>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</si>
  <si>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</si>
  <si>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</si>
  <si>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</si>
  <si>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</si>
  <si>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</si>
  <si>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</si>
  <si>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</si>
  <si>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</si>
  <si>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</si>
  <si>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</si>
  <si>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</si>
  <si>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</si>
  <si>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</si>
  <si>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</si>
  <si>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</si>
  <si>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</si>
  <si>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</si>
  <si>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</si>
  <si>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</si>
  <si>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</si>
  <si>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</si>
  <si>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</si>
  <si>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</si>
  <si>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</si>
  <si>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</si>
  <si>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</si>
  <si>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</si>
  <si>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</si>
  <si>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</si>
  <si>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</si>
  <si>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</si>
  <si>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</si>
  <si>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</si>
  <si>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</si>
  <si>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</si>
  <si>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</si>
  <si>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</si>
  <si>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</si>
  <si>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</si>
  <si>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</si>
  <si>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</si>
  <si>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</si>
  <si>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</si>
  <si>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</si>
  <si>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</si>
  <si>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</si>
  <si>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</si>
  <si>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</si>
  <si>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</si>
  <si>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</si>
  <si>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</si>
  <si>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</si>
  <si>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</si>
  <si>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</si>
  <si>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</si>
  <si>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</si>
  <si>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</si>
  <si>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</si>
  <si>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</si>
  <si>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</si>
  <si>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</si>
  <si>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</si>
  <si>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</si>
  <si>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</si>
  <si>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</si>
  <si>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</si>
  <si>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</si>
  <si>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</si>
  <si>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</si>
  <si>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</si>
  <si>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</si>
  <si>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</si>
  <si>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</si>
  <si>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</si>
  <si>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</si>
  <si>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</si>
  <si>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</si>
  <si>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</si>
  <si>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</si>
  <si>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</si>
  <si>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</si>
  <si>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</si>
  <si>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</si>
  <si>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</si>
  <si>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</si>
  <si>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</si>
  <si>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</si>
  <si>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</si>
  <si>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</si>
  <si>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</si>
  <si>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</si>
  <si>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</si>
  <si>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</si>
  <si>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</si>
  <si>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</si>
  <si>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</si>
  <si>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</si>
  <si>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</si>
  <si>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</si>
  <si>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</si>
  <si>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</si>
  <si>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</si>
  <si>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</si>
  <si>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</si>
  <si>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</si>
  <si>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</si>
  <si>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</si>
  <si>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</si>
  <si>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</si>
  <si>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</si>
  <si>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</si>
  <si>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</si>
  <si>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</si>
  <si>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</si>
  <si>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</si>
  <si>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</si>
  <si>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</si>
  <si>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</si>
  <si>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</si>
  <si>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</si>
  <si>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</si>
  <si>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</si>
  <si>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</si>
  <si>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</si>
  <si>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</si>
  <si>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</si>
  <si>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</si>
  <si>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</si>
  <si>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</si>
  <si>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</si>
  <si>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</si>
  <si>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</si>
  <si>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</si>
  <si>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</si>
  <si>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</si>
  <si>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</si>
  <si>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</si>
  <si>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</si>
  <si>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</si>
  <si>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</si>
  <si>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</si>
  <si>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</si>
  <si>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</si>
  <si>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</si>
  <si>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</si>
  <si>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</si>
  <si>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</si>
  <si>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</si>
  <si>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</si>
  <si>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</si>
  <si>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</si>
  <si>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</si>
  <si>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</si>
  <si>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</si>
  <si>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</si>
  <si>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</si>
  <si>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</si>
  <si>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</si>
  <si>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</si>
  <si>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</si>
  <si>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</si>
  <si>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</si>
  <si>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</si>
  <si>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</si>
  <si>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</si>
  <si>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</si>
  <si>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</si>
  <si>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</si>
  <si>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</si>
  <si>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</si>
  <si>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</si>
  <si>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</si>
  <si>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</si>
  <si>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</si>
  <si>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</si>
  <si>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</si>
  <si>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</si>
  <si>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</si>
  <si>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</si>
  <si>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</si>
  <si>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</si>
  <si>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</si>
  <si>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</si>
  <si>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</si>
  <si>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</si>
  <si>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</si>
  <si>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</si>
  <si>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</si>
  <si>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</si>
  <si>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</si>
  <si>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</si>
  <si>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</si>
  <si>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</si>
  <si>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</si>
  <si>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</si>
  <si>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</si>
  <si>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</si>
  <si>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</si>
  <si>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</si>
  <si>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</si>
  <si>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</si>
  <si>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</si>
  <si>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</si>
  <si>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</si>
  <si>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</si>
  <si>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</si>
  <si>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</si>
  <si>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</si>
  <si>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</si>
  <si>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</si>
  <si>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</si>
  <si>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</si>
  <si>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</si>
  <si>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</si>
  <si>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</si>
  <si>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</si>
  <si>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</si>
  <si>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</si>
  <si>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</si>
  <si>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</si>
  <si>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</si>
  <si>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</si>
  <si>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</si>
  <si>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</si>
  <si>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</si>
  <si>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</si>
  <si>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</si>
  <si>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</si>
  <si>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</si>
  <si>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</si>
  <si>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</si>
  <si>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</si>
  <si>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</si>
  <si>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</si>
  <si>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</si>
  <si>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</si>
  <si>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</si>
  <si>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</si>
  <si>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</si>
  <si>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</si>
  <si>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</si>
  <si>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</si>
  <si>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</si>
  <si>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</si>
  <si>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</si>
  <si>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</si>
  <si>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</si>
  <si>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</si>
  <si>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</si>
  <si>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</si>
  <si>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</si>
  <si>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</si>
  <si>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</si>
  <si>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</si>
  <si>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</si>
  <si>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</si>
  <si>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</si>
  <si>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</si>
  <si>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</si>
  <si>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</si>
  <si>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</si>
  <si>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</si>
  <si>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</si>
  <si>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</si>
  <si>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</si>
  <si>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</si>
  <si>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</si>
  <si>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</si>
  <si>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</si>
  <si>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</si>
  <si>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</si>
  <si>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</si>
  <si>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</si>
  <si>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</si>
  <si>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</si>
  <si>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</si>
  <si>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</si>
  <si>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</si>
  <si>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</si>
  <si>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</si>
  <si>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</si>
  <si>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</si>
  <si>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</si>
  <si>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</si>
  <si>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</si>
  <si>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</si>
  <si>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</si>
  <si>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</si>
  <si>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</si>
  <si>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</si>
  <si>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</si>
  <si>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</si>
  <si>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</si>
  <si>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</si>
  <si>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</si>
  <si>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</si>
  <si>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</si>
  <si>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</si>
  <si>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</si>
  <si>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</si>
  <si>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</si>
  <si>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</si>
  <si>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</si>
  <si>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</si>
  <si>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</si>
  <si>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</si>
  <si>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</si>
  <si>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</si>
  <si>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</si>
  <si>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</si>
  <si>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</si>
  <si>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</si>
  <si>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</si>
  <si>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</si>
  <si>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</si>
  <si>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</si>
  <si>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</si>
  <si>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</si>
  <si>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</si>
  <si>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</si>
  <si>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</si>
  <si>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</si>
  <si>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</si>
  <si>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</si>
  <si>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</si>
  <si>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</si>
  <si>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</si>
  <si>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</si>
  <si>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</si>
  <si>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</si>
  <si>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</si>
  <si>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</si>
  <si>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</si>
  <si>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</si>
  <si>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</si>
  <si>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</si>
  <si>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</si>
  <si>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</si>
  <si>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</si>
  <si>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</si>
  <si>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</si>
  <si>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</si>
  <si>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</si>
  <si>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</si>
  <si>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</si>
  <si>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</si>
  <si>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</si>
  <si>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</si>
  <si>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</si>
  <si>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</si>
  <si>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</si>
  <si>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</si>
  <si>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</si>
  <si>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</si>
  <si>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</si>
  <si>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</si>
  <si>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</si>
  <si>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</si>
  <si>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</si>
  <si>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</si>
  <si>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</si>
  <si>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</si>
  <si>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</si>
  <si>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</si>
  <si>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</si>
  <si>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</si>
  <si>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</si>
  <si>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</si>
  <si>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</si>
  <si>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</si>
  <si>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</si>
  <si>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</si>
  <si>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</si>
  <si>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</si>
  <si>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</si>
  <si>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</si>
  <si>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</si>
  <si>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</si>
  <si>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</si>
  <si>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</si>
  <si>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</si>
  <si>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</si>
  <si>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</si>
  <si>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</si>
  <si>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</si>
  <si>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</si>
  <si>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</si>
  <si>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</si>
  <si>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</si>
  <si>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</si>
  <si>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</si>
  <si>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</si>
  <si>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</si>
  <si>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</si>
  <si>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</si>
  <si>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</si>
  <si>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</si>
  <si>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</si>
  <si>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</si>
  <si>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</si>
  <si>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</si>
  <si>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</si>
  <si>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</si>
  <si>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</si>
  <si>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</si>
  <si>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</si>
  <si>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</si>
  <si>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</si>
  <si>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</si>
  <si>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</si>
  <si>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</si>
  <si>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</si>
  <si>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</si>
  <si>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</si>
  <si>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</si>
  <si>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</si>
  <si>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</si>
  <si>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</si>
  <si>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</si>
  <si>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</si>
  <si>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</si>
  <si>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</si>
  <si>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</si>
  <si>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</si>
  <si>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</si>
  <si>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</si>
  <si>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</si>
  <si>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</si>
  <si>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</si>
  <si>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</si>
  <si>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</si>
  <si>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</si>
  <si>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</si>
  <si>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</si>
  <si>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</si>
  <si>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</si>
  <si>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</si>
  <si>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</si>
  <si>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</si>
  <si>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</si>
  <si>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</si>
  <si>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</si>
  <si>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</si>
  <si>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</si>
  <si>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</si>
  <si>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</si>
  <si>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</si>
  <si>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</si>
  <si>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</si>
  <si>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</si>
  <si>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</si>
  <si>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</si>
  <si>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</si>
  <si>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</si>
  <si>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</si>
  <si>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</si>
  <si>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</si>
  <si>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</si>
  <si>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</si>
  <si>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</si>
  <si>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</si>
  <si>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</si>
  <si>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</si>
  <si>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</si>
  <si>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</si>
  <si>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</si>
  <si>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</si>
  <si>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</si>
  <si>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</si>
  <si>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</si>
  <si>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</si>
  <si>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</si>
  <si>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</si>
  <si>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</si>
  <si>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</si>
  <si>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</si>
  <si>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</si>
  <si>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</si>
  <si>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</si>
  <si>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</si>
  <si>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</si>
  <si>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</si>
  <si>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</si>
  <si>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</si>
  <si>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</si>
  <si>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</si>
  <si>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</si>
  <si>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</si>
  <si>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</si>
  <si>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</si>
  <si>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</si>
  <si>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</si>
  <si>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</si>
  <si>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</si>
  <si>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</si>
  <si>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</si>
  <si>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</si>
  <si>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</si>
  <si>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</si>
  <si>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</si>
  <si>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</si>
  <si>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</si>
  <si>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</si>
  <si>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</si>
  <si>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</si>
  <si>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</si>
  <si>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</si>
  <si>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</si>
  <si>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</si>
  <si>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</si>
  <si>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</si>
  <si>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</si>
  <si>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</si>
  <si>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</si>
  <si>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</si>
  <si>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</si>
  <si>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</si>
  <si>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</si>
  <si>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</si>
  <si>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</si>
  <si>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</si>
  <si>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</si>
  <si>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</si>
  <si>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</si>
  <si>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</si>
  <si>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</si>
  <si>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</si>
  <si>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</si>
  <si>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</si>
  <si>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</si>
  <si>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</si>
  <si>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</si>
  <si>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</si>
  <si>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</si>
  <si>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</si>
  <si>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</si>
  <si>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</si>
  <si>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</si>
  <si>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</si>
  <si>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</si>
  <si>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</si>
  <si>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</si>
  <si>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</si>
  <si>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</si>
  <si>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</si>
  <si>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</si>
  <si>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</si>
  <si>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</si>
  <si>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</si>
  <si>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</si>
  <si>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</si>
  <si>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</si>
  <si>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</si>
  <si>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</si>
  <si>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</si>
  <si>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</si>
  <si>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</si>
  <si>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</si>
  <si>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</si>
  <si>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</si>
  <si>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</si>
  <si>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</si>
  <si>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</si>
  <si>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</si>
  <si>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</si>
  <si>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</si>
  <si>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</si>
  <si>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</si>
  <si>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</si>
  <si>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</si>
  <si>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</si>
  <si>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</si>
  <si>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</si>
  <si>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</si>
  <si>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</si>
  <si>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</si>
  <si>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</si>
  <si>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</si>
  <si>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</si>
  <si>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</si>
  <si>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</si>
  <si>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</si>
  <si>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</si>
  <si>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</si>
  <si>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</si>
  <si>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</si>
  <si>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</si>
  <si>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</si>
  <si>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</si>
  <si>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</si>
  <si>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</si>
  <si>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</si>
  <si>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</si>
  <si>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</si>
  <si>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</si>
  <si>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</si>
  <si>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</si>
  <si>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</si>
  <si>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</si>
  <si>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</si>
  <si>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</si>
  <si>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</si>
  <si>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</si>
  <si>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</si>
  <si>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</si>
  <si>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</si>
  <si>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</si>
  <si>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</si>
  <si>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</si>
  <si>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</si>
  <si>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</si>
  <si>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</si>
  <si>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</si>
  <si>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</si>
  <si>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</si>
  <si>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</si>
  <si>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</si>
  <si>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</si>
  <si>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</si>
  <si>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</si>
  <si>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</si>
  <si>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</si>
  <si>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</si>
  <si>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</si>
  <si>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</si>
  <si>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</si>
  <si>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</si>
  <si>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</si>
  <si>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</si>
  <si>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</si>
  <si>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</si>
  <si>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</si>
  <si>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</si>
  <si>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</si>
  <si>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</si>
  <si>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</si>
  <si>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</si>
  <si>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</si>
  <si>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</si>
  <si>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</si>
  <si>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</si>
  <si>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</si>
  <si>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</si>
  <si>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</si>
  <si>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</si>
  <si>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</si>
  <si>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</si>
  <si>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</si>
  <si>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</si>
  <si>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</si>
  <si>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</si>
  <si>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</si>
  <si>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</si>
  <si>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</si>
  <si>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</si>
  <si>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</si>
  <si>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</si>
  <si>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</si>
  <si>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</si>
  <si>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</si>
  <si>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</si>
  <si>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</si>
  <si>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</si>
  <si>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</si>
  <si>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</si>
  <si>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</si>
  <si>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</si>
  <si>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</si>
  <si>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</si>
  <si>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</si>
  <si>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</si>
  <si>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</si>
  <si>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</si>
  <si>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</si>
  <si>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</si>
  <si>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</si>
  <si>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</si>
  <si>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</si>
  <si>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</si>
  <si>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</si>
  <si>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</si>
  <si>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</si>
  <si>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</si>
  <si>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</si>
  <si>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</si>
  <si>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</si>
  <si>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</si>
  <si>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</si>
  <si>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</si>
  <si>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</si>
  <si>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</si>
  <si>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</si>
  <si>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</si>
  <si>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</si>
  <si>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</si>
  <si>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</si>
  <si>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</si>
  <si>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</si>
  <si>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</si>
  <si>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</si>
  <si>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</si>
  <si>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</si>
  <si>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</si>
  <si>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</si>
  <si>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</si>
  <si>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</si>
  <si>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</si>
  <si>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</si>
  <si>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</si>
  <si>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</si>
  <si>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</si>
  <si>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</si>
  <si>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</si>
  <si>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</si>
  <si>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</si>
  <si>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</si>
  <si>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</si>
  <si>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</si>
  <si>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</si>
  <si>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</si>
  <si>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</si>
  <si>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</si>
  <si>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</si>
  <si>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</si>
  <si>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</si>
  <si>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</si>
  <si>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</si>
  <si>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</si>
  <si>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</si>
  <si>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</si>
  <si>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</si>
  <si>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</si>
  <si>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</si>
  <si>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</si>
  <si>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</si>
  <si>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</si>
  <si>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</si>
  <si>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</si>
  <si>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</si>
  <si>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</si>
  <si>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</si>
  <si>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</si>
  <si>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</si>
  <si>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</si>
  <si>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</si>
  <si>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</si>
  <si>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</si>
  <si>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</si>
  <si>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</si>
  <si>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</si>
  <si>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</si>
  <si>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</si>
  <si>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</si>
  <si>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</si>
  <si>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</si>
  <si>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</si>
  <si>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</si>
  <si>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</si>
  <si>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</si>
  <si>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</si>
  <si>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</si>
  <si>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</si>
  <si>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</si>
  <si>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</si>
  <si>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</si>
  <si>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</si>
  <si>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</si>
  <si>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</si>
  <si>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</si>
  <si>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</si>
  <si>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</si>
  <si>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</si>
  <si>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</si>
  <si>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</si>
  <si>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</si>
  <si>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</si>
  <si>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</si>
  <si>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</si>
  <si>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</si>
  <si>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</si>
  <si>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</si>
  <si>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</si>
  <si>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</si>
  <si>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</si>
  <si>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</si>
  <si>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</si>
  <si>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</si>
  <si>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</si>
  <si>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</si>
  <si>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</si>
  <si>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</si>
  <si>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</si>
  <si>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</si>
  <si>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</si>
  <si>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</si>
  <si>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</si>
  <si>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</si>
  <si>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</si>
  <si>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</si>
  <si>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</si>
  <si>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</si>
  <si>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</si>
  <si>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</si>
  <si>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</si>
  <si>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</si>
  <si>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</si>
  <si>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</si>
  <si>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</si>
  <si>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</si>
  <si>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</si>
  <si>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</si>
  <si>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</si>
  <si>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</si>
  <si>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</si>
  <si>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</si>
  <si>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</si>
  <si>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</si>
  <si>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</si>
  <si>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</si>
  <si>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</si>
  <si>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</si>
  <si>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</si>
  <si>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</si>
  <si>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</si>
  <si>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</si>
  <si>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</si>
  <si>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</si>
  <si>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</si>
  <si>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</si>
  <si>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</si>
  <si>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</si>
  <si>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</si>
  <si>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</si>
  <si>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</si>
  <si>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</si>
  <si>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</si>
  <si>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</si>
  <si>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</si>
  <si>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</si>
  <si>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</si>
  <si>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</si>
  <si>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</si>
  <si>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</si>
  <si>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</si>
  <si>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</si>
  <si>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</si>
  <si>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</si>
  <si>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</si>
  <si>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</si>
  <si>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</si>
  <si>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</si>
  <si>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</si>
  <si>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</si>
  <si>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</si>
  <si>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</si>
  <si>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</si>
  <si>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</si>
  <si>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</si>
  <si>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</si>
  <si>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</si>
  <si>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</si>
  <si>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</si>
  <si>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</si>
  <si>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</si>
  <si>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</si>
  <si>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</si>
  <si>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</si>
  <si>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</si>
  <si>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</si>
  <si>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</si>
  <si>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</si>
  <si>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</si>
  <si>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</si>
  <si>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</si>
  <si>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</si>
  <si>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</si>
  <si>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</si>
  <si>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</si>
  <si>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</si>
  <si>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</si>
  <si>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</si>
  <si>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</si>
  <si>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</si>
  <si>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</si>
  <si>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</si>
  <si>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</si>
  <si>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</si>
  <si>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</si>
  <si>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</si>
  <si>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</si>
  <si>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</si>
  <si>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</si>
  <si>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</si>
  <si>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</si>
  <si>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</si>
  <si>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</si>
  <si>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</si>
  <si>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</si>
  <si>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</si>
  <si>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</si>
  <si>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</si>
  <si>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</si>
  <si>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</si>
  <si>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</si>
  <si>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</si>
  <si>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</si>
  <si>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</si>
  <si>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</si>
  <si>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</si>
  <si>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</si>
  <si>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</si>
  <si>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</si>
  <si>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</si>
  <si>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</si>
  <si>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</si>
  <si>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</si>
  <si>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</si>
  <si>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</si>
  <si>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</si>
  <si>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</si>
  <si>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</si>
  <si>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</si>
  <si>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</si>
  <si>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</si>
  <si>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</si>
  <si>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</si>
  <si>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</si>
  <si>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</si>
  <si>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</si>
  <si>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</si>
  <si>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</si>
  <si>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</si>
  <si>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</si>
  <si>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</si>
  <si>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</si>
  <si>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</si>
  <si>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</si>
  <si>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</si>
  <si>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</si>
  <si>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</si>
  <si>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</si>
  <si>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</si>
  <si>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</si>
  <si>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</si>
  <si>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</si>
  <si>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</si>
  <si>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</si>
  <si>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</si>
  <si>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</si>
  <si>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</si>
  <si>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</si>
  <si>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</si>
  <si>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</si>
  <si>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</si>
  <si>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</si>
  <si>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</si>
  <si>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</si>
  <si>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</si>
  <si>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</si>
  <si>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</si>
  <si>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</si>
  <si>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</si>
  <si>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</si>
  <si>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</si>
  <si>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</si>
  <si>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</si>
  <si>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</si>
  <si>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</si>
  <si>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</si>
  <si>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</si>
  <si>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</si>
  <si>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</si>
  <si>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</si>
  <si>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</si>
  <si>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</si>
  <si>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</si>
  <si>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</si>
  <si>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</si>
  <si>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</si>
  <si>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</si>
  <si>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</si>
  <si>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</si>
  <si>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</si>
  <si>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</si>
  <si>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</si>
  <si>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</si>
  <si>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</si>
  <si>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</si>
  <si>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</si>
  <si>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</si>
  <si>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</si>
  <si>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</si>
  <si>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</si>
  <si>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</si>
  <si>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</si>
  <si>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</si>
  <si>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</si>
  <si>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</si>
  <si>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</si>
  <si>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</si>
  <si>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</si>
  <si>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</si>
  <si>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</si>
  <si>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</si>
  <si>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</si>
  <si>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</si>
  <si>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</si>
  <si>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</si>
  <si>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</si>
  <si>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</si>
  <si>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</si>
  <si>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</si>
  <si>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</si>
  <si>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</si>
  <si>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</si>
  <si>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</si>
  <si>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</si>
  <si>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</si>
  <si>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</si>
  <si>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</si>
  <si>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</si>
  <si>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</si>
  <si>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</si>
  <si>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</si>
  <si>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</si>
  <si>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</si>
  <si>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</si>
  <si>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</si>
  <si>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</si>
  <si>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</si>
  <si>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</si>
  <si>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</si>
  <si>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</si>
  <si>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</si>
  <si>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</si>
  <si>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</si>
  <si>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</si>
  <si>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</si>
  <si>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</si>
  <si>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</si>
  <si>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</si>
  <si>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</si>
  <si>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</si>
  <si>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</si>
  <si>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</si>
  <si>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</si>
  <si>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</si>
  <si>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</si>
  <si>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</si>
  <si>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</si>
  <si>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</si>
  <si>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</si>
  <si>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</si>
  <si>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</si>
  <si>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</si>
  <si>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</si>
  <si>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</si>
  <si>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</si>
  <si>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</si>
  <si>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</si>
  <si>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</si>
  <si>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</si>
  <si>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</si>
  <si>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</si>
  <si>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</si>
  <si>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</si>
  <si>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</si>
  <si>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</si>
  <si>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</si>
  <si>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</si>
  <si>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</si>
  <si>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</si>
  <si>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</si>
  <si>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</si>
  <si>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</si>
  <si>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</si>
  <si>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</si>
  <si>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</si>
  <si>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</si>
  <si>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</si>
  <si>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</si>
  <si>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</si>
  <si>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</si>
  <si>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</si>
  <si>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</si>
  <si>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</si>
  <si>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</si>
  <si>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</si>
  <si>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</si>
  <si>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</si>
  <si>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</si>
  <si>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</si>
  <si>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</si>
  <si>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</si>
  <si>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</si>
  <si>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</si>
  <si>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</si>
  <si>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</si>
  <si>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</si>
  <si>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</si>
  <si>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</si>
  <si>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</si>
  <si>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</si>
  <si>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</si>
  <si>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</si>
  <si>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</si>
  <si>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</si>
  <si>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</si>
  <si>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</si>
  <si>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</si>
  <si>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</si>
  <si>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</si>
  <si>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</si>
  <si>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</si>
  <si>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</si>
  <si>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</si>
  <si>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</si>
  <si>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</si>
  <si>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</si>
  <si>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</si>
  <si>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</si>
  <si>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</si>
  <si>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</si>
  <si>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</si>
  <si>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</si>
  <si>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</si>
  <si>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</si>
  <si>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</si>
  <si>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</si>
  <si>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</si>
  <si>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</si>
  <si>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</si>
  <si>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</si>
  <si>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</si>
  <si>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</si>
  <si>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</si>
  <si>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</si>
  <si>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</si>
  <si>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</si>
  <si>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</si>
  <si>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</si>
  <si>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</si>
  <si>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</si>
  <si>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</si>
  <si>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</si>
  <si>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</si>
  <si>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</si>
  <si>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</si>
  <si>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</si>
  <si>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</si>
  <si>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</si>
  <si>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</si>
  <si>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</si>
  <si>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</si>
  <si>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</si>
  <si>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</si>
  <si>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</si>
  <si>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</si>
  <si>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</si>
  <si>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</si>
  <si>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</si>
  <si>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</si>
  <si>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</si>
  <si>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</si>
  <si>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</si>
  <si>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</si>
  <si>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</si>
  <si>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</si>
  <si>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</si>
  <si>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</si>
  <si>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</si>
  <si>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</si>
  <si>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</si>
  <si>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</si>
  <si>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</si>
  <si>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</si>
  <si>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</si>
  <si>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</si>
  <si>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</si>
  <si>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</si>
  <si>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</si>
  <si>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</si>
  <si>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</si>
  <si>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</si>
  <si>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</si>
  <si>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</si>
  <si>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</si>
  <si>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</si>
  <si>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</si>
  <si>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</si>
  <si>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</si>
  <si>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</si>
  <si>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</si>
  <si>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</si>
  <si>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</si>
  <si>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</si>
  <si>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</si>
  <si>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</si>
  <si>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</si>
  <si>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</si>
  <si>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</si>
  <si>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</si>
  <si>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</si>
  <si>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</si>
  <si>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</si>
  <si>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</si>
  <si>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</si>
  <si>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</si>
  <si>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</si>
  <si>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</si>
  <si>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</si>
  <si>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</si>
  <si>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</si>
  <si>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</si>
  <si>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</si>
  <si>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</si>
  <si>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</si>
  <si>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</si>
  <si>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</si>
  <si>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</si>
  <si>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</si>
  <si>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</si>
  <si>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</si>
  <si>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</si>
  <si>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</si>
  <si>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</si>
  <si>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</si>
  <si>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</si>
  <si>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</si>
  <si>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</si>
  <si>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</si>
  <si>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</si>
  <si>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</si>
  <si>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</si>
  <si>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</si>
  <si>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</si>
  <si>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</si>
  <si>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</si>
  <si>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</si>
  <si>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</si>
  <si>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</si>
  <si>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</si>
  <si>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</si>
  <si>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</si>
  <si>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</si>
  <si>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</si>
  <si>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</si>
  <si>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</si>
  <si>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</si>
  <si>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</si>
  <si>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</si>
  <si>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</si>
  <si>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</si>
  <si>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</si>
  <si>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</si>
  <si>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</si>
  <si>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</si>
  <si>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</si>
  <si>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</si>
  <si>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</si>
  <si>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</si>
  <si>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</si>
  <si>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</si>
  <si>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</si>
  <si>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</si>
  <si>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</si>
  <si>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</si>
  <si>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</si>
  <si>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</si>
  <si>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</si>
  <si>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</si>
  <si>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</si>
  <si>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</si>
  <si>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</si>
  <si>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</si>
  <si>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</si>
  <si>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</si>
  <si>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</si>
  <si>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</si>
  <si>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</si>
  <si>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</si>
  <si>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</si>
  <si>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</si>
  <si>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</si>
  <si>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</si>
  <si>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</si>
  <si>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</si>
  <si>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</si>
  <si>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</si>
  <si>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</si>
  <si>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</si>
  <si>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</si>
  <si>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</si>
  <si>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</si>
  <si>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</si>
  <si>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</si>
  <si>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</si>
  <si>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</si>
  <si>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</si>
  <si>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</si>
  <si>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</si>
  <si>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</si>
  <si>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</si>
  <si>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</si>
  <si>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</si>
  <si>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</si>
  <si>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</si>
  <si>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</si>
  <si>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</si>
  <si>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</si>
  <si>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</si>
  <si>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</si>
  <si>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</si>
  <si>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</si>
  <si>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</si>
  <si>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</si>
  <si>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</si>
  <si>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</si>
  <si>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</si>
  <si>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</si>
  <si>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</si>
  <si>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</si>
  <si>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</si>
  <si>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</si>
  <si>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</si>
  <si>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</si>
  <si>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</si>
  <si>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</si>
  <si>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</si>
  <si>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</si>
  <si>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</si>
  <si>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</si>
  <si>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</si>
  <si>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</si>
  <si>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</si>
  <si>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</si>
  <si>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</si>
  <si>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</si>
  <si>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</si>
  <si>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</si>
  <si>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</si>
  <si>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</si>
  <si>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</si>
  <si>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</si>
  <si>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</si>
  <si>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</si>
  <si>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</si>
  <si>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</si>
  <si>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</si>
  <si>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</si>
  <si>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</si>
  <si>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</si>
  <si>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</si>
  <si>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</si>
  <si>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</si>
  <si>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</si>
  <si>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</si>
  <si>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</si>
  <si>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</si>
  <si>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</si>
  <si>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</si>
  <si>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</si>
  <si>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</si>
  <si>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</si>
  <si>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</si>
  <si>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</si>
  <si>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</si>
  <si>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</si>
  <si>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</si>
  <si>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</si>
  <si>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</si>
  <si>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</si>
  <si>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</si>
  <si>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</si>
  <si>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</si>
  <si>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</si>
  <si>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</si>
  <si>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</si>
  <si>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</si>
  <si>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</si>
  <si>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</si>
  <si>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</si>
  <si>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</si>
  <si>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</si>
  <si>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</si>
  <si>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</si>
  <si>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</si>
  <si>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</si>
  <si>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</si>
  <si>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</si>
  <si>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</si>
  <si>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</si>
  <si>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</si>
  <si>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</si>
  <si>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</si>
  <si>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</si>
  <si>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</si>
  <si>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</si>
  <si>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</si>
  <si>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</si>
  <si>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</si>
  <si>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</si>
  <si>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</si>
  <si>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</si>
  <si>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</si>
  <si>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</si>
  <si>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</si>
  <si>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</si>
  <si>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</si>
  <si>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</si>
  <si>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</si>
  <si>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</si>
  <si>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</si>
  <si>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</si>
  <si>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</si>
  <si>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</si>
  <si>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</si>
  <si>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</si>
  <si>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</si>
  <si>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</si>
  <si>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</si>
  <si>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</si>
  <si>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</si>
  <si>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</si>
  <si>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</si>
  <si>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</si>
  <si>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</si>
  <si>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</si>
  <si>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</si>
  <si>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</si>
  <si>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</si>
  <si>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</si>
  <si>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</si>
  <si>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</si>
  <si>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</si>
  <si>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</si>
  <si>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</si>
  <si>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</si>
  <si>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</si>
  <si>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</si>
  <si>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</si>
  <si>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</si>
  <si>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</si>
  <si>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</si>
  <si>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</si>
  <si>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</si>
  <si>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</si>
  <si>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</si>
  <si>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</si>
  <si>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</si>
  <si>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</si>
  <si>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</si>
  <si>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</si>
  <si>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</si>
  <si>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</si>
  <si>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</si>
  <si>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</si>
  <si>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</si>
  <si>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</si>
  <si>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</si>
  <si>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</si>
  <si>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</si>
  <si>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</si>
  <si>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</si>
  <si>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</si>
  <si>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</si>
  <si>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</si>
  <si>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</si>
  <si>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</si>
  <si>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</si>
  <si>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</si>
  <si>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</si>
  <si>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</si>
  <si>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</si>
  <si>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</si>
  <si>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</si>
  <si>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</si>
  <si>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</si>
  <si>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</si>
  <si>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</si>
  <si>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</si>
  <si>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</si>
  <si>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</si>
  <si>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</si>
  <si>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</si>
  <si>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</si>
  <si>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</si>
  <si>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</si>
  <si>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</si>
  <si>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</si>
  <si>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</si>
  <si>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</si>
  <si>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</si>
  <si>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</si>
  <si>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</si>
  <si>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</si>
  <si>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</si>
  <si>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</si>
  <si>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</si>
  <si>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</si>
  <si>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</si>
  <si>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</si>
  <si>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</si>
  <si>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</si>
  <si>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</si>
  <si>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</si>
  <si>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</si>
  <si>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</si>
  <si>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</si>
  <si>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</si>
  <si>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</si>
  <si>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</si>
  <si>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</si>
  <si>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</si>
  <si>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</si>
  <si>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</si>
  <si>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</si>
  <si>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</si>
  <si>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</si>
  <si>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</si>
  <si>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</si>
  <si>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</si>
  <si>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</si>
  <si>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</si>
  <si>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</si>
  <si>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</si>
  <si>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</si>
  <si>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</si>
  <si>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</si>
  <si>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</si>
  <si>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</si>
  <si>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</si>
  <si>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</si>
  <si>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</si>
  <si>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</si>
  <si>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</si>
  <si>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</si>
  <si>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</si>
  <si>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</si>
  <si>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</si>
  <si>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</si>
  <si>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</si>
  <si>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</si>
  <si>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</si>
  <si>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</si>
  <si>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</si>
  <si>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</si>
  <si>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</si>
  <si>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</si>
  <si>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</si>
  <si>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</si>
  <si>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</si>
  <si>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</si>
  <si>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</si>
  <si>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</si>
  <si>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</si>
  <si>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</si>
  <si>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</si>
  <si>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</si>
  <si>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</si>
  <si>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</si>
  <si>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</si>
  <si>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</si>
  <si>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</si>
  <si>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</si>
  <si>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</si>
  <si>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</si>
  <si>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</si>
  <si>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</si>
  <si>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</si>
  <si>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</si>
  <si>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</si>
  <si>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</si>
  <si>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</si>
  <si>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</si>
  <si>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</si>
  <si>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</si>
  <si>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</si>
  <si>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</si>
  <si>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</si>
  <si>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</si>
  <si>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</si>
  <si>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</si>
  <si>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</si>
  <si>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</si>
  <si>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</si>
  <si>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</si>
  <si>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</si>
  <si>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</si>
  <si>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</si>
  <si>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</si>
  <si>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</si>
  <si>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</si>
  <si>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</si>
  <si>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</si>
  <si>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</si>
  <si>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</si>
  <si>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</si>
  <si>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</si>
  <si>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</si>
  <si>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</si>
  <si>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</si>
  <si>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</si>
  <si>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</si>
  <si>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</si>
  <si>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</si>
  <si>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</si>
  <si>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</si>
  <si>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</si>
  <si>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</si>
  <si>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</si>
  <si>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</si>
  <si>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</si>
  <si>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</si>
  <si>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</si>
  <si>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</si>
  <si>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</si>
  <si>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</si>
  <si>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</si>
  <si>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</si>
  <si>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</si>
  <si>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</si>
  <si>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</si>
  <si>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</si>
  <si>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</si>
  <si>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</si>
  <si>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</si>
  <si>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</si>
  <si>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</si>
  <si>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</si>
  <si>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</si>
  <si>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</si>
  <si>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</si>
  <si>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</si>
  <si>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</si>
  <si>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</si>
  <si>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</si>
  <si>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</si>
  <si>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</si>
  <si>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</si>
  <si>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</si>
  <si>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</si>
  <si>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</si>
  <si>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</si>
  <si>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</si>
  <si>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</si>
  <si>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</si>
  <si>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</si>
  <si>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</si>
  <si>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</si>
  <si>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</si>
  <si>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</si>
  <si>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</si>
  <si>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</si>
  <si>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</si>
  <si>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</si>
  <si>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</si>
  <si>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</si>
  <si>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</si>
  <si>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</si>
  <si>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</si>
  <si>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</si>
  <si>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</si>
  <si>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</si>
  <si>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</si>
  <si>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</si>
  <si>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</si>
  <si>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</si>
  <si>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</si>
  <si>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</si>
  <si>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</si>
  <si>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</si>
  <si>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</si>
  <si>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</si>
  <si>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</si>
  <si>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</si>
  <si>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</si>
  <si>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</si>
  <si>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</si>
  <si>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</si>
  <si>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</si>
  <si>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</si>
  <si>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</si>
  <si>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</si>
  <si>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</si>
  <si>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</si>
  <si>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</si>
  <si>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</si>
  <si>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</si>
  <si>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</si>
  <si>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</si>
  <si>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</si>
  <si>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</si>
  <si>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</si>
  <si>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</si>
  <si>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</si>
  <si>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</si>
  <si>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</si>
  <si>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</si>
  <si>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</si>
  <si>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</si>
  <si>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</si>
  <si>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</si>
  <si>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</si>
  <si>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</si>
  <si>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</si>
  <si>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</si>
  <si>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</si>
  <si>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</si>
  <si>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</si>
  <si>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</si>
  <si>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</si>
  <si>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</si>
  <si>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</si>
  <si>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</si>
  <si>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</si>
  <si>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</si>
  <si>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</si>
  <si>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</si>
  <si>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</si>
  <si>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</si>
  <si>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</si>
  <si>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</si>
  <si>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</si>
  <si>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</si>
  <si>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</si>
  <si>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</si>
  <si>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</si>
  <si>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</si>
  <si>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</si>
  <si>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</si>
  <si>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</si>
  <si>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</si>
  <si>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</si>
  <si>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</si>
  <si>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</si>
  <si>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</si>
  <si>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</si>
  <si>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</si>
  <si>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</si>
  <si>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</si>
  <si>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</si>
  <si>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</si>
  <si>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</si>
  <si>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</si>
  <si>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</si>
  <si>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</si>
  <si>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</si>
  <si>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</si>
  <si>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</si>
  <si>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</si>
  <si>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</si>
  <si>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</si>
  <si>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</si>
  <si>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</si>
  <si>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</si>
  <si>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</si>
  <si>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</si>
  <si>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</si>
  <si>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</si>
  <si>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</si>
  <si>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</si>
  <si>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</si>
  <si>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</si>
  <si>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</si>
  <si>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</si>
  <si>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</si>
  <si>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</si>
  <si>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</si>
  <si>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</si>
  <si>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</si>
  <si>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</si>
  <si>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</si>
  <si>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</si>
  <si>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</si>
  <si>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</si>
  <si>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</si>
  <si>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</si>
  <si>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</si>
  <si>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</si>
  <si>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</si>
  <si>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</si>
  <si>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</si>
  <si>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</si>
  <si>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</si>
  <si>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</si>
  <si>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</si>
  <si>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</si>
  <si>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</si>
  <si>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</si>
  <si>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</si>
  <si>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</si>
  <si>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</si>
  <si>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</si>
  <si>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</si>
  <si>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</si>
  <si>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</si>
  <si>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</si>
  <si>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</si>
  <si>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</si>
  <si>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</si>
  <si>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</si>
  <si>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</si>
  <si>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</si>
  <si>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</si>
  <si>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</si>
  <si>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</si>
  <si>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</si>
  <si>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</si>
  <si>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</si>
  <si>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</si>
  <si>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</si>
  <si>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</si>
  <si>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</si>
  <si>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</si>
  <si>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</si>
  <si>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</si>
  <si>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</si>
  <si>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</si>
  <si>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</si>
  <si>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</si>
  <si>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</si>
  <si>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</si>
  <si>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</si>
  <si>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</si>
  <si>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</si>
  <si>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</si>
  <si>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</si>
  <si>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</si>
  <si>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</si>
  <si>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</si>
  <si>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</si>
  <si>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</si>
  <si>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</si>
  <si>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</si>
  <si>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</si>
  <si>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</si>
  <si>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</si>
  <si>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</si>
  <si>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</si>
  <si>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</si>
  <si>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</si>
  <si>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</si>
  <si>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</si>
  <si>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</si>
  <si>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</si>
  <si>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</si>
  <si>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</si>
  <si>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</si>
  <si>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</si>
  <si>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</si>
  <si>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</si>
  <si>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</si>
  <si>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</si>
  <si>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</si>
  <si>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</si>
  <si>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</si>
  <si>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</si>
  <si>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</si>
  <si>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</si>
  <si>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</si>
  <si>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</si>
  <si>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</si>
  <si>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</si>
  <si>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</si>
  <si>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</si>
  <si>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</si>
  <si>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</si>
  <si>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</si>
  <si>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</si>
  <si>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</si>
  <si>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</si>
  <si>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</si>
  <si>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</si>
  <si>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</si>
  <si>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</si>
  <si>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</si>
  <si>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</si>
  <si>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</si>
  <si>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</si>
  <si>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</si>
  <si>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</si>
  <si>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</si>
  <si>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</si>
  <si>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</si>
  <si>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</si>
  <si>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</si>
  <si>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</si>
  <si>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</si>
  <si>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</si>
  <si>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</si>
  <si>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</si>
  <si>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</si>
  <si>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</si>
  <si>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</si>
  <si>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</si>
  <si>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</si>
  <si>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</si>
  <si>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</si>
  <si>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</si>
  <si>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</si>
  <si>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</si>
  <si>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</si>
  <si>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</si>
  <si>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</si>
  <si>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</si>
  <si>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</si>
  <si>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</si>
  <si>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</si>
  <si>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</si>
  <si>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</si>
  <si>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</si>
  <si>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</si>
  <si>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</si>
  <si>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</si>
  <si>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</si>
  <si>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</si>
  <si>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</si>
  <si>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</si>
  <si>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</si>
  <si>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</si>
  <si>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</si>
  <si>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</si>
  <si>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</si>
  <si>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</si>
  <si>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</si>
  <si>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</si>
  <si>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</si>
  <si>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</si>
  <si>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</si>
  <si>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</si>
  <si>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</si>
  <si>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</si>
  <si>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</si>
  <si>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</si>
  <si>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</si>
  <si>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</si>
  <si>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</si>
  <si>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</si>
  <si>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</si>
  <si>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</si>
  <si>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</si>
  <si>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</si>
  <si>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</si>
  <si>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</si>
  <si>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</si>
  <si>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</si>
  <si>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</si>
  <si>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</si>
  <si>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</si>
  <si>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</si>
  <si>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</si>
  <si>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</si>
  <si>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</si>
  <si>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</si>
  <si>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</si>
  <si>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</si>
  <si>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</si>
  <si>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</si>
  <si>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</si>
  <si>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</si>
  <si>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</si>
  <si>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</si>
  <si>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</si>
  <si>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</si>
  <si>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</si>
  <si>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</si>
  <si>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</si>
  <si>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</si>
  <si>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</si>
  <si>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</si>
  <si>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</si>
  <si>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</si>
  <si>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</si>
  <si>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</si>
  <si>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</si>
  <si>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</si>
  <si>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</si>
  <si>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</si>
  <si>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</si>
  <si>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</si>
  <si>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</si>
  <si>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</si>
  <si>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</si>
  <si>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</si>
  <si>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</si>
  <si>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</si>
  <si>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</si>
  <si>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</si>
  <si>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</si>
  <si>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</si>
  <si>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</si>
  <si>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</si>
  <si>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</si>
  <si>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</si>
  <si>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</si>
  <si>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</si>
  <si>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</si>
  <si>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</si>
  <si>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</si>
  <si>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</si>
  <si>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</si>
  <si>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</si>
  <si>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</si>
  <si>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</si>
  <si>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</si>
  <si>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</si>
  <si>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</si>
  <si>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</si>
  <si>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</si>
  <si>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</si>
  <si>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</si>
  <si>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</si>
  <si>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</si>
  <si>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</si>
  <si>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</si>
  <si>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</si>
  <si>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</si>
  <si>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</si>
  <si>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</si>
  <si>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</si>
  <si>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</si>
  <si>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</si>
  <si>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</si>
  <si>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</si>
  <si>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</si>
  <si>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</si>
  <si>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</si>
  <si>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</si>
  <si>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</si>
  <si>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</si>
  <si>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</si>
  <si>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</si>
  <si>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</si>
  <si>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</si>
  <si>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</si>
  <si>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</si>
  <si>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</si>
  <si>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</si>
  <si>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</si>
  <si>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</si>
  <si>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</si>
  <si>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</si>
  <si>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</si>
  <si>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</si>
  <si>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</si>
  <si>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</si>
  <si>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</si>
  <si>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</si>
  <si>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</si>
  <si>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</si>
  <si>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</si>
  <si>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</si>
  <si>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</si>
  <si>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</si>
  <si>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</si>
  <si>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</si>
  <si>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</si>
  <si>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</si>
  <si>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</si>
  <si>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</si>
  <si>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</si>
  <si>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</si>
  <si>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</si>
  <si>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</si>
  <si>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</si>
  <si>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</si>
  <si>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</si>
  <si>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</si>
  <si>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</si>
  <si>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</si>
  <si>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</si>
  <si>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</si>
  <si>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</si>
  <si>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</si>
  <si>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</si>
  <si>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</si>
  <si>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</si>
  <si>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</si>
  <si>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</si>
  <si>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</si>
  <si>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</si>
  <si>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</si>
  <si>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</si>
  <si>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</si>
  <si>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</si>
  <si>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</si>
  <si>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</si>
  <si>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</si>
  <si>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</si>
  <si>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</si>
  <si>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</si>
  <si>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</si>
  <si>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</si>
  <si>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</si>
  <si>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</si>
  <si>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</si>
  <si>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</si>
  <si>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</si>
  <si>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</si>
  <si>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</si>
  <si>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</si>
  <si>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</si>
  <si>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</si>
  <si>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</si>
  <si>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</si>
  <si>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</si>
  <si>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</si>
  <si>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</si>
  <si>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</si>
  <si>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</si>
  <si>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</si>
  <si>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</si>
  <si>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</si>
  <si>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</si>
  <si>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</si>
  <si>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</si>
  <si>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</si>
  <si>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</si>
  <si>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</si>
  <si>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</si>
  <si>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</si>
  <si>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</si>
  <si>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</si>
  <si>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</si>
  <si>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</si>
  <si>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</si>
  <si>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</si>
  <si>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</si>
  <si>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</si>
  <si>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</si>
  <si>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</si>
  <si>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</si>
  <si>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</si>
  <si>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</si>
  <si>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</si>
  <si>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</si>
  <si>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</si>
  <si>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</si>
  <si>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</si>
  <si>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</si>
  <si>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</si>
  <si>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</si>
  <si>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</si>
  <si>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</si>
  <si>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</si>
  <si>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</si>
  <si>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</si>
  <si>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</si>
  <si>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</si>
  <si>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</si>
  <si>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</si>
  <si>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</si>
  <si>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</si>
  <si>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</si>
  <si>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</si>
  <si>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</si>
  <si>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</si>
  <si>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</si>
  <si>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</si>
  <si>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</si>
  <si>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</si>
  <si>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</si>
  <si>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</si>
  <si>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</si>
  <si>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</si>
  <si>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</si>
  <si>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</si>
  <si>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</si>
  <si>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</si>
  <si>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</si>
  <si>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</si>
  <si>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</si>
  <si>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</si>
  <si>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</si>
  <si>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</si>
  <si>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</si>
  <si>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</si>
  <si>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</si>
  <si>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</si>
  <si>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</si>
  <si>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</si>
  <si>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</si>
  <si>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</si>
  <si>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</si>
  <si>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</si>
  <si>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</si>
  <si>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</si>
  <si>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</si>
  <si>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</si>
  <si>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</si>
  <si>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</si>
  <si>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</si>
  <si>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</si>
  <si>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</si>
  <si>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</si>
  <si>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</si>
  <si>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</si>
  <si>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</si>
  <si>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</si>
  <si>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</si>
  <si>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</si>
  <si>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</si>
  <si>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</si>
  <si>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</si>
  <si>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</si>
  <si>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</si>
  <si>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</si>
  <si>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</si>
  <si>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</si>
  <si>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</si>
  <si>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</si>
  <si>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</si>
  <si>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</si>
  <si>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</si>
  <si>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</si>
  <si>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</si>
  <si>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</si>
  <si>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</si>
  <si>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</si>
  <si>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</si>
  <si>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</si>
  <si>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</si>
  <si>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</si>
  <si>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</si>
  <si>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</si>
  <si>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</si>
  <si>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</si>
  <si>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</si>
  <si>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</si>
  <si>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</si>
  <si>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</si>
  <si>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</si>
  <si>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</si>
  <si>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</si>
  <si>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</si>
  <si>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</si>
  <si>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</si>
  <si>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</si>
  <si>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</si>
  <si>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</si>
  <si>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</si>
  <si>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</si>
  <si>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</si>
  <si>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</si>
  <si>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</si>
  <si>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</si>
  <si>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</si>
  <si>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</si>
  <si>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</si>
  <si>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</si>
  <si>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</si>
  <si>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</si>
  <si>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</si>
  <si>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</si>
  <si>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</si>
  <si>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</si>
  <si>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</si>
  <si>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</si>
  <si>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</si>
  <si>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</si>
  <si>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</si>
  <si>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</si>
  <si>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</si>
  <si>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</si>
  <si>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</si>
  <si>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</si>
  <si>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</si>
  <si>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</si>
  <si>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</si>
  <si>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</si>
  <si>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</si>
  <si>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</si>
  <si>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</si>
  <si>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</si>
  <si>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</si>
  <si>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</si>
  <si>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</si>
  <si>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</si>
  <si>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</si>
  <si>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</si>
  <si>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</si>
  <si>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</si>
  <si>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</si>
  <si>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</si>
  <si>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</si>
  <si>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</si>
  <si>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</si>
  <si>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</si>
  <si>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</si>
  <si>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</si>
  <si>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</si>
  <si>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</si>
  <si>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</si>
  <si>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</si>
  <si>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</si>
  <si>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</si>
  <si>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</si>
  <si>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</si>
  <si>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</si>
  <si>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</si>
  <si>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</si>
  <si>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</si>
  <si>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</si>
  <si>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</si>
  <si>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</si>
  <si>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</si>
  <si>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</si>
  <si>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</si>
  <si>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</si>
  <si>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</si>
  <si>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</si>
  <si>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</si>
  <si>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</si>
  <si>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</si>
  <si>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</si>
  <si>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</si>
  <si>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</si>
  <si>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</si>
  <si>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</si>
  <si>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</si>
  <si>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</si>
  <si>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</si>
  <si>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</si>
  <si>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</si>
  <si>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</si>
  <si>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</si>
  <si>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</si>
  <si>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</si>
  <si>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</si>
  <si>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</si>
  <si>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</si>
  <si>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</si>
  <si>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</si>
  <si>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</si>
  <si>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</si>
  <si>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</si>
  <si>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</si>
  <si>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</si>
  <si>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</si>
  <si>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</si>
  <si>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</si>
  <si>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</si>
  <si>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</si>
  <si>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</si>
  <si>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</si>
  <si>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</si>
  <si>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</si>
  <si>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</si>
  <si>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</si>
  <si>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</si>
  <si>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</si>
  <si>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</si>
  <si>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</si>
  <si>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</si>
  <si>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</si>
  <si>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</si>
  <si>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</si>
  <si>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</si>
  <si>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</si>
  <si>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</si>
  <si>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</si>
  <si>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</si>
  <si>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</si>
  <si>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</si>
  <si>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</si>
  <si>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</si>
  <si>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</si>
  <si>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</si>
  <si>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</si>
  <si>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</si>
  <si>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</si>
  <si>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</si>
  <si>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</si>
  <si>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</si>
  <si>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</si>
  <si>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</si>
  <si>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</si>
  <si>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</si>
  <si>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</si>
  <si>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</si>
  <si>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</si>
  <si>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</si>
  <si>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</si>
  <si>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</si>
  <si>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</si>
  <si>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</si>
  <si>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</si>
  <si>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</si>
  <si>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</si>
  <si>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</si>
  <si>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</si>
  <si>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</si>
  <si>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</si>
  <si>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</si>
  <si>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</si>
  <si>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</si>
  <si>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</si>
  <si>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</si>
  <si>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</si>
  <si>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</si>
  <si>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</si>
  <si>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</si>
  <si>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</si>
  <si>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</si>
  <si>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</si>
  <si>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</si>
  <si>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</si>
  <si>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</si>
  <si>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</si>
  <si>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</si>
  <si>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</si>
  <si>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</si>
  <si>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</si>
  <si>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</si>
  <si>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</si>
  <si>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</si>
  <si>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</si>
  <si>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</si>
  <si>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</si>
  <si>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</si>
  <si>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</si>
  <si>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</si>
  <si>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</si>
  <si>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</si>
  <si>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</si>
  <si>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</si>
  <si>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</si>
  <si>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</si>
  <si>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</si>
  <si>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</si>
  <si>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</si>
  <si>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</si>
  <si>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</si>
  <si>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</si>
  <si>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</si>
  <si>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</si>
  <si>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</si>
  <si>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</si>
  <si>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</si>
  <si>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</si>
  <si>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</si>
  <si>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</si>
  <si>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</si>
  <si>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</si>
  <si>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</si>
  <si>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</si>
  <si>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</si>
  <si>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</si>
  <si>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</si>
  <si>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</si>
  <si>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</si>
  <si>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</si>
  <si>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</si>
  <si>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</si>
  <si>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</si>
  <si>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</si>
  <si>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</si>
  <si>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</si>
  <si>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</si>
  <si>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</si>
  <si>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</si>
  <si>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</si>
  <si>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</si>
  <si>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</si>
  <si>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</si>
  <si>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</si>
  <si>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</si>
  <si>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</si>
  <si>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</si>
  <si>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</si>
  <si>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</si>
  <si>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</si>
  <si>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</si>
  <si>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</si>
  <si>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</si>
  <si>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</si>
  <si>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</si>
  <si>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</si>
  <si>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</si>
  <si>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</si>
  <si>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</si>
  <si>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</si>
  <si>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</si>
  <si>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</si>
  <si>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</si>
  <si>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</si>
  <si>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</si>
  <si>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</si>
  <si>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</si>
  <si>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</si>
  <si>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</si>
  <si>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</si>
  <si>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</si>
  <si>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</si>
  <si>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</si>
  <si>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</si>
  <si>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</si>
  <si>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</si>
  <si>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</si>
  <si>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</si>
  <si>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</si>
  <si>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</si>
  <si>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</si>
  <si>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</si>
  <si>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</si>
  <si>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</si>
  <si>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</si>
  <si>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</si>
  <si>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</si>
  <si>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</si>
  <si>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</si>
  <si>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</si>
  <si>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</si>
  <si>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</si>
  <si>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</si>
  <si>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</si>
  <si>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</si>
  <si>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</si>
  <si>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</si>
  <si>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</si>
  <si>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</si>
  <si>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</si>
  <si>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</si>
  <si>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</si>
  <si>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</si>
  <si>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</si>
  <si>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</si>
  <si>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</si>
  <si>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</si>
  <si>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</si>
  <si>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</si>
  <si>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</si>
  <si>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</si>
  <si>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</si>
  <si>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</si>
  <si>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</si>
  <si>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</si>
  <si>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</si>
  <si>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</si>
  <si>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</si>
  <si>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</si>
  <si>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</si>
  <si>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</si>
  <si>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</si>
  <si>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</si>
  <si>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</si>
  <si>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</si>
  <si>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</si>
  <si>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</si>
  <si>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</si>
  <si>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</si>
  <si>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</si>
  <si>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</si>
  <si>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</si>
  <si>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</si>
  <si>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</si>
  <si>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</si>
  <si>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</si>
  <si>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</si>
  <si>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</si>
  <si>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</si>
  <si>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</si>
  <si>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</si>
  <si>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</si>
  <si>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</si>
  <si>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</si>
  <si>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</si>
  <si>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</si>
  <si>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</si>
  <si>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</si>
  <si>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</si>
  <si>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</si>
  <si>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</si>
  <si>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</si>
  <si>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</si>
  <si>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</si>
  <si>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</si>
  <si>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</si>
  <si>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</si>
  <si>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</si>
  <si>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</si>
  <si>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</si>
  <si>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</si>
  <si>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</si>
  <si>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</si>
  <si>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</si>
  <si>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</si>
  <si>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</si>
  <si>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</si>
  <si>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</si>
  <si>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</si>
  <si>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</si>
  <si>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</si>
  <si>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</si>
  <si>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</si>
  <si>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</si>
  <si>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</si>
  <si>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</si>
  <si>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</si>
  <si>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</si>
  <si>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</si>
  <si>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</si>
  <si>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</si>
  <si>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</si>
  <si>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</si>
  <si>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</si>
  <si>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</si>
  <si>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</si>
  <si>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</si>
  <si>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</si>
  <si>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</si>
  <si>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</si>
  <si>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</si>
  <si>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</si>
  <si>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</si>
  <si>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</si>
  <si>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</si>
  <si>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</si>
  <si>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</si>
  <si>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</si>
  <si>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</si>
  <si>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</si>
  <si>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</si>
  <si>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</si>
  <si>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</si>
  <si>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</si>
  <si>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</si>
  <si>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</si>
  <si>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</si>
  <si>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</si>
  <si>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</si>
  <si>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</si>
  <si>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</si>
  <si>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</si>
  <si>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</si>
  <si>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</si>
  <si>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</si>
  <si>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</si>
  <si>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</si>
  <si>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</si>
  <si>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</si>
  <si>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</si>
  <si>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</si>
  <si>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</si>
  <si>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</si>
  <si>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</si>
  <si>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</si>
  <si>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</si>
  <si>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</si>
  <si>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</si>
  <si>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</si>
  <si>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</si>
  <si>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</si>
  <si>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</si>
  <si>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</si>
  <si>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</si>
  <si>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</si>
  <si>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</si>
  <si>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</si>
  <si>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</si>
  <si>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</si>
  <si>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</si>
  <si>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</si>
  <si>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</si>
  <si>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</si>
  <si>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</si>
  <si>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</si>
  <si>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</si>
  <si>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</si>
  <si>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</si>
  <si>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</si>
  <si>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</si>
  <si>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</si>
  <si>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</si>
  <si>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</si>
  <si>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</si>
  <si>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</si>
  <si>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</si>
  <si>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</si>
  <si>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</si>
  <si>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</si>
  <si>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</si>
  <si>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</si>
  <si>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</si>
  <si>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</si>
  <si>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</si>
  <si>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</si>
  <si>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</si>
  <si>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</si>
  <si>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</si>
  <si>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</si>
  <si>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</si>
  <si>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</si>
  <si>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</si>
  <si>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</si>
  <si>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</si>
  <si>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</si>
  <si>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</si>
  <si>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</si>
  <si>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</si>
  <si>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</si>
  <si>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</si>
  <si>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</si>
  <si>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</si>
  <si>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</si>
  <si>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</si>
  <si>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</si>
  <si>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</si>
  <si>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</si>
  <si>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</si>
  <si>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</si>
  <si>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</si>
  <si>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</si>
  <si>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</si>
  <si>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</si>
  <si>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</si>
  <si>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</si>
  <si>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</si>
  <si>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</si>
  <si>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</si>
  <si>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</si>
  <si>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</si>
  <si>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</si>
  <si>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</si>
  <si>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</si>
  <si>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</si>
  <si>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</si>
  <si>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</si>
  <si>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</si>
  <si>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</si>
  <si>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</si>
  <si>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</si>
  <si>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</si>
  <si>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</si>
  <si>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</si>
  <si>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</si>
  <si>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</si>
  <si>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</si>
  <si>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</si>
  <si>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</si>
  <si>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</si>
  <si>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</si>
  <si>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</si>
  <si>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</si>
  <si>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</si>
  <si>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</si>
  <si>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</si>
  <si>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</si>
  <si>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</si>
  <si>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</si>
  <si>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</si>
  <si>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</si>
  <si>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</si>
  <si>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</si>
  <si>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</si>
  <si>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</si>
  <si>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</si>
  <si>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</si>
  <si>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</si>
  <si>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</si>
  <si>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</si>
  <si>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</si>
  <si>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</si>
  <si>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</si>
  <si>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</si>
  <si>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</si>
  <si>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</si>
  <si>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</si>
  <si>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</si>
  <si>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</si>
  <si>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</si>
  <si>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</si>
  <si>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</si>
  <si>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</si>
  <si>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</si>
  <si>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</si>
  <si>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</si>
  <si>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</si>
  <si>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</si>
  <si>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</si>
  <si>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</si>
  <si>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</si>
  <si>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</si>
  <si>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</si>
  <si>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</si>
  <si>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</si>
  <si>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</si>
  <si>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</si>
  <si>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</si>
  <si>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</si>
  <si>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</si>
  <si>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</si>
  <si>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</si>
  <si>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</si>
  <si>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</si>
  <si>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</si>
  <si>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</si>
  <si>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</si>
  <si>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</si>
  <si>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</si>
  <si>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</si>
  <si>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</si>
  <si>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</si>
  <si>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</si>
  <si>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</si>
  <si>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</si>
  <si>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</si>
  <si>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</si>
  <si>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</si>
  <si>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</si>
  <si>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</si>
  <si>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</si>
  <si>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</si>
  <si>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</si>
  <si>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</si>
  <si>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</si>
  <si>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</si>
  <si>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</si>
  <si>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</si>
  <si>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</si>
  <si>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</si>
  <si>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</si>
  <si>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</si>
  <si>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</si>
  <si>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</si>
  <si>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</si>
  <si>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</si>
  <si>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</si>
  <si>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</si>
  <si>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</si>
  <si>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</si>
  <si>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</si>
  <si>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</si>
  <si>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</si>
  <si>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</si>
  <si>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</si>
  <si>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</si>
  <si>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</si>
  <si>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</si>
  <si>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</si>
  <si>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</si>
  <si>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</si>
  <si>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</si>
  <si>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</si>
  <si>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</si>
  <si>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</si>
  <si>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</si>
  <si>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</si>
  <si>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</si>
  <si>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</si>
  <si>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</si>
  <si>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</si>
  <si>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</si>
  <si>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</si>
  <si>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</si>
  <si>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</si>
  <si>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</si>
  <si>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</si>
  <si>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</si>
  <si>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</si>
  <si>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</si>
  <si>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</si>
  <si>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</si>
  <si>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</si>
  <si>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</si>
  <si>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</si>
  <si>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</si>
  <si>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</si>
  <si>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</si>
  <si>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</si>
  <si>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</si>
  <si>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</si>
  <si>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</si>
  <si>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</si>
  <si>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</si>
  <si>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</si>
  <si>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</si>
  <si>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</si>
  <si>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</si>
  <si>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</si>
  <si>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</si>
  <si>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</si>
  <si>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</si>
  <si>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</si>
  <si>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</si>
  <si>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</si>
  <si>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</si>
  <si>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</si>
  <si>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</si>
  <si>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</si>
  <si>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</si>
  <si>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</si>
  <si>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</si>
  <si>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</si>
  <si>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</si>
  <si>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</si>
  <si>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</si>
  <si>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</si>
  <si>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</si>
  <si>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</si>
  <si>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</si>
  <si>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</si>
  <si>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</si>
  <si>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</si>
  <si>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</si>
  <si>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</si>
  <si>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</si>
  <si>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</si>
  <si>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</si>
  <si>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</si>
  <si>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</si>
  <si>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</si>
  <si>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</si>
  <si>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</si>
  <si>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</si>
  <si>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</si>
  <si>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</si>
  <si>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</si>
  <si>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</si>
  <si>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</si>
  <si>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</si>
  <si>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</si>
  <si>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</si>
  <si>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</si>
  <si>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</si>
  <si>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</si>
  <si>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</si>
  <si>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</si>
  <si>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</si>
  <si>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</si>
  <si>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</si>
  <si>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</si>
  <si>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</si>
  <si>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</si>
  <si>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</si>
  <si>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</si>
  <si>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</si>
  <si>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</si>
  <si>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</si>
  <si>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</si>
  <si>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</si>
  <si>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</si>
  <si>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</si>
  <si>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</si>
  <si>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</si>
  <si>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</si>
  <si>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</si>
  <si>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</si>
  <si>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</si>
  <si>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</si>
  <si>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</si>
  <si>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</si>
  <si>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</si>
  <si>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</si>
  <si>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</si>
  <si>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</si>
  <si>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</si>
  <si>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</si>
  <si>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</si>
  <si>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</si>
  <si>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</si>
  <si>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</si>
  <si>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</si>
  <si>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</si>
  <si>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</si>
  <si>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</si>
  <si>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</si>
  <si>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</si>
  <si>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</si>
  <si>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</si>
  <si>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</si>
  <si>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</si>
  <si>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</si>
  <si>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</si>
  <si>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</si>
  <si>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</si>
  <si>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</si>
  <si>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</si>
  <si>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</si>
  <si>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</si>
  <si>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</si>
  <si>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</si>
  <si>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</si>
  <si>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</si>
  <si>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</si>
  <si>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</si>
  <si>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</si>
  <si>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</si>
  <si>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</si>
  <si>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</si>
  <si>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</si>
  <si>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</si>
  <si>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</si>
  <si>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</si>
  <si>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</si>
  <si>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</si>
  <si>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</si>
  <si>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</si>
  <si>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</si>
  <si>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</si>
  <si>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</si>
  <si>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</si>
  <si>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</si>
  <si>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</si>
  <si>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</si>
  <si>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</si>
  <si>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</si>
  <si>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</si>
  <si>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</si>
  <si>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</si>
  <si>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</si>
  <si>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</si>
  <si>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</si>
  <si>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</si>
  <si>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</si>
  <si>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</si>
  <si>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</si>
  <si>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</si>
  <si>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</si>
  <si>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</si>
  <si>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</si>
  <si>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</si>
  <si>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</si>
  <si>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</si>
  <si>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</si>
  <si>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</si>
  <si>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</si>
  <si>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</si>
  <si>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</si>
  <si>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</si>
  <si>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</si>
  <si>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</si>
  <si>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</si>
  <si>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</si>
  <si>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</si>
  <si>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</si>
  <si>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</si>
  <si>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</si>
  <si>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</si>
  <si>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</si>
  <si>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</si>
  <si>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</si>
  <si>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</si>
  <si>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</si>
  <si>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</si>
  <si>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</si>
  <si>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</si>
  <si>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</si>
  <si>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</si>
  <si>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</si>
  <si>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</si>
  <si>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</si>
  <si>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</si>
  <si>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</si>
  <si>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</si>
  <si>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</si>
  <si>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</si>
  <si>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</si>
  <si>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</si>
  <si>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</si>
  <si>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</si>
  <si>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</si>
  <si>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</si>
  <si>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</si>
  <si>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</si>
  <si>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</si>
  <si>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</si>
  <si>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</si>
  <si>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</si>
  <si>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</si>
  <si>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</si>
  <si>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</si>
  <si>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</si>
  <si>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</si>
  <si>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</si>
  <si>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</si>
  <si>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</si>
  <si>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</si>
  <si>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</si>
  <si>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</si>
  <si>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</si>
  <si>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</si>
  <si>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</si>
  <si>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</si>
  <si>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</si>
  <si>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</si>
  <si>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</si>
  <si>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</si>
  <si>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</si>
  <si>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</si>
  <si>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</si>
  <si>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</si>
  <si>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</si>
  <si>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</si>
  <si>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</si>
  <si>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</si>
  <si>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</si>
  <si>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</si>
  <si>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</si>
  <si>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</si>
  <si>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</si>
  <si>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</si>
  <si>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</si>
  <si>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</si>
  <si>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</si>
  <si>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</si>
  <si>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</si>
  <si>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</si>
  <si>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</si>
  <si>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</si>
  <si>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</si>
  <si>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</si>
  <si>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</si>
  <si>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</si>
  <si>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</si>
  <si>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</si>
  <si>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</si>
  <si>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</si>
  <si>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</si>
  <si>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</si>
  <si>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</si>
  <si>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</si>
  <si>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</si>
  <si>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</si>
  <si>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</si>
  <si>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</si>
  <si>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</si>
  <si>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</si>
  <si>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</si>
  <si>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</si>
  <si>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</si>
  <si>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</si>
  <si>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</si>
  <si>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</si>
  <si>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</si>
  <si>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</si>
  <si>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</si>
  <si>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</si>
  <si>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</si>
  <si>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</si>
  <si>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</si>
  <si>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</si>
  <si>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</si>
  <si>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</si>
  <si>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</si>
  <si>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</si>
  <si>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</si>
  <si>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</si>
  <si>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</si>
  <si>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</si>
  <si>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</si>
  <si>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</si>
  <si>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</si>
  <si>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</si>
  <si>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</si>
  <si>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</si>
  <si>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</si>
  <si>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</si>
  <si>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</si>
  <si>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</si>
  <si>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</si>
  <si>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</si>
  <si>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</si>
  <si>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</si>
  <si>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</si>
  <si>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</si>
  <si>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</si>
  <si>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</si>
  <si>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</si>
  <si>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</si>
  <si>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</si>
  <si>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</si>
  <si>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</si>
  <si>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</si>
  <si>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</si>
  <si>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</si>
  <si>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</si>
  <si>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</si>
  <si>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</si>
  <si>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</si>
  <si>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</si>
  <si>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</si>
  <si>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</si>
  <si>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</si>
  <si>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</si>
  <si>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</si>
  <si>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</si>
  <si>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</si>
  <si>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</si>
  <si>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</si>
  <si>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</si>
  <si>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</si>
  <si>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</si>
  <si>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</si>
  <si>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</si>
  <si>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</si>
  <si>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</si>
  <si>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</si>
  <si>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</si>
  <si>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</si>
  <si>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</si>
  <si>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</si>
  <si>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</si>
  <si>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</si>
  <si>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</si>
  <si>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</si>
  <si>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</si>
  <si>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</si>
  <si>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</si>
  <si>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</si>
  <si>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</si>
  <si>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</si>
  <si>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</si>
  <si>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</si>
  <si>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</si>
  <si>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</si>
  <si>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</si>
  <si>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</si>
  <si>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</si>
  <si>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</si>
  <si>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</si>
  <si>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</si>
  <si>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</si>
  <si>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</si>
  <si>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</si>
  <si>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</si>
  <si>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</si>
  <si>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</si>
  <si>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</si>
  <si>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</si>
  <si>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</si>
  <si>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</si>
  <si>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</si>
  <si>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</si>
  <si>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</si>
  <si>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</si>
  <si>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</si>
  <si>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</si>
  <si>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</si>
  <si>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</si>
  <si>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</si>
  <si>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</si>
  <si>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</si>
  <si>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</si>
  <si>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</si>
  <si>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</si>
  <si>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</si>
  <si>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</si>
  <si>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</si>
  <si>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</si>
  <si>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</si>
  <si>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</si>
  <si>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</si>
  <si>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</si>
  <si>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</si>
  <si>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</si>
  <si>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</si>
  <si>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</si>
  <si>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</si>
  <si>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</si>
  <si>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</si>
  <si>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</si>
  <si>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</si>
  <si>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</si>
  <si>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</si>
  <si>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</si>
  <si>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</si>
  <si>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</si>
  <si>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</si>
  <si>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</si>
  <si>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</si>
  <si>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</si>
  <si>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</si>
  <si>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</si>
  <si>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</si>
  <si>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</si>
  <si>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</si>
  <si>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</si>
  <si>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</si>
  <si>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</si>
  <si>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</si>
  <si>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</si>
  <si>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</si>
  <si>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</si>
  <si>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</si>
  <si>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</si>
  <si>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</si>
  <si>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</si>
  <si>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</si>
  <si>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</si>
  <si>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</si>
  <si>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</si>
  <si>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</si>
  <si>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</si>
  <si>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</si>
  <si>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</si>
  <si>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</si>
  <si>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</si>
  <si>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</si>
  <si>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</si>
  <si>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</si>
  <si>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</si>
  <si>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</si>
  <si>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</si>
  <si>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</si>
  <si>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</si>
  <si>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</si>
  <si>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</si>
  <si>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</si>
  <si>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</si>
  <si>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</si>
  <si>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</si>
  <si>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</si>
  <si>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</si>
  <si>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</si>
  <si>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</si>
  <si>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</si>
  <si>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</si>
  <si>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</si>
  <si>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</si>
  <si>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</si>
  <si>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</si>
  <si>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</si>
  <si>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</si>
  <si>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</si>
  <si>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</si>
  <si>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</si>
  <si>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</si>
  <si>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</si>
  <si>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</si>
  <si>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</si>
  <si>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</si>
  <si>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</si>
  <si>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</si>
  <si>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</si>
  <si>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</si>
  <si>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</si>
  <si>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</si>
  <si>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</si>
  <si>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</si>
  <si>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</si>
  <si>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</si>
  <si>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</si>
  <si>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</si>
  <si>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</si>
  <si>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</si>
  <si>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</si>
  <si>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</si>
  <si>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</si>
  <si>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</si>
  <si>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</si>
  <si>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</si>
  <si>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</si>
  <si>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</si>
  <si>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</si>
  <si>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</si>
  <si>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</si>
  <si>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</si>
  <si>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</si>
  <si>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</si>
  <si>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</si>
  <si>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</si>
  <si>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</si>
  <si>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</si>
  <si>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</si>
  <si>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</si>
  <si>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</si>
  <si>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</si>
  <si>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</si>
  <si>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</si>
  <si>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</si>
  <si>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</si>
  <si>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</si>
  <si>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</si>
  <si>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</si>
  <si>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</si>
  <si>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</si>
  <si>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</si>
  <si>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</si>
  <si>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</si>
  <si>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</si>
  <si>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</si>
  <si>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</si>
  <si>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</si>
  <si>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</si>
  <si>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</si>
  <si>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</si>
  <si>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</si>
  <si>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</si>
  <si>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</si>
  <si>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</si>
  <si>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</si>
  <si>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</si>
  <si>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</si>
  <si>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</si>
  <si>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</si>
  <si>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</si>
  <si>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</si>
  <si>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</si>
  <si>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</si>
  <si>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</si>
  <si>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</si>
  <si>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</si>
  <si>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</si>
  <si>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</si>
  <si>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</si>
  <si>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</si>
  <si>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</si>
  <si>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</si>
  <si>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</si>
  <si>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</si>
  <si>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</si>
  <si>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</si>
  <si>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</si>
  <si>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</si>
  <si>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</si>
  <si>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</si>
  <si>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</si>
  <si>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</si>
  <si>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</si>
  <si>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</si>
  <si>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</si>
  <si>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</si>
  <si>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</si>
  <si>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</si>
  <si>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</si>
  <si>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</si>
  <si>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</si>
  <si>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</si>
  <si>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</si>
  <si>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</si>
  <si>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</si>
  <si>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</si>
  <si>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</si>
  <si>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</si>
  <si>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</si>
  <si>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</si>
  <si>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</si>
  <si>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</si>
  <si>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</si>
  <si>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</si>
  <si>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</si>
  <si>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</si>
  <si>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</si>
  <si>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</si>
  <si>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</si>
  <si>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</si>
  <si>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</si>
  <si>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</si>
  <si>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</si>
  <si>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</si>
  <si>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</si>
  <si>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</si>
  <si>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</si>
  <si>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</si>
  <si>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</si>
  <si>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</si>
  <si>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</si>
  <si>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</si>
  <si>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</si>
  <si>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</si>
  <si>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</si>
  <si>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</si>
  <si>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</si>
  <si>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</si>
  <si>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</si>
  <si>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</si>
  <si>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</si>
  <si>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</si>
  <si>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</si>
  <si>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</si>
  <si>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</si>
  <si>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</si>
  <si>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</si>
  <si>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</si>
  <si>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</si>
  <si>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</si>
  <si>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</si>
  <si>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</si>
  <si>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</si>
  <si>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</si>
  <si>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</si>
  <si>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</si>
  <si>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</si>
  <si>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</si>
  <si>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</si>
  <si>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</si>
  <si>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</si>
  <si>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</si>
  <si>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</si>
  <si>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</si>
  <si>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</si>
  <si>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</si>
  <si>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</si>
  <si>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</si>
  <si>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</si>
  <si>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</si>
  <si>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</si>
  <si>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</si>
  <si>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</si>
  <si>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</si>
  <si>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</si>
  <si>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</si>
  <si>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</si>
  <si>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</si>
  <si>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</si>
  <si>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</si>
  <si>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</si>
  <si>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</si>
  <si>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</si>
  <si>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</si>
  <si>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</si>
  <si>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</si>
  <si>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</si>
  <si>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</si>
  <si>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</si>
  <si>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</si>
  <si>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</si>
  <si>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</si>
  <si>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</si>
  <si>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</si>
  <si>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</si>
  <si>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</si>
  <si>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</si>
  <si>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</si>
  <si>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</si>
  <si>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</si>
  <si>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</si>
  <si>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</si>
  <si>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</si>
  <si>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</si>
  <si>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</si>
  <si>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</si>
  <si>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</si>
  <si>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</si>
  <si>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</si>
  <si>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</si>
  <si>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</si>
  <si>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</si>
  <si>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</si>
  <si>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</si>
  <si>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</si>
  <si>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</si>
  <si>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</si>
  <si>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</si>
  <si>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</si>
  <si>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</si>
  <si>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</si>
  <si>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</si>
  <si>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</si>
  <si>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</si>
  <si>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</si>
  <si>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</si>
  <si>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</si>
  <si>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</si>
  <si>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</si>
  <si>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</si>
  <si>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</si>
  <si>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</si>
  <si>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</si>
  <si>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</si>
  <si>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</si>
  <si>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</si>
  <si>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</si>
  <si>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</si>
  <si>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</si>
  <si>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</si>
  <si>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</si>
  <si>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</si>
  <si>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</si>
  <si>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</si>
  <si>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</si>
  <si>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</si>
  <si>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</si>
  <si>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</si>
  <si>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</si>
  <si>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</si>
  <si>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</si>
  <si>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</si>
  <si>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</si>
  <si>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</si>
  <si>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</si>
  <si>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</si>
  <si>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</si>
  <si>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</si>
  <si>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</si>
  <si>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</si>
  <si>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</si>
  <si>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</si>
  <si>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</si>
  <si>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</si>
  <si>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</si>
  <si>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</si>
  <si>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</si>
  <si>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</si>
  <si>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</si>
  <si>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</si>
  <si>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</si>
  <si>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</si>
  <si>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</si>
  <si>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</si>
  <si>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</si>
  <si>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</si>
  <si>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</si>
  <si>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</si>
  <si>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</si>
  <si>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</si>
  <si>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</si>
  <si>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</si>
  <si>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</si>
  <si>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</si>
  <si>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</si>
  <si>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</si>
  <si>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</si>
  <si>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</si>
  <si>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</si>
  <si>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</si>
  <si>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</si>
  <si>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</si>
  <si>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</si>
  <si>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</si>
  <si>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</si>
  <si>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</si>
  <si>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</si>
  <si>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</si>
  <si>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</si>
  <si>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</si>
  <si>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</si>
  <si>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</si>
  <si>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</si>
  <si>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</si>
  <si>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</si>
  <si>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</si>
  <si>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</si>
  <si>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</si>
  <si>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</si>
  <si>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</si>
  <si>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</si>
  <si>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</si>
  <si>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</si>
  <si>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</si>
  <si>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</si>
  <si>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</si>
  <si>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</si>
  <si>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</si>
  <si>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</si>
  <si>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</si>
  <si>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</si>
  <si>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</si>
  <si>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</si>
  <si>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</si>
  <si>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</si>
  <si>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</si>
  <si>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</si>
  <si>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</si>
  <si>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</si>
  <si>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</si>
  <si>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</si>
  <si>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</si>
  <si>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</si>
  <si>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</si>
  <si>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</si>
  <si>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</si>
  <si>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</si>
  <si>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</si>
  <si>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</si>
  <si>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</si>
  <si>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</si>
  <si>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</si>
  <si>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</si>
  <si>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</si>
  <si>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</si>
  <si>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</si>
  <si>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</si>
  <si>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</si>
  <si>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</si>
  <si>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</si>
  <si>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</si>
  <si>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</si>
  <si>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</si>
  <si>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</si>
  <si>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</si>
  <si>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</si>
  <si>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</si>
  <si>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</si>
  <si>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</si>
  <si>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</si>
  <si>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</si>
  <si>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</si>
  <si>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</si>
  <si>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</si>
  <si>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</si>
  <si>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</si>
  <si>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</si>
  <si>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</si>
  <si>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</si>
  <si>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</si>
  <si>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</si>
  <si>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</si>
  <si>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</si>
  <si>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</si>
  <si>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</si>
  <si>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</si>
  <si>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</si>
  <si>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</si>
  <si>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</si>
  <si>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</si>
  <si>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</si>
  <si>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</si>
  <si>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</si>
  <si>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</si>
  <si>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</si>
  <si>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</si>
  <si>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</si>
  <si>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</si>
  <si>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</si>
  <si>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</si>
  <si>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</si>
  <si>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</si>
  <si>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</si>
  <si>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</si>
  <si>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</si>
  <si>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</si>
  <si>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</si>
  <si>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</si>
  <si>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</si>
  <si>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</si>
  <si>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</si>
  <si>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</si>
  <si>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</si>
  <si>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</si>
  <si>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</si>
  <si>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</si>
  <si>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</si>
  <si>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</si>
  <si>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</si>
  <si>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</si>
  <si>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</si>
  <si>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</si>
  <si>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</si>
  <si>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</si>
  <si>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</si>
  <si>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</si>
  <si>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</si>
  <si>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</si>
  <si>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</si>
  <si>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</si>
  <si>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</si>
  <si>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</si>
  <si>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</si>
  <si>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</si>
  <si>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</si>
  <si>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</si>
  <si>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</si>
  <si>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</si>
  <si>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</si>
  <si>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</si>
  <si>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</si>
  <si>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</si>
  <si>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</si>
  <si>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</si>
  <si>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</si>
  <si>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</si>
  <si>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</si>
  <si>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</si>
  <si>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</si>
  <si>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</si>
  <si>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</si>
  <si>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</si>
  <si>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</si>
  <si>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</si>
  <si>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</si>
  <si>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</si>
  <si>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</si>
  <si>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</si>
  <si>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</si>
  <si>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</si>
  <si>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</si>
  <si>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</si>
  <si>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</si>
  <si>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</si>
  <si>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</si>
  <si>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</si>
  <si>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</si>
  <si>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</si>
  <si>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</si>
  <si>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</si>
  <si>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</si>
  <si>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</si>
  <si>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</si>
  <si>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</si>
  <si>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</si>
  <si>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</si>
  <si>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</si>
  <si>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</si>
  <si>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</si>
  <si>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</si>
  <si>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</si>
  <si>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</si>
  <si>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</si>
  <si>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</si>
  <si>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</si>
  <si>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</si>
  <si>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</si>
  <si>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</si>
  <si>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</si>
  <si>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</si>
  <si>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</si>
  <si>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</si>
  <si>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</si>
  <si>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</si>
  <si>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</si>
  <si>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</si>
  <si>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</si>
  <si>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</si>
  <si>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</si>
  <si>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</si>
  <si>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</si>
  <si>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</si>
  <si>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</si>
  <si>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</si>
  <si>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</si>
  <si>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</si>
  <si>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</si>
  <si>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</si>
  <si>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</si>
  <si>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</si>
  <si>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</si>
  <si>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</si>
  <si>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</si>
  <si>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</si>
  <si>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</si>
  <si>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</si>
  <si>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</si>
  <si>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</si>
  <si>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</si>
  <si>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</si>
  <si>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</si>
  <si>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</si>
  <si>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</si>
  <si>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</si>
  <si>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</si>
  <si>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</si>
  <si>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</si>
  <si>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</si>
  <si>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</si>
  <si>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</si>
  <si>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</si>
  <si>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</si>
  <si>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</si>
  <si>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</si>
  <si>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</si>
  <si>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</si>
  <si>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</si>
  <si>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</si>
  <si>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</si>
  <si>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</si>
  <si>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</si>
  <si>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</si>
  <si>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</si>
  <si>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</si>
  <si>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</si>
  <si>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</si>
  <si>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</si>
  <si>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</si>
  <si>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</si>
  <si>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</si>
  <si>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</si>
  <si>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</si>
  <si>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</si>
  <si>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</si>
  <si>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</si>
  <si>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</si>
  <si>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</si>
  <si>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</si>
  <si>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</si>
  <si>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</si>
  <si>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</si>
  <si>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</si>
  <si>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</si>
  <si>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</si>
  <si>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</si>
  <si>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</si>
  <si>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</si>
  <si>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</si>
  <si>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</si>
  <si>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</si>
  <si>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</si>
  <si>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</si>
  <si>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</si>
  <si>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</si>
  <si>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</si>
  <si>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</si>
  <si>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</si>
  <si>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</si>
  <si>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</si>
  <si>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</si>
  <si>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</si>
  <si>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</si>
  <si>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</si>
  <si>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</si>
  <si>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</si>
  <si>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</si>
  <si>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</si>
  <si>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</si>
  <si>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</si>
  <si>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</si>
  <si>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</si>
  <si>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</si>
  <si>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</si>
  <si>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</si>
  <si>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</si>
  <si>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</si>
  <si>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</si>
  <si>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</si>
  <si>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</si>
  <si>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</si>
  <si>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</si>
  <si>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</si>
  <si>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</si>
  <si>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</si>
  <si>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</si>
  <si>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</si>
  <si>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</si>
  <si>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</si>
  <si>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</si>
  <si>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</si>
  <si>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</si>
  <si>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</si>
  <si>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</si>
  <si>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</si>
  <si>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</si>
  <si>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</si>
  <si>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</si>
  <si>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</si>
  <si>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</si>
  <si>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</si>
  <si>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</si>
  <si>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</si>
  <si>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</si>
  <si>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</si>
  <si>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</si>
  <si>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</si>
  <si>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</si>
  <si>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</si>
  <si>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</si>
  <si>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</si>
  <si>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</si>
  <si>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</si>
  <si>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</si>
  <si>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</si>
  <si>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</si>
  <si>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</si>
  <si>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</si>
  <si>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</si>
  <si>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</si>
  <si>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</si>
  <si>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</si>
  <si>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</si>
  <si>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</si>
  <si>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</si>
  <si>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</si>
  <si>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</si>
  <si>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</si>
  <si>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</si>
  <si>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</si>
  <si>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</si>
  <si>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</si>
  <si>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</si>
  <si>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</si>
  <si>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</si>
  <si>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</si>
  <si>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</si>
  <si>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</si>
  <si>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</si>
  <si>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</si>
  <si>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</si>
  <si>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</si>
  <si>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</si>
  <si>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</si>
  <si>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</si>
  <si>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</si>
  <si>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</si>
  <si>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</si>
  <si>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</si>
  <si>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</si>
  <si>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</si>
  <si>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</si>
  <si>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</si>
  <si>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</si>
  <si>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</si>
  <si>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</si>
  <si>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</si>
  <si>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</si>
  <si>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</si>
  <si>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</si>
  <si>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</si>
  <si>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</si>
  <si>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</si>
  <si>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</si>
  <si>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</si>
  <si>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</si>
  <si>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</si>
  <si>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</si>
  <si>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</si>
  <si>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</si>
  <si>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</si>
  <si>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</si>
  <si>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</si>
  <si>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</si>
  <si>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</si>
  <si>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</si>
  <si>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</si>
  <si>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</si>
  <si>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</si>
  <si>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</si>
  <si>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</si>
  <si>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</si>
  <si>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</si>
  <si>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</si>
  <si>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</si>
  <si>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</si>
  <si>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</si>
  <si>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</si>
  <si>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</si>
  <si>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</si>
  <si>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</si>
  <si>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</si>
  <si>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</si>
  <si>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</si>
  <si>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</si>
  <si>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</si>
  <si>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</si>
  <si>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</si>
  <si>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</si>
  <si>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</si>
  <si>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</si>
  <si>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</si>
  <si>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</si>
  <si>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</si>
  <si>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</si>
  <si>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</si>
  <si>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</si>
  <si>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</si>
  <si>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</si>
  <si>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</si>
  <si>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</si>
  <si>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</si>
  <si>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</si>
  <si>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</si>
  <si>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</si>
  <si>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</si>
  <si>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</si>
  <si>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</si>
  <si>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</si>
  <si>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</si>
  <si>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</si>
  <si>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</si>
  <si>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</si>
  <si>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</si>
  <si>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</si>
  <si>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</si>
  <si>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</si>
  <si>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</si>
  <si>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</si>
  <si>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</si>
  <si>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</si>
  <si>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</si>
  <si>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</si>
  <si>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</si>
  <si>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</si>
  <si>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</si>
  <si>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</si>
  <si>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</si>
  <si>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</si>
  <si>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</si>
  <si>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</si>
  <si>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</si>
  <si>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</si>
  <si>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</si>
  <si>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</si>
  <si>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</si>
  <si>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</si>
  <si>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</si>
  <si>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</si>
  <si>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</si>
  <si>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</si>
  <si>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</si>
  <si>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</si>
  <si>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</si>
  <si>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</si>
  <si>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</si>
  <si>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</si>
  <si>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</si>
  <si>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</si>
  <si>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</si>
  <si>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</si>
  <si>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</si>
  <si>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</si>
  <si>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</si>
  <si>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</si>
  <si>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</si>
  <si>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</si>
  <si>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</si>
  <si>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</si>
  <si>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</si>
  <si>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</si>
  <si>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</si>
  <si>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</si>
  <si>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</si>
  <si>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</si>
  <si>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</si>
  <si>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</si>
  <si>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</si>
  <si>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</si>
  <si>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</si>
  <si>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</si>
  <si>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</si>
  <si>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</si>
  <si>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</si>
  <si>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</si>
  <si>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</si>
  <si>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</si>
  <si>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</si>
  <si>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</si>
  <si>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</si>
  <si>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</si>
  <si>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</si>
  <si>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</si>
  <si>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</si>
  <si>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</si>
  <si>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</si>
  <si>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</si>
  <si>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</si>
  <si>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</si>
  <si>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</si>
  <si>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</si>
  <si>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</si>
  <si>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</si>
  <si>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</si>
  <si>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</si>
  <si>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</si>
  <si>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</si>
  <si>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</si>
  <si>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</si>
  <si>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</si>
  <si>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</si>
  <si>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</si>
  <si>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</si>
  <si>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</si>
  <si>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</si>
  <si>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</si>
  <si>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</si>
  <si>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</si>
  <si>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</si>
  <si>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</si>
  <si>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</si>
  <si>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</si>
  <si>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</si>
  <si>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</si>
  <si>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</si>
  <si>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</si>
  <si>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</si>
  <si>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</si>
  <si>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</si>
  <si>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</si>
  <si>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</si>
  <si>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</si>
  <si>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</si>
  <si>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</si>
  <si>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</si>
  <si>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</si>
  <si>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</si>
  <si>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</si>
  <si>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</si>
  <si>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</si>
  <si>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</si>
  <si>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</si>
  <si>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</si>
  <si>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</si>
  <si>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</si>
  <si>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</si>
  <si>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</si>
  <si>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</si>
  <si>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</si>
  <si>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</si>
  <si>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</si>
  <si>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</si>
  <si>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</si>
  <si>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</si>
  <si>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</si>
  <si>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</si>
  <si>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</si>
  <si>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</si>
  <si>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</si>
  <si>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</si>
  <si>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</si>
  <si>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</si>
  <si>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</si>
  <si>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</si>
  <si>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</si>
  <si>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</si>
  <si>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</si>
  <si>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</si>
  <si>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</si>
  <si>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</si>
  <si>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</si>
  <si>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</si>
  <si>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</si>
  <si>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</si>
  <si>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</si>
  <si>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</si>
  <si>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</si>
  <si>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</si>
  <si>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</si>
  <si>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</si>
  <si>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</si>
  <si>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</si>
  <si>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</si>
  <si>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</si>
  <si>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</si>
  <si>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</si>
  <si>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</si>
  <si>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</si>
  <si>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</si>
  <si>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</si>
  <si>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</si>
  <si>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</si>
  <si>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</si>
  <si>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</si>
  <si>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</si>
  <si>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</si>
  <si>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</si>
  <si>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</si>
  <si>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</si>
  <si>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</si>
  <si>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</si>
  <si>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</si>
  <si>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</si>
  <si>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</si>
  <si>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</si>
  <si>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</si>
  <si>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</si>
  <si>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</si>
  <si>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</si>
  <si>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</si>
  <si>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</si>
  <si>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</si>
  <si>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</si>
  <si>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</si>
  <si>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</si>
  <si>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</si>
  <si>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</si>
  <si>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</si>
  <si>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</si>
  <si>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</si>
  <si>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</si>
  <si>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</si>
  <si>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</si>
  <si>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</si>
  <si>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</si>
  <si>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</si>
  <si>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</si>
  <si>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</si>
  <si>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</si>
  <si>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</si>
  <si>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</si>
  <si>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</si>
  <si>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</si>
  <si>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</si>
  <si>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</si>
  <si>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</si>
  <si>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</si>
  <si>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</si>
  <si>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</si>
  <si>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</si>
  <si>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</si>
  <si>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</si>
  <si>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</si>
  <si>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</si>
  <si>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</si>
  <si>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</si>
  <si>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</si>
  <si>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</si>
  <si>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</si>
  <si>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</si>
  <si>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</si>
  <si>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</si>
  <si>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</si>
  <si>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</si>
  <si>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</si>
  <si>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</si>
  <si>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</si>
  <si>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</si>
  <si>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</si>
  <si>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</si>
  <si>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</si>
  <si>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</si>
  <si>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</si>
  <si>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</si>
  <si>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</si>
  <si>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</si>
  <si>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</si>
  <si>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</si>
  <si>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</si>
  <si>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</si>
  <si>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</si>
  <si>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</si>
  <si>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</si>
  <si>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</si>
  <si>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</si>
  <si>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</si>
  <si>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</si>
  <si>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</si>
  <si>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</si>
  <si>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</si>
  <si>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</si>
  <si>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</si>
  <si>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</si>
  <si>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</si>
  <si>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</si>
  <si>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</si>
  <si>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</si>
  <si>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</si>
  <si>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</si>
  <si>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</si>
  <si>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</si>
  <si>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</si>
  <si>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</si>
  <si>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</si>
  <si>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</si>
  <si>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</si>
  <si>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</si>
  <si>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</si>
  <si>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</si>
  <si>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</si>
  <si>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</si>
  <si>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</si>
  <si>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</si>
  <si>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</si>
  <si>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</si>
  <si>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</si>
  <si>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</si>
  <si>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</si>
  <si>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</si>
  <si>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</si>
  <si>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</si>
  <si>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</si>
  <si>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</si>
  <si>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</si>
  <si>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</si>
  <si>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</si>
  <si>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</si>
  <si>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</si>
  <si>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</si>
  <si>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</si>
  <si>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</si>
  <si>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</si>
  <si>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</si>
  <si>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</si>
  <si>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</si>
  <si>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</si>
  <si>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</si>
  <si>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</si>
  <si>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</si>
  <si>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</si>
  <si>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</si>
  <si>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</si>
  <si>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</si>
  <si>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</si>
  <si>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</si>
  <si>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</si>
  <si>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</si>
  <si>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</si>
  <si>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</si>
  <si>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</si>
  <si>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</si>
  <si>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</si>
  <si>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</si>
  <si>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</si>
  <si>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</si>
  <si>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</si>
  <si>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</si>
  <si>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</si>
  <si>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</si>
  <si>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</si>
  <si>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</si>
  <si>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</si>
  <si>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</si>
  <si>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</si>
  <si>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</si>
  <si>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</si>
  <si>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</si>
  <si>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</si>
  <si>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</si>
  <si>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</si>
  <si>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</si>
  <si>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</si>
  <si>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</si>
  <si>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</si>
  <si>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</si>
  <si>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</si>
  <si>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</si>
  <si>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</si>
  <si>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</si>
  <si>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</si>
  <si>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</si>
  <si>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</si>
  <si>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</si>
  <si>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</si>
  <si>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</si>
  <si>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</si>
  <si>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</si>
  <si>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</si>
  <si>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</si>
  <si>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</si>
  <si>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</si>
  <si>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</si>
  <si>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</si>
  <si>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</si>
  <si>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</si>
  <si>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</si>
  <si>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</si>
  <si>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</si>
  <si>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</si>
  <si>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</si>
  <si>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</si>
  <si>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</si>
  <si>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</si>
  <si>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</si>
  <si>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</si>
  <si>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</si>
  <si>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</si>
  <si>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</si>
  <si>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</si>
  <si>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</si>
  <si>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</si>
  <si>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</si>
  <si>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</si>
  <si>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</si>
  <si>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</si>
  <si>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</si>
  <si>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</si>
  <si>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</si>
  <si>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</si>
  <si>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</si>
  <si>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</si>
  <si>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</si>
  <si>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</si>
  <si>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</si>
  <si>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</si>
  <si>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</si>
  <si>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</si>
  <si>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</si>
  <si>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</si>
  <si>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</si>
  <si>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</si>
  <si>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</si>
  <si>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</si>
  <si>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</si>
  <si>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</si>
  <si>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</si>
  <si>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</si>
  <si>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</si>
  <si>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</si>
  <si>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</si>
  <si>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</si>
  <si>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</si>
  <si>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</si>
  <si>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</si>
  <si>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</si>
  <si>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</si>
  <si>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</si>
  <si>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</si>
  <si>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</si>
  <si>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</si>
  <si>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</si>
  <si>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</si>
  <si>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</si>
  <si>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</si>
  <si>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</si>
  <si>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</si>
  <si>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</si>
  <si>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</si>
  <si>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</si>
  <si>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</si>
  <si>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</si>
  <si>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</si>
  <si>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</si>
  <si>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</si>
  <si>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</si>
  <si>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</si>
  <si>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</si>
  <si>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</si>
  <si>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</si>
  <si>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</si>
  <si>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</si>
  <si>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</si>
  <si>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</si>
  <si>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</si>
  <si>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</si>
  <si>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</si>
  <si>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</si>
  <si>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</si>
  <si>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</si>
  <si>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</si>
  <si>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</si>
  <si>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</si>
  <si>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</si>
  <si>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</si>
  <si>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</si>
  <si>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</si>
  <si>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</si>
  <si>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</si>
  <si>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</si>
  <si>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</si>
  <si>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</si>
  <si>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</si>
  <si>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</si>
  <si>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</si>
  <si>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</si>
  <si>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</si>
  <si>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</si>
  <si>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</si>
  <si>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</si>
  <si>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</si>
  <si>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</si>
  <si>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</si>
  <si>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</si>
  <si>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</si>
  <si>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</si>
  <si>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</si>
  <si>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</si>
  <si>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</si>
  <si>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</si>
  <si>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</si>
  <si>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</si>
  <si>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</si>
  <si>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</si>
  <si>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</si>
  <si>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</si>
  <si>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</si>
  <si>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</si>
  <si>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</si>
  <si>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</si>
  <si>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</si>
  <si>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</si>
  <si>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</si>
  <si>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</si>
  <si>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</si>
  <si>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</si>
  <si>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</si>
  <si>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</si>
  <si>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</si>
  <si>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</si>
  <si>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</si>
  <si>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</si>
  <si>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</si>
  <si>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</si>
  <si>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</si>
  <si>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</si>
  <si>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</si>
  <si>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</si>
  <si>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</si>
  <si>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</si>
  <si>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</si>
  <si>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</si>
  <si>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</si>
  <si>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</si>
  <si>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</si>
  <si>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</si>
  <si>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</si>
  <si>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</si>
  <si>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</si>
  <si>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</si>
  <si>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</si>
  <si>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</si>
  <si>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</si>
  <si>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</si>
  <si>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</si>
  <si>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</si>
  <si>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</si>
  <si>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</si>
  <si>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</si>
  <si>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</si>
  <si>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</si>
  <si>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</si>
  <si>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</si>
  <si>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</si>
  <si>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</si>
  <si>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</si>
  <si>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</si>
  <si>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</si>
  <si>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</si>
  <si>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</si>
  <si>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</si>
  <si>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</si>
  <si>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</si>
  <si>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</si>
  <si>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</si>
  <si>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</si>
  <si>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</si>
  <si>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</si>
  <si>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</si>
  <si>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</si>
  <si>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</si>
  <si>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</si>
  <si>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</si>
  <si>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</si>
  <si>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</si>
  <si>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</si>
  <si>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</si>
  <si>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</si>
  <si>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</si>
  <si>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</si>
  <si>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</si>
  <si>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</si>
  <si>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</si>
  <si>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</si>
  <si>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</si>
  <si>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</si>
  <si>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</si>
  <si>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</si>
  <si>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</si>
  <si>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</si>
  <si>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</si>
  <si>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</si>
  <si>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</si>
  <si>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</si>
  <si>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</si>
  <si>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</si>
  <si>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</si>
  <si>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</si>
  <si>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</si>
  <si>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</si>
  <si>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</si>
  <si>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</si>
  <si>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</si>
  <si>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</si>
  <si>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</si>
  <si>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</si>
  <si>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</si>
  <si>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</si>
  <si>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</si>
  <si>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</si>
  <si>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</si>
  <si>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</si>
  <si>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</si>
  <si>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</si>
  <si>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</si>
  <si>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</si>
  <si>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</si>
  <si>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</si>
  <si>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</si>
  <si>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</si>
  <si>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</si>
  <si>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</si>
  <si>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</si>
  <si>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</si>
  <si>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</si>
  <si>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</si>
  <si>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</si>
  <si>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</si>
  <si>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</si>
  <si>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</si>
  <si>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</si>
  <si>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</si>
  <si>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</si>
  <si>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</si>
  <si>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</si>
  <si>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</si>
  <si>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</si>
  <si>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</si>
  <si>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</si>
  <si>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</si>
  <si>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</si>
  <si>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</si>
  <si>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</si>
  <si>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</si>
  <si>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</si>
  <si>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</si>
  <si>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</si>
  <si>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</si>
  <si>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</si>
  <si>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</si>
  <si>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</si>
  <si>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</si>
  <si>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</si>
  <si>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</si>
  <si>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</si>
  <si>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</si>
  <si>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</si>
  <si>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</si>
  <si>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</si>
  <si>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</si>
  <si>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</si>
  <si>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</si>
  <si>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</si>
  <si>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</si>
  <si>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</si>
  <si>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</si>
  <si>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</si>
  <si>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</si>
  <si>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</si>
  <si>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</si>
  <si>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</si>
  <si>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</si>
  <si>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</si>
  <si>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</si>
  <si>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</si>
  <si>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</si>
  <si>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</si>
  <si>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</si>
  <si>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</si>
  <si>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</si>
  <si>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</si>
  <si>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</si>
  <si>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</si>
  <si>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</si>
  <si>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</si>
  <si>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</si>
  <si>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</si>
  <si>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</si>
  <si>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</si>
  <si>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</si>
  <si>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</si>
  <si>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</si>
  <si>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</si>
  <si>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</si>
  <si>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</si>
  <si>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</si>
  <si>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</si>
  <si>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</si>
  <si>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</si>
  <si>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</si>
  <si>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</si>
  <si>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</si>
  <si>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</si>
  <si>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</si>
  <si>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</si>
  <si>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</si>
  <si>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</si>
  <si>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</si>
  <si>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</si>
  <si>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</si>
  <si>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</si>
  <si>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</si>
  <si>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</si>
  <si>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</si>
  <si>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</si>
  <si>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</si>
  <si>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</si>
  <si>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</si>
  <si>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</si>
  <si>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</si>
  <si>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</si>
  <si>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</si>
  <si>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</si>
  <si>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</si>
  <si>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</si>
  <si>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</si>
  <si>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</si>
  <si>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</si>
  <si>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</si>
  <si>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</si>
  <si>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</si>
  <si>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</si>
  <si>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</si>
  <si>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</si>
  <si>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</si>
  <si>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</si>
  <si>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</si>
  <si>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</si>
  <si>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</si>
  <si>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</si>
  <si>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</si>
  <si>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</si>
  <si>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</si>
  <si>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</si>
  <si>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</si>
  <si>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</si>
  <si>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</si>
  <si>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</si>
  <si>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</si>
  <si>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</si>
  <si>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</si>
  <si>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</si>
  <si>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</si>
  <si>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</si>
  <si>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</si>
  <si>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</si>
  <si>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</si>
  <si>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</si>
  <si>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</si>
  <si>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</si>
  <si>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</si>
  <si>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</si>
  <si>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</si>
  <si>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</si>
  <si>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</si>
  <si>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</si>
  <si>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</si>
  <si>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</si>
  <si>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</si>
  <si>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</si>
  <si>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</si>
  <si>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</si>
  <si>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</si>
  <si>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</si>
  <si>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</si>
  <si>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</si>
  <si>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</si>
  <si>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</si>
  <si>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</si>
  <si>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</si>
  <si>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</si>
  <si>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</si>
  <si>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</si>
  <si>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</si>
  <si>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</si>
  <si>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</si>
  <si>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</si>
  <si>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</si>
  <si>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</si>
  <si>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</si>
  <si>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</si>
  <si>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</si>
  <si>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</si>
  <si>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</si>
  <si>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</si>
  <si>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</si>
  <si>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</si>
  <si>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</si>
  <si>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</si>
  <si>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</si>
  <si>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</si>
  <si>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</si>
  <si>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</si>
  <si>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</si>
  <si>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</si>
  <si>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</si>
  <si>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</si>
  <si>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</si>
  <si>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</si>
  <si>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</si>
  <si>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</si>
  <si>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</si>
  <si>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</si>
  <si>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</si>
  <si>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</si>
  <si>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</si>
  <si>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</si>
  <si>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</si>
  <si>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</si>
  <si>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</si>
  <si>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</si>
  <si>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</si>
  <si>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</si>
  <si>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</si>
  <si>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</si>
  <si>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</si>
  <si>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</si>
  <si>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</si>
  <si>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</si>
  <si>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</si>
  <si>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</si>
  <si>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</si>
  <si>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</si>
  <si>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</si>
  <si>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</si>
  <si>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</si>
  <si>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</si>
  <si>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</si>
  <si>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</si>
  <si>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</si>
  <si>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</si>
  <si>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</si>
  <si>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</si>
  <si>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</si>
  <si>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</si>
  <si>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</si>
  <si>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</si>
  <si>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</si>
  <si>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</si>
  <si>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</si>
  <si>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</si>
  <si>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</si>
  <si>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</si>
  <si>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</si>
  <si>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</si>
  <si>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</si>
  <si>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</si>
  <si>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</si>
  <si>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</si>
  <si>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</si>
  <si>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</si>
  <si>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</si>
  <si>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</si>
  <si>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</si>
  <si>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</si>
  <si>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</si>
  <si>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</si>
  <si>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</si>
  <si>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</si>
  <si>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</si>
  <si>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</si>
  <si>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</si>
  <si>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</si>
  <si>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</si>
  <si>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</si>
  <si>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</si>
  <si>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</si>
  <si>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</si>
  <si>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</si>
  <si>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</si>
  <si>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</si>
  <si>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</si>
  <si>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</si>
  <si>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</si>
  <si>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</si>
  <si>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</si>
  <si>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</si>
  <si>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</si>
  <si>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</si>
  <si>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</si>
  <si>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</si>
  <si>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</si>
  <si>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</si>
  <si>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</si>
  <si>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</si>
  <si>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</si>
  <si>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</si>
  <si>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</si>
  <si>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</si>
  <si>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</si>
  <si>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</si>
  <si>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</si>
  <si>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</si>
  <si>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</si>
  <si>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</si>
  <si>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</si>
  <si>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</si>
  <si>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</si>
  <si>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</si>
  <si>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</si>
  <si>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</si>
  <si>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</si>
  <si>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</si>
  <si>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</si>
  <si>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</si>
  <si>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</si>
  <si>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</si>
  <si>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</si>
  <si>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</si>
  <si>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</si>
  <si>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</si>
  <si>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</si>
  <si>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</si>
  <si>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</si>
  <si>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</si>
  <si>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</si>
  <si>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</si>
  <si>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</si>
  <si>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</si>
  <si>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</si>
  <si>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</si>
  <si>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</si>
  <si>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</si>
  <si>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</si>
  <si>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</si>
  <si>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</si>
  <si>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</si>
  <si>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</si>
  <si>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</si>
  <si>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</si>
  <si>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</si>
  <si>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</si>
  <si>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</si>
  <si>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</si>
  <si>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</si>
  <si>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</si>
  <si>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</si>
  <si>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</si>
  <si>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</si>
  <si>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</si>
  <si>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</si>
  <si>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</si>
  <si>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</si>
  <si>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</si>
  <si>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</si>
  <si>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</si>
  <si>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</si>
  <si>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</si>
  <si>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</si>
  <si>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</si>
  <si>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</si>
  <si>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</si>
  <si>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</si>
  <si>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</si>
  <si>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</si>
  <si>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</si>
  <si>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</si>
  <si>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</si>
  <si>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</si>
  <si>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</si>
  <si>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</si>
  <si>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</si>
  <si>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</si>
  <si>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</si>
  <si>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</si>
  <si>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</si>
  <si>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</si>
  <si>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</si>
  <si>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</si>
  <si>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</si>
  <si>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</si>
  <si>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</si>
  <si>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</si>
  <si>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</si>
  <si>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</si>
  <si>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</si>
  <si>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</si>
  <si>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</si>
  <si>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</si>
  <si>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</si>
  <si>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</si>
  <si>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</si>
  <si>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</si>
  <si>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</si>
  <si>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</si>
  <si>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</si>
  <si>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</si>
  <si>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</si>
  <si>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</si>
  <si>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</si>
  <si>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</si>
  <si>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</si>
  <si>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</si>
  <si>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</si>
  <si>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</si>
  <si>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</si>
  <si>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</si>
  <si>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</si>
  <si>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</si>
  <si>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</si>
  <si>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</si>
  <si>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</si>
  <si>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</si>
  <si>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</si>
  <si>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</si>
  <si>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</si>
  <si>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</si>
  <si>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</si>
  <si>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</si>
  <si>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</si>
  <si>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</si>
  <si>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</si>
  <si>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</si>
  <si>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</si>
  <si>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</si>
  <si>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</si>
  <si>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</si>
  <si>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</si>
  <si>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</si>
  <si>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</si>
  <si>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</si>
  <si>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</si>
  <si>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</si>
  <si>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</si>
  <si>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</si>
  <si>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</si>
  <si>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</si>
  <si>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</si>
  <si>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</si>
  <si>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</si>
  <si>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</si>
  <si>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</si>
  <si>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</si>
  <si>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</si>
  <si>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</si>
  <si>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</si>
  <si>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</si>
  <si>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</si>
  <si>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</si>
  <si>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</si>
  <si>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</si>
  <si>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</si>
  <si>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</si>
  <si>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</si>
  <si>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</si>
  <si>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</si>
  <si>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</si>
  <si>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</si>
  <si>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</si>
  <si>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</si>
  <si>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</si>
  <si>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</si>
  <si>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</si>
  <si>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</si>
  <si>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</si>
  <si>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</si>
  <si>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</si>
  <si>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</si>
  <si>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</si>
  <si>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</si>
  <si>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</si>
  <si>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</si>
  <si>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</si>
  <si>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</si>
  <si>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</si>
  <si>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</si>
  <si>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</si>
  <si>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</si>
  <si>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</si>
  <si>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</si>
  <si>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</si>
  <si>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</si>
  <si>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</si>
  <si>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</si>
  <si>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</si>
  <si>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</si>
  <si>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</si>
  <si>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</si>
  <si>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</si>
  <si>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</si>
  <si>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</si>
  <si>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</si>
  <si>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</si>
  <si>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</si>
  <si>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</si>
  <si>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</si>
  <si>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</si>
  <si>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</si>
  <si>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</si>
  <si>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</si>
  <si>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</si>
  <si>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</si>
  <si>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</si>
  <si>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</si>
  <si>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</si>
  <si>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</si>
  <si>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</si>
  <si>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</si>
  <si>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</si>
  <si>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</si>
  <si>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</si>
  <si>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</si>
  <si>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</si>
  <si>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</si>
  <si>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</si>
  <si>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</si>
  <si>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</si>
  <si>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</si>
  <si>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</si>
  <si>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</si>
  <si>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</si>
  <si>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</si>
  <si>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</si>
  <si>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</si>
  <si>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</si>
  <si>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</si>
  <si>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</si>
  <si>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</si>
  <si>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</si>
  <si>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</si>
  <si>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</si>
  <si>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</si>
  <si>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</si>
  <si>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</si>
  <si>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</si>
  <si>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</si>
  <si>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</si>
  <si>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</si>
  <si>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</si>
  <si>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</si>
  <si>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</si>
  <si>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</si>
  <si>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</si>
  <si>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</si>
  <si>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</si>
  <si>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</si>
  <si>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</si>
  <si>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</si>
  <si>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</si>
  <si>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</si>
  <si>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</si>
  <si>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</si>
  <si>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</si>
  <si>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</si>
  <si>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</si>
  <si>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</si>
  <si>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</si>
  <si>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</si>
  <si>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</si>
  <si>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</si>
  <si>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</si>
  <si>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</si>
  <si>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</si>
  <si>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</si>
  <si>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</si>
  <si>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</si>
  <si>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</si>
  <si>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</si>
  <si>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</si>
  <si>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</si>
  <si>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</si>
  <si>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</si>
  <si>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</si>
  <si>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</si>
  <si>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</si>
  <si>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</si>
  <si>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</si>
  <si>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</si>
  <si>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</si>
  <si>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</si>
  <si>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</si>
  <si>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</si>
  <si>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</si>
  <si>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</si>
  <si>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</si>
  <si>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</si>
  <si>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</si>
  <si>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</si>
  <si>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</si>
  <si>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</si>
  <si>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</si>
  <si>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</si>
  <si>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</si>
  <si>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</si>
  <si>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</si>
  <si>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</si>
  <si>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</si>
  <si>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</si>
  <si>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</si>
  <si>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</si>
  <si>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</si>
  <si>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</si>
  <si>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</si>
  <si>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</si>
  <si>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</si>
  <si>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</si>
  <si>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</si>
  <si>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</si>
  <si>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</si>
  <si>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</si>
  <si>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</si>
  <si>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</si>
  <si>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</si>
  <si>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</si>
  <si>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</si>
  <si>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</si>
  <si>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</si>
  <si>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</si>
  <si>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</si>
  <si>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</si>
  <si>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</si>
  <si>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</si>
  <si>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</si>
  <si>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</si>
  <si>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</si>
  <si>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</si>
  <si>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</si>
  <si>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</si>
  <si>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</si>
  <si>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</si>
  <si>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</si>
  <si>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</si>
  <si>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</si>
  <si>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</si>
  <si>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</si>
  <si>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</si>
  <si>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</si>
  <si>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</si>
  <si>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</si>
  <si>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</si>
  <si>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</si>
  <si>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</si>
  <si>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</si>
  <si>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</si>
  <si>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</si>
  <si>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</si>
  <si>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</si>
  <si>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</si>
  <si>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</si>
  <si>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</si>
  <si>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</si>
  <si>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</si>
  <si>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</si>
  <si>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</si>
  <si>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</si>
  <si>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</si>
  <si>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</si>
  <si>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</si>
  <si>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</si>
  <si>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</si>
  <si>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</si>
  <si>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</si>
  <si>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</si>
  <si>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</si>
  <si>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</si>
  <si>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</si>
  <si>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</si>
  <si>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</si>
  <si>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</si>
  <si>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</si>
  <si>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</si>
  <si>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</si>
  <si>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</si>
  <si>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</si>
  <si>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</si>
  <si>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</si>
  <si>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</si>
  <si>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</si>
  <si>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</si>
  <si>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</si>
  <si>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</si>
  <si>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</si>
  <si>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</si>
  <si>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</si>
  <si>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</si>
  <si>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</si>
  <si>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</si>
  <si>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</si>
  <si>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</si>
  <si>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</si>
  <si>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</si>
  <si>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</si>
  <si>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</si>
  <si>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</si>
  <si>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</si>
  <si>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</si>
  <si>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</si>
  <si>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</si>
  <si>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</si>
  <si>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</si>
  <si>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</si>
  <si>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</si>
  <si>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</si>
  <si>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</si>
  <si>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</si>
  <si>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</si>
  <si>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</si>
  <si>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</si>
  <si>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</si>
  <si>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</si>
  <si>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</si>
  <si>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</si>
  <si>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</si>
  <si>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</si>
  <si>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</si>
  <si>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</si>
  <si>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</si>
  <si>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</si>
  <si>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</si>
  <si>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</si>
  <si>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</si>
  <si>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</si>
  <si>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</si>
  <si>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</si>
  <si>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</si>
  <si>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</si>
  <si>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</si>
  <si>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</si>
  <si>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</si>
  <si>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</si>
  <si>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</si>
  <si>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</si>
  <si>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</si>
  <si>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</si>
  <si>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</si>
  <si>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</si>
  <si>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</si>
  <si>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</si>
  <si>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</si>
  <si>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</si>
  <si>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</si>
  <si>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</si>
  <si>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</si>
  <si>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</si>
  <si>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</si>
  <si>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</si>
  <si>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</si>
  <si>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</si>
  <si>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</si>
  <si>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</si>
  <si>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</si>
  <si>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</si>
  <si>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</si>
  <si>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</si>
  <si>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</si>
  <si>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</si>
  <si>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</si>
  <si>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</si>
  <si>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</si>
  <si>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</si>
  <si>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</si>
  <si>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</si>
  <si>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</si>
  <si>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</si>
  <si>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</si>
  <si>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</si>
  <si>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</si>
  <si>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</si>
  <si>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</si>
  <si>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</si>
  <si>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</si>
  <si>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</si>
  <si>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</si>
  <si>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</si>
  <si>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</si>
  <si>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</si>
  <si>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</si>
  <si>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</si>
  <si>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</si>
  <si>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</si>
  <si>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</si>
  <si>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</si>
  <si>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</si>
  <si>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</si>
  <si>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</si>
  <si>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</si>
  <si>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</si>
  <si>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</si>
  <si>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</si>
  <si>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</si>
  <si>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</si>
  <si>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</si>
  <si>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</si>
  <si>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</si>
  <si>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</si>
  <si>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</si>
  <si>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</si>
  <si>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</si>
  <si>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</si>
  <si>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</si>
  <si>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</si>
  <si>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</si>
  <si>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</si>
  <si>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</si>
  <si>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</si>
  <si>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</si>
  <si>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</si>
  <si>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</si>
  <si>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</si>
  <si>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</si>
  <si>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</si>
  <si>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</si>
  <si>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</si>
  <si>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</si>
  <si>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</si>
  <si>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</si>
  <si>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</si>
  <si>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</si>
  <si>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</si>
  <si>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</si>
  <si>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</si>
  <si>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</si>
  <si>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</si>
  <si>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</si>
  <si>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</si>
  <si>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</si>
  <si>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</si>
  <si>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</si>
  <si>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</si>
  <si>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</si>
  <si>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</si>
  <si>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</si>
  <si>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</si>
  <si>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</si>
  <si>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</si>
  <si>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</si>
  <si>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</si>
  <si>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</si>
  <si>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</si>
  <si>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</si>
  <si>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</si>
  <si>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</si>
  <si>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</si>
  <si>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</si>
  <si>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</si>
  <si>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</si>
  <si>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</si>
  <si>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</si>
  <si>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</si>
  <si>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</si>
  <si>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</si>
  <si>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</si>
  <si>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</si>
  <si>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</si>
  <si>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</si>
  <si>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</si>
  <si>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</si>
  <si>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</si>
  <si>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</si>
  <si>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</si>
  <si>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</si>
  <si>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</si>
  <si>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</si>
  <si>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</si>
  <si>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</si>
  <si>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</si>
  <si>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</si>
  <si>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</si>
  <si>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</si>
  <si>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</si>
  <si>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</si>
  <si>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</si>
  <si>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</si>
  <si>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</si>
  <si>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</si>
  <si>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</si>
  <si>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</si>
  <si>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</si>
  <si>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</si>
  <si>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</si>
  <si>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</si>
  <si>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</si>
  <si>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</si>
  <si>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</si>
  <si>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</si>
  <si>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</si>
  <si>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</si>
  <si>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</si>
  <si>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</si>
  <si>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</si>
  <si>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</si>
  <si>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</si>
  <si>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</si>
  <si>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</si>
  <si>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</si>
  <si>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</si>
  <si>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</si>
  <si>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</si>
  <si>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</si>
  <si>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</si>
  <si>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</si>
  <si>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</si>
  <si>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</si>
  <si>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</si>
  <si>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</si>
  <si>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</si>
  <si>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</si>
  <si>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</si>
  <si>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</si>
  <si>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</si>
  <si>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</si>
  <si>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</si>
  <si>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</si>
  <si>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</si>
  <si>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</si>
  <si>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</si>
  <si>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</si>
  <si>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</si>
  <si>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</si>
  <si>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</si>
  <si>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</si>
  <si>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</si>
  <si>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</si>
  <si>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</si>
  <si>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</si>
  <si>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</si>
  <si>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</si>
  <si>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</si>
  <si>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</si>
  <si>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</si>
  <si>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</si>
  <si>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</si>
  <si>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</si>
  <si>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</si>
  <si>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</si>
  <si>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</si>
  <si>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</si>
  <si>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</si>
  <si>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</si>
  <si>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</si>
  <si>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</si>
  <si>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</si>
  <si>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</si>
  <si>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</si>
  <si>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</si>
  <si>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</si>
  <si>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</si>
  <si>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</si>
  <si>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</si>
  <si>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</si>
  <si>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</si>
  <si>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</si>
  <si>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</si>
  <si>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</si>
  <si>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</si>
  <si>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</si>
  <si>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</si>
  <si>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</si>
  <si>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</si>
  <si>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</si>
  <si>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</si>
  <si>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</si>
  <si>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</si>
  <si>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</si>
  <si>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</si>
  <si>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</si>
  <si>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</si>
  <si>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</si>
  <si>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</si>
  <si>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</si>
  <si>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</si>
  <si>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</si>
  <si>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</si>
  <si>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</si>
  <si>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</si>
  <si>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</si>
  <si>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</si>
  <si>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</si>
  <si>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</si>
  <si>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</si>
  <si>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</si>
  <si>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</si>
  <si>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</si>
  <si>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</si>
  <si>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</si>
  <si>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</si>
  <si>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</si>
  <si>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</si>
  <si>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</si>
  <si>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</si>
  <si>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</si>
  <si>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</si>
  <si>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</si>
  <si>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</si>
  <si>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</si>
  <si>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</si>
  <si>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</si>
  <si>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</si>
  <si>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</si>
  <si>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</si>
  <si>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</si>
  <si>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</si>
  <si>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</si>
  <si>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</si>
  <si>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</si>
  <si>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</si>
  <si>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</si>
  <si>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</si>
  <si>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</si>
  <si>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</si>
  <si>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</si>
  <si>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</si>
  <si>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</si>
  <si>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</si>
  <si>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</si>
  <si>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</si>
  <si>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</si>
  <si>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</si>
  <si>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</si>
  <si>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</si>
  <si>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</si>
  <si>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</si>
  <si>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</si>
  <si>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</si>
  <si>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</si>
  <si>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</si>
  <si>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</si>
  <si>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</si>
  <si>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</si>
  <si>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</si>
  <si>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</si>
  <si>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</si>
  <si>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</si>
  <si>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</si>
  <si>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</si>
  <si>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</si>
  <si>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</si>
  <si>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</si>
  <si>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</si>
  <si>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</si>
  <si>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</si>
  <si>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</si>
  <si>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</si>
  <si>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</si>
  <si>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</si>
  <si>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</si>
  <si>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</si>
  <si>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</si>
  <si>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</si>
  <si>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</si>
  <si>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</si>
  <si>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</si>
  <si>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</si>
  <si>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</si>
  <si>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</si>
  <si>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</si>
  <si>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</si>
  <si>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</si>
  <si>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</si>
  <si>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</si>
  <si>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</si>
  <si>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</si>
  <si>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</si>
  <si>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</si>
  <si>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</si>
  <si>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</si>
  <si>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</si>
  <si>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</si>
  <si>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</si>
  <si>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</si>
  <si>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</si>
  <si>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</si>
  <si>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</si>
  <si>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</si>
  <si>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</si>
  <si>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</si>
  <si>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</si>
  <si>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</si>
  <si>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</si>
  <si>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</si>
  <si>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</si>
  <si>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</si>
  <si>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</si>
  <si>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</si>
  <si>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</si>
  <si>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</si>
  <si>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</si>
  <si>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</si>
  <si>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</si>
  <si>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</si>
  <si>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</si>
  <si>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</si>
  <si>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</si>
  <si>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</si>
  <si>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</si>
  <si>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</si>
  <si>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</si>
  <si>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</si>
  <si>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</si>
  <si>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</si>
  <si>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</si>
  <si>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</si>
  <si>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</si>
  <si>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</si>
  <si>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</si>
  <si>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</si>
  <si>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</si>
  <si>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</si>
  <si>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</si>
  <si>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</si>
  <si>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</si>
  <si>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</si>
  <si>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</si>
  <si>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</si>
  <si>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</si>
  <si>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</si>
  <si>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</si>
  <si>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</si>
  <si>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</si>
  <si>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</si>
  <si>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</si>
  <si>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</si>
  <si>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</si>
  <si>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</si>
  <si>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</si>
  <si>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</si>
  <si>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</si>
  <si>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</si>
  <si>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</si>
  <si>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</si>
  <si>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</si>
  <si>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</si>
  <si>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</si>
  <si>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</si>
  <si>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</si>
  <si>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</si>
  <si>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</si>
  <si>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</si>
  <si>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</si>
  <si>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</si>
  <si>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</si>
  <si>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</si>
  <si>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</si>
  <si>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</si>
  <si>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</si>
  <si>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</si>
  <si>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</si>
  <si>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</si>
  <si>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</si>
  <si>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</si>
  <si>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</si>
  <si>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</si>
  <si>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</si>
  <si>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</si>
  <si>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</si>
  <si>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</si>
  <si>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</si>
  <si>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</si>
  <si>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</si>
  <si>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</si>
  <si>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</si>
  <si>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</si>
  <si>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</si>
  <si>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</si>
  <si>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</si>
  <si>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</si>
  <si>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</si>
  <si>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</si>
  <si>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</si>
  <si>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</si>
  <si>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</si>
  <si>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</si>
  <si>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</si>
  <si>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</si>
  <si>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</si>
  <si>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</si>
  <si>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</si>
  <si>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</si>
  <si>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</si>
  <si>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</si>
  <si>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</si>
  <si>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</si>
  <si>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</si>
  <si>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</si>
  <si>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</si>
  <si>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</si>
  <si>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</si>
  <si>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</si>
  <si>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</si>
  <si>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</si>
  <si>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</si>
  <si>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</si>
  <si>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</si>
  <si>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</si>
  <si>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</si>
  <si>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</si>
  <si>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</si>
  <si>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</si>
  <si>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</si>
  <si>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</si>
  <si>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</si>
  <si>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</si>
  <si>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</si>
  <si>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</si>
  <si>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</si>
  <si>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</si>
  <si>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</si>
  <si>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</si>
  <si>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</si>
  <si>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</si>
  <si>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</si>
  <si>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</si>
  <si>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</si>
  <si>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</si>
  <si>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</si>
  <si>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</si>
  <si>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</si>
  <si>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</si>
  <si>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</si>
  <si>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</si>
  <si>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</si>
  <si>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</si>
  <si>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</si>
  <si>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</si>
  <si>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</si>
  <si>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</si>
  <si>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</si>
  <si>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</si>
  <si>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</si>
  <si>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</si>
  <si>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</si>
  <si>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</si>
  <si>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</si>
  <si>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</si>
  <si>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</si>
  <si>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</si>
  <si>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</si>
  <si>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</si>
  <si>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</si>
  <si>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</si>
  <si>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</si>
  <si>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</si>
  <si>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</si>
  <si>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</si>
  <si>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</si>
  <si>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</si>
  <si>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</si>
  <si>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</si>
  <si>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</si>
  <si>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</si>
  <si>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</si>
  <si>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</si>
  <si>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</si>
  <si>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</si>
  <si>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</si>
  <si>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</si>
  <si>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</si>
  <si>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</si>
  <si>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</si>
  <si>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</si>
  <si>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</si>
  <si>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</si>
  <si>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</si>
  <si>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</si>
  <si>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</si>
  <si>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</si>
  <si>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</si>
  <si>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</si>
  <si>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</si>
  <si>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</si>
  <si>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</si>
  <si>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</si>
  <si>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</si>
  <si>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</si>
  <si>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</si>
  <si>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</si>
  <si>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</si>
  <si>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</si>
  <si>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</si>
  <si>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</si>
  <si>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</si>
  <si>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</si>
  <si>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</si>
  <si>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</si>
  <si>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</si>
  <si>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</si>
  <si>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</si>
  <si>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</si>
  <si>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</si>
  <si>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</si>
  <si>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</si>
  <si>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</si>
  <si>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</si>
  <si>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</si>
  <si>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</si>
  <si>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</si>
  <si>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</si>
  <si>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</si>
  <si>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</si>
  <si>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</si>
  <si>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</si>
  <si>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</si>
  <si>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</si>
  <si>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</si>
  <si>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</si>
  <si>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</si>
  <si>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</si>
  <si>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</si>
  <si>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</si>
  <si>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</si>
  <si>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</si>
  <si>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</si>
  <si>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</si>
  <si>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</si>
  <si>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</si>
  <si>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</si>
  <si>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</si>
  <si>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</si>
  <si>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</si>
  <si>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</si>
  <si>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</si>
  <si>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</si>
  <si>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</si>
  <si>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</si>
  <si>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</si>
  <si>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</si>
  <si>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</si>
  <si>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</si>
  <si>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</si>
  <si>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</si>
  <si>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</si>
  <si>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</si>
  <si>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</si>
  <si>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</si>
  <si>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</si>
  <si>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</si>
  <si>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</si>
  <si>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</si>
  <si>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</si>
  <si>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</si>
  <si>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</si>
  <si>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</si>
  <si>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</si>
  <si>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</si>
  <si>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</si>
  <si>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</si>
  <si>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</si>
  <si>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</si>
  <si>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</si>
  <si>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</si>
  <si>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</si>
  <si>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</si>
  <si>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</si>
  <si>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</si>
  <si>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</si>
  <si>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</si>
  <si>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</si>
  <si>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</si>
  <si>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</si>
  <si>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</si>
  <si>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</si>
  <si>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</si>
  <si>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</si>
  <si>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</si>
  <si>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</si>
  <si>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</si>
  <si>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</si>
  <si>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</si>
  <si>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</si>
  <si>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</si>
  <si>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</si>
  <si>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</si>
  <si>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</si>
  <si>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</si>
  <si>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</si>
  <si>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</si>
  <si>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</si>
  <si>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</si>
  <si>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</si>
  <si>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</si>
  <si>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</si>
  <si>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</si>
  <si>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</si>
  <si>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</si>
  <si>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</si>
  <si>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</si>
  <si>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</si>
  <si>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</si>
  <si>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</si>
  <si>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</si>
  <si>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</si>
  <si>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</si>
  <si>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</si>
  <si>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</si>
  <si>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</si>
  <si>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</si>
  <si>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</si>
  <si>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</si>
  <si>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</si>
  <si>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</si>
  <si>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</si>
  <si>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</si>
  <si>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</si>
  <si>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</si>
  <si>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</si>
  <si>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</si>
  <si>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</si>
  <si>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</si>
  <si>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</si>
  <si>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</si>
  <si>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</si>
  <si>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</si>
  <si>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</si>
  <si>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</si>
  <si>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</si>
  <si>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</si>
  <si>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</si>
  <si>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</si>
  <si>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</si>
  <si>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</si>
  <si>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</si>
  <si>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</si>
  <si>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</si>
  <si>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</si>
  <si>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</si>
  <si>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</si>
  <si>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</si>
  <si>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</si>
  <si>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</si>
  <si>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</si>
  <si>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</si>
  <si>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</si>
  <si>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</si>
  <si>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</si>
  <si>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</si>
  <si>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</si>
  <si>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</si>
  <si>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</si>
  <si>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</si>
  <si>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</si>
  <si>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</si>
  <si>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</si>
  <si>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</si>
  <si>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</si>
  <si>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</si>
  <si>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</si>
  <si>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</si>
  <si>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</si>
  <si>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</si>
  <si>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</si>
  <si>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</si>
  <si>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</si>
  <si>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</si>
  <si>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</si>
  <si>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</si>
  <si>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</si>
  <si>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</si>
  <si>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</si>
  <si>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</si>
  <si>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</si>
  <si>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</si>
  <si>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</si>
  <si>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</si>
  <si>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</si>
  <si>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</si>
  <si>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</si>
  <si>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</si>
  <si>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</si>
  <si>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</si>
  <si>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</si>
  <si>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</si>
  <si>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</si>
  <si>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</si>
  <si>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</si>
  <si>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</si>
  <si>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</si>
  <si>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</si>
  <si>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</si>
  <si>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</si>
  <si>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</si>
  <si>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</si>
  <si>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</si>
  <si>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</si>
  <si>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</si>
  <si>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</si>
  <si>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</si>
  <si>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</si>
  <si>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</si>
  <si>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</si>
  <si>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</si>
  <si>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</si>
  <si>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</si>
  <si>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</si>
  <si>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</si>
  <si>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</si>
  <si>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</si>
  <si>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</si>
  <si>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</si>
  <si>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</si>
  <si>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</si>
  <si>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</si>
  <si>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</si>
  <si>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</si>
  <si>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</si>
  <si>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</si>
  <si>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</si>
  <si>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</si>
  <si>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</si>
  <si>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</si>
  <si>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</si>
  <si>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</si>
  <si>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</si>
  <si>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</si>
  <si>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</si>
  <si>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</si>
  <si>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</si>
  <si>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</si>
  <si>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</si>
  <si>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</si>
  <si>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</si>
  <si>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</si>
  <si>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</si>
  <si>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</si>
  <si>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</si>
  <si>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</si>
  <si>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</si>
  <si>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</si>
  <si>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</si>
  <si>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</si>
  <si>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</si>
  <si>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</si>
  <si>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</si>
  <si>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</si>
  <si>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</si>
  <si>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</si>
  <si>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</si>
  <si>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</si>
  <si>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</si>
  <si>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</si>
  <si>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</si>
  <si>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</si>
  <si>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</si>
  <si>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</si>
  <si>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</si>
  <si>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</si>
  <si>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</si>
  <si>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</si>
  <si>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</si>
  <si>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</si>
  <si>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</si>
  <si>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</si>
  <si>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</si>
  <si>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</si>
  <si>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</si>
  <si>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</si>
  <si>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</si>
  <si>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</si>
  <si>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</si>
  <si>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</si>
  <si>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</si>
  <si>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</si>
  <si>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</si>
  <si>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</si>
  <si>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</si>
  <si>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</si>
  <si>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</si>
  <si>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</si>
  <si>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</si>
  <si>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</si>
  <si>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</si>
  <si>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</si>
  <si>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</si>
  <si>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</si>
  <si>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</si>
  <si>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</si>
  <si>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</si>
  <si>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</si>
  <si>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</si>
  <si>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</si>
  <si>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</si>
  <si>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</si>
  <si>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</si>
  <si>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</si>
  <si>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</si>
  <si>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</si>
  <si>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</si>
  <si>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</si>
  <si>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</si>
  <si>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</si>
  <si>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</si>
  <si>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</si>
  <si>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</si>
  <si>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</si>
  <si>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</si>
  <si>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</si>
  <si>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</si>
  <si>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</si>
  <si>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</si>
  <si>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</si>
  <si>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</si>
  <si>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</si>
  <si>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</si>
  <si>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</si>
  <si>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</si>
  <si>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</si>
  <si>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</si>
  <si>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</si>
  <si>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</si>
  <si>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</si>
  <si>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</si>
  <si>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</si>
  <si>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</si>
  <si>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</si>
  <si>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</si>
  <si>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</si>
  <si>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</si>
  <si>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</si>
  <si>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</si>
  <si>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</si>
  <si>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</si>
  <si>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</si>
  <si>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</si>
  <si>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</si>
  <si>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</si>
  <si>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</si>
  <si>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</si>
  <si>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</si>
  <si>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</si>
  <si>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</si>
  <si>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</si>
  <si>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</si>
  <si>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</si>
  <si>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</si>
  <si>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</si>
  <si>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</si>
  <si>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</si>
  <si>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</si>
  <si>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</si>
  <si>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</si>
  <si>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</si>
  <si>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</si>
  <si>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</si>
  <si>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</si>
  <si>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</si>
  <si>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</si>
  <si>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</si>
  <si>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</si>
  <si>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</si>
  <si>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</si>
  <si>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</si>
  <si>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</si>
  <si>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</si>
  <si>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</si>
  <si>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</si>
  <si>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</si>
  <si>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</si>
  <si>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</si>
  <si>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</si>
  <si>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</si>
  <si>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</si>
  <si>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</si>
  <si>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</si>
  <si>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</si>
  <si>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</si>
  <si>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</si>
  <si>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</si>
  <si>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</si>
  <si>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</si>
  <si>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</si>
  <si>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</si>
  <si>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</si>
  <si>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</si>
  <si>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</si>
  <si>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</si>
  <si>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</si>
  <si>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</si>
  <si>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</si>
  <si>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</si>
  <si>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</si>
  <si>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</si>
  <si>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</si>
  <si>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</si>
  <si>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</si>
  <si>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</si>
  <si>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</si>
  <si>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</si>
  <si>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</si>
  <si>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</si>
  <si>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</si>
  <si>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</si>
  <si>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</si>
  <si>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</si>
  <si>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</si>
  <si>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</si>
  <si>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</si>
  <si>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</si>
  <si>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</si>
  <si>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</si>
  <si>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</si>
  <si>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</si>
  <si>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</si>
  <si>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</si>
  <si>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</si>
  <si>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</si>
  <si>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</si>
  <si>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</si>
  <si>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</si>
  <si>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</si>
  <si>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</si>
  <si>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</si>
  <si>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</si>
  <si>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</si>
  <si>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</si>
  <si>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</si>
  <si>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</si>
  <si>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</si>
  <si>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</si>
  <si>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</si>
  <si>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</si>
  <si>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</si>
  <si>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</si>
  <si>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</si>
  <si>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</si>
  <si>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</si>
  <si>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</si>
  <si>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</si>
  <si>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</si>
  <si>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</si>
  <si>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</si>
  <si>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</si>
  <si>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</si>
  <si>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</si>
  <si>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</si>
  <si>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</si>
  <si>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</si>
  <si>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</si>
  <si>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</si>
  <si>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</si>
  <si>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</si>
  <si>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</si>
  <si>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</si>
  <si>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</si>
  <si>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</si>
  <si>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</si>
  <si>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</si>
  <si>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</si>
  <si>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</si>
  <si>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</si>
  <si>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</si>
  <si>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</si>
  <si>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</si>
  <si>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</si>
  <si>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</si>
  <si>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</si>
  <si>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</si>
  <si>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</si>
  <si>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</si>
  <si>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</si>
  <si>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</si>
  <si>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</si>
  <si>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</si>
  <si>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</si>
  <si>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</si>
  <si>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</si>
  <si>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</si>
  <si>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</si>
  <si>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</si>
  <si>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</si>
  <si>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</si>
  <si>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</si>
  <si>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</si>
  <si>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</si>
  <si>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</si>
  <si>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</si>
  <si>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</si>
  <si>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</si>
  <si>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</si>
  <si>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</si>
  <si>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</si>
  <si>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</si>
  <si>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</si>
  <si>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</si>
  <si>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</si>
  <si>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</si>
  <si>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</si>
  <si>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</si>
  <si>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</si>
  <si>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</si>
  <si>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</si>
  <si>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</si>
  <si>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</si>
  <si>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</si>
  <si>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</si>
  <si>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</si>
  <si>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</si>
  <si>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</si>
  <si>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</si>
  <si>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</si>
  <si>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</si>
  <si>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</si>
  <si>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</si>
  <si>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</si>
  <si>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</si>
  <si>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</si>
  <si>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</si>
  <si>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</si>
  <si>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</si>
  <si>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</si>
  <si>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</si>
  <si>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</si>
  <si>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</si>
  <si>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</si>
  <si>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</si>
  <si>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</si>
  <si>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</si>
  <si>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</si>
  <si>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</si>
  <si>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</si>
  <si>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</si>
  <si>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</si>
  <si>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</si>
  <si>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</si>
  <si>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</si>
  <si>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</si>
  <si>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</si>
  <si>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</si>
  <si>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</si>
  <si>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</si>
  <si>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</si>
  <si>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</si>
  <si>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</si>
  <si>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</si>
  <si>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</si>
  <si>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</si>
  <si>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</si>
  <si>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</si>
  <si>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</si>
  <si>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</si>
  <si>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</si>
  <si>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</si>
  <si>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</si>
  <si>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</si>
  <si>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</si>
  <si>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</si>
  <si>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</si>
  <si>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</si>
  <si>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</si>
  <si>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</si>
  <si>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</si>
  <si>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</si>
  <si>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</si>
  <si>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</si>
  <si>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</si>
  <si>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</si>
  <si>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</si>
  <si>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</si>
  <si>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</si>
  <si>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</si>
  <si>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</si>
  <si>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</si>
  <si>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</si>
  <si>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</si>
  <si>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</si>
  <si>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</si>
  <si>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</si>
  <si>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</si>
  <si>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</si>
  <si>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</si>
  <si>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</si>
  <si>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</si>
  <si>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</si>
  <si>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</si>
  <si>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</si>
  <si>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</si>
  <si>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</si>
  <si>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</si>
  <si>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</si>
  <si>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</si>
  <si>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</si>
  <si>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</si>
  <si>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</si>
  <si>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</si>
  <si>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</si>
  <si>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</si>
  <si>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</si>
  <si>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</si>
  <si>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</si>
  <si>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</si>
  <si>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</si>
  <si>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</si>
  <si>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</si>
  <si>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</si>
  <si>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</si>
  <si>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</si>
  <si>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</si>
  <si>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</si>
  <si>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</si>
  <si>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</si>
  <si>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</si>
  <si>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</si>
  <si>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</si>
  <si>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</si>
  <si>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</si>
  <si>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</si>
  <si>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</si>
  <si>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</si>
  <si>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</si>
  <si>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</si>
  <si>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</si>
  <si>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</si>
  <si>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</si>
  <si>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</si>
  <si>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</si>
  <si>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</si>
  <si>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</si>
  <si>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</si>
  <si>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</si>
  <si>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</si>
  <si>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</si>
  <si>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</si>
  <si>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</si>
  <si>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</si>
  <si>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</si>
  <si>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</si>
  <si>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</si>
  <si>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</si>
  <si>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</si>
  <si>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</si>
  <si>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</si>
  <si>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</si>
  <si>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</si>
  <si>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</si>
  <si>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</si>
  <si>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</si>
  <si>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</si>
  <si>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</si>
  <si>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</si>
  <si>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</si>
  <si>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</si>
  <si>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</si>
  <si>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</si>
  <si>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</si>
  <si>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</si>
  <si>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</si>
  <si>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</si>
  <si>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</si>
  <si>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</si>
  <si>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</si>
  <si>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</si>
  <si>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</si>
  <si>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</si>
  <si>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</si>
  <si>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</si>
  <si>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</si>
  <si>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</si>
  <si>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</si>
  <si>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</si>
  <si>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</si>
  <si>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</si>
  <si>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</si>
  <si>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</si>
  <si>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</si>
  <si>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</si>
  <si>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</si>
  <si>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</si>
  <si>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</si>
  <si>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</si>
  <si>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</si>
  <si>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</si>
  <si>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</si>
  <si>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</si>
  <si>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</si>
  <si>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</si>
  <si>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</si>
  <si>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</si>
  <si>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</si>
  <si>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</si>
  <si>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</si>
  <si>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</si>
  <si>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</si>
  <si>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</si>
  <si>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</si>
  <si>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</si>
  <si>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</si>
  <si>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</si>
  <si>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</si>
  <si>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</si>
  <si>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</si>
  <si>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</si>
  <si>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</si>
  <si>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</si>
  <si>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</si>
  <si>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</si>
  <si>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</si>
  <si>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</si>
  <si>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</si>
  <si>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</si>
  <si>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</si>
  <si>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</si>
  <si>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</si>
  <si>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</si>
  <si>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</si>
  <si>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</si>
  <si>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</si>
  <si>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</si>
  <si>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</si>
  <si>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</si>
  <si>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</si>
  <si>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</si>
  <si>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</si>
  <si>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</si>
  <si>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</si>
  <si>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</si>
  <si>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</si>
  <si>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</si>
  <si>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</si>
  <si>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</si>
  <si>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</si>
  <si>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</si>
  <si>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</si>
  <si>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</si>
  <si>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</si>
  <si>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</si>
  <si>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</si>
  <si>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</si>
  <si>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</si>
  <si>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</si>
  <si>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</si>
  <si>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</si>
  <si>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</si>
  <si>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</si>
  <si>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</si>
  <si>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</si>
  <si>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</si>
  <si>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</si>
  <si>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</si>
  <si>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</si>
  <si>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</si>
  <si>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</si>
  <si>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</si>
  <si>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</si>
  <si>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</si>
  <si>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</si>
  <si>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</si>
  <si>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</si>
  <si>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</si>
  <si>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</si>
  <si>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</si>
  <si>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</si>
  <si>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</si>
  <si>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</si>
  <si>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</si>
  <si>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</si>
  <si>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</si>
  <si>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</si>
  <si>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</si>
  <si>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</si>
  <si>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</si>
  <si>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</si>
  <si>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</si>
  <si>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</si>
  <si>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</si>
  <si>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</si>
  <si>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</si>
  <si>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</si>
  <si>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</si>
  <si>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</si>
  <si>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</si>
  <si>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</si>
  <si>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</si>
  <si>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</si>
  <si>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</si>
  <si>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</si>
  <si>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</si>
  <si>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</si>
  <si>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</si>
  <si>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</si>
  <si>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</si>
  <si>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</si>
  <si>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</si>
  <si>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</si>
  <si>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</si>
  <si>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</si>
  <si>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</si>
  <si>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</si>
  <si>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</si>
  <si>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</si>
  <si>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</si>
  <si>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</si>
  <si>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</si>
  <si>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</si>
  <si>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</si>
  <si>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</si>
  <si>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</si>
  <si>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</si>
  <si>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</si>
  <si>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</si>
  <si>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</si>
  <si>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</si>
  <si>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</si>
  <si>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</si>
  <si>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</si>
  <si>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</si>
  <si>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</si>
  <si>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</si>
  <si>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</si>
  <si>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</si>
  <si>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</si>
  <si>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</si>
  <si>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</si>
  <si>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</si>
  <si>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</si>
  <si>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</si>
  <si>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</si>
  <si>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</si>
  <si>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</si>
  <si>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</si>
  <si>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</si>
  <si>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</si>
  <si>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</si>
  <si>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</si>
  <si>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</si>
  <si>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</si>
  <si>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</si>
  <si>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</si>
  <si>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</si>
  <si>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</si>
  <si>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</si>
  <si>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</si>
  <si>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</si>
  <si>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</si>
  <si>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</si>
  <si>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</si>
  <si>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</si>
  <si>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</si>
  <si>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</si>
  <si>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</si>
  <si>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</si>
  <si>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</si>
  <si>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</si>
  <si>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</si>
  <si>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</si>
  <si>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</si>
  <si>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</si>
  <si>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</si>
  <si>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</si>
  <si>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</si>
  <si>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</si>
  <si>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</si>
  <si>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</si>
  <si>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</si>
  <si>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</si>
  <si>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</si>
  <si>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</si>
  <si>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</si>
  <si>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</si>
  <si>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</si>
  <si>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</si>
  <si>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</si>
  <si>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</si>
  <si>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</si>
  <si>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</si>
  <si>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</si>
  <si>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</si>
  <si>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</si>
  <si>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</si>
  <si>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</si>
  <si>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</si>
  <si>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</si>
  <si>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</si>
  <si>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</si>
  <si>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</si>
  <si>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</si>
  <si>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</si>
  <si>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</si>
  <si>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</si>
  <si>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</si>
  <si>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</si>
  <si>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</si>
  <si>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</si>
  <si>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</si>
  <si>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</si>
  <si>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</si>
  <si>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</si>
  <si>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</si>
  <si>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</si>
  <si>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</si>
  <si>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</si>
  <si>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</si>
  <si>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</si>
  <si>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</si>
  <si>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</si>
  <si>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</si>
  <si>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</si>
  <si>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</si>
  <si>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</si>
  <si>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</si>
  <si>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</si>
  <si>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</si>
  <si>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</si>
  <si>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</si>
  <si>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</si>
  <si>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</si>
  <si>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</si>
  <si>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</si>
  <si>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</si>
  <si>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</si>
  <si>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</si>
  <si>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</si>
  <si>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</si>
  <si>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</si>
  <si>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</si>
  <si>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</si>
  <si>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</si>
  <si>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</si>
  <si>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</si>
  <si>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</si>
  <si>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</si>
  <si>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</si>
  <si>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</si>
  <si>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</si>
  <si>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</si>
  <si>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</si>
  <si>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</si>
  <si>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</si>
  <si>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</si>
  <si>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</si>
  <si>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</si>
  <si>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</si>
  <si>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</si>
  <si>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</si>
  <si>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</si>
  <si>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</si>
  <si>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</si>
  <si>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</si>
  <si>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</si>
  <si>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</si>
  <si>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</si>
  <si>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</si>
  <si>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</si>
  <si>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</si>
  <si>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</si>
  <si>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</si>
  <si>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</si>
  <si>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</si>
  <si>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</si>
  <si>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</si>
  <si>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</si>
  <si>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</si>
  <si>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</si>
  <si>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</si>
  <si>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</si>
  <si>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</si>
  <si>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</si>
  <si>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</si>
  <si>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</si>
  <si>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</si>
  <si>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</si>
  <si>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</si>
  <si>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</si>
  <si>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</si>
  <si>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</si>
  <si>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</si>
  <si>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</si>
  <si>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</si>
  <si>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</si>
  <si>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</si>
  <si>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</si>
  <si>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</si>
  <si>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</si>
  <si>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</si>
  <si>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</si>
  <si>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</si>
  <si>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</si>
  <si>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</si>
  <si>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</si>
  <si>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</si>
  <si>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</si>
  <si>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</si>
  <si>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</si>
  <si>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</si>
  <si>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</si>
  <si>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</si>
  <si>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</si>
  <si>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</si>
  <si>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</si>
  <si>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</si>
  <si>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</si>
  <si>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</si>
  <si>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</si>
  <si>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</si>
  <si>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</si>
  <si>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</si>
  <si>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</si>
  <si>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</si>
  <si>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</si>
  <si>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</si>
  <si>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</si>
  <si>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</si>
  <si>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</si>
  <si>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</si>
  <si>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</si>
  <si>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</si>
  <si>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</si>
  <si>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</si>
  <si>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</si>
  <si>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</si>
  <si>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</si>
  <si>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</si>
  <si>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</si>
  <si>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</si>
  <si>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</si>
  <si>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</si>
  <si>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</si>
  <si>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</si>
  <si>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</si>
  <si>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</si>
  <si>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</si>
  <si>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</si>
  <si>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</si>
  <si>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</si>
  <si>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</si>
  <si>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</si>
  <si>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</si>
  <si>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</si>
  <si>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</si>
  <si>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</si>
  <si>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</si>
  <si>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</si>
  <si>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</si>
  <si>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</si>
  <si>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</si>
  <si>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</si>
  <si>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</si>
  <si>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</si>
  <si>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</si>
  <si>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</si>
  <si>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</si>
  <si>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</si>
  <si>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</si>
  <si>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</si>
  <si>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</si>
  <si>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</si>
  <si>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</si>
  <si>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</si>
  <si>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</si>
  <si>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</si>
  <si>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</si>
  <si>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</si>
  <si>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</si>
  <si>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</si>
  <si>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</si>
  <si>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</si>
  <si>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</si>
  <si>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</si>
  <si>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</si>
  <si>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</si>
  <si>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</si>
  <si>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</si>
  <si>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</si>
  <si>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</si>
  <si>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</si>
  <si>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</si>
  <si>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</si>
  <si>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</si>
  <si>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</si>
  <si>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</si>
  <si>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</si>
  <si>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</si>
  <si>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</si>
  <si>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</si>
  <si>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</si>
  <si>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</si>
  <si>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</si>
  <si>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</si>
  <si>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</si>
  <si>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</si>
  <si>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</si>
  <si>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</si>
  <si>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</si>
  <si>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</si>
  <si>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</si>
  <si>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</si>
  <si>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</si>
  <si>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</si>
  <si>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</si>
  <si>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</si>
  <si>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</si>
  <si>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</si>
  <si>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</si>
  <si>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</si>
  <si>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</si>
  <si>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</si>
  <si>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</si>
  <si>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</si>
  <si>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</si>
  <si>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</si>
  <si>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</si>
  <si>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</si>
  <si>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</si>
  <si>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</si>
  <si>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</si>
  <si>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</si>
  <si>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</si>
  <si>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</si>
  <si>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</si>
  <si>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</si>
  <si>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</si>
  <si>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</si>
  <si>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</si>
  <si>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</si>
  <si>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</si>
  <si>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</si>
  <si>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</si>
  <si>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</si>
  <si>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</si>
  <si>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</si>
  <si>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</si>
  <si>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</si>
  <si>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</si>
  <si>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</si>
  <si>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</si>
  <si>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</si>
  <si>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</si>
  <si>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</si>
  <si>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</si>
  <si>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</si>
  <si>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</si>
  <si>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</si>
  <si>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</si>
  <si>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</si>
  <si>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</si>
  <si>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</si>
  <si>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</si>
  <si>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</si>
  <si>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</si>
  <si>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</si>
  <si>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</si>
  <si>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</si>
  <si>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</si>
  <si>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</si>
  <si>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</si>
  <si>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</si>
  <si>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</si>
  <si>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</si>
  <si>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</si>
  <si>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</si>
  <si>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</si>
  <si>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</si>
  <si>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</si>
  <si>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</si>
  <si>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</si>
  <si>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</si>
  <si>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</si>
  <si>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</si>
  <si>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</si>
  <si>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</si>
  <si>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</si>
  <si>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</si>
  <si>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</si>
  <si>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</si>
  <si>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</si>
  <si>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</si>
  <si>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</si>
  <si>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</si>
  <si>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</si>
  <si>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</si>
  <si>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</si>
  <si>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</si>
  <si>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</si>
  <si>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</si>
  <si>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</si>
  <si>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</si>
  <si>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</si>
  <si>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</si>
  <si>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</si>
  <si>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</si>
  <si>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</si>
  <si>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</si>
  <si>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</si>
  <si>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</si>
  <si>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</si>
  <si>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</si>
  <si>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</si>
  <si>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</si>
  <si>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</si>
  <si>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</si>
  <si>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</si>
  <si>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</si>
  <si>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</si>
  <si>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</si>
  <si>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</si>
  <si>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</si>
  <si>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</si>
  <si>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</si>
  <si>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</si>
  <si>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</si>
  <si>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</si>
  <si>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</si>
  <si>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</si>
  <si>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</si>
  <si>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</si>
  <si>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</si>
  <si>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</si>
  <si>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</si>
  <si>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</si>
  <si>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</si>
  <si>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</si>
  <si>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</si>
  <si>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</si>
  <si>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</si>
  <si>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</si>
  <si>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</si>
  <si>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</si>
  <si>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</si>
  <si>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</si>
  <si>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</si>
  <si>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</si>
  <si>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</si>
  <si>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</si>
  <si>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</si>
  <si>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</si>
  <si>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</si>
  <si>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</si>
  <si>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</si>
  <si>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</si>
  <si>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</si>
  <si>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</si>
  <si>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</si>
  <si>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</si>
  <si>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</si>
  <si>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</si>
  <si>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</si>
  <si>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</si>
  <si>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</si>
  <si>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</si>
  <si>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</si>
  <si>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</si>
  <si>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</si>
  <si>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</si>
  <si>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</si>
  <si>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</si>
  <si>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</si>
  <si>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</si>
  <si>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</si>
  <si>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</si>
  <si>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</si>
  <si>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</si>
  <si>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</si>
  <si>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</si>
  <si>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</si>
  <si>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</si>
  <si>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</si>
  <si>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</si>
  <si>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</si>
  <si>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</si>
  <si>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</si>
  <si>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</si>
  <si>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</si>
  <si>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</si>
  <si>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</si>
  <si>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</si>
  <si>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</si>
  <si>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</si>
  <si>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</si>
  <si>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</si>
  <si>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</si>
  <si>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</si>
  <si>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</si>
  <si>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</si>
  <si>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</si>
  <si>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</si>
  <si>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</si>
  <si>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</si>
  <si>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</si>
  <si>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</si>
  <si>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</si>
  <si>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</si>
  <si>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</si>
  <si>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</si>
  <si>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</si>
  <si>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</si>
  <si>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</si>
  <si>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</si>
  <si>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</si>
  <si>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</si>
  <si>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</si>
  <si>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</si>
  <si>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</si>
  <si>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</si>
  <si>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</si>
  <si>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</si>
  <si>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</si>
  <si>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</si>
  <si>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</si>
  <si>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</si>
  <si>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</si>
  <si>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</si>
  <si>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</si>
  <si>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</si>
  <si>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</si>
  <si>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</si>
  <si>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</si>
  <si>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</si>
  <si>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</si>
  <si>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</si>
  <si>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</si>
  <si>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</si>
  <si>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</si>
  <si>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</si>
  <si>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</si>
  <si>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</si>
  <si>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</si>
  <si>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</si>
  <si>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</si>
  <si>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</si>
  <si>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</si>
  <si>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</si>
  <si>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</si>
  <si>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</si>
  <si>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</si>
  <si>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</si>
  <si>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</si>
  <si>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</si>
  <si>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</si>
  <si>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</si>
  <si>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</si>
  <si>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</si>
  <si>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</si>
  <si>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</si>
  <si>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</si>
  <si>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</si>
  <si>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</si>
  <si>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</si>
  <si>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</si>
  <si>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</si>
  <si>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</si>
  <si>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</si>
  <si>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</si>
  <si>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</si>
  <si>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</si>
  <si>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</si>
  <si>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</si>
  <si>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</si>
  <si>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</si>
  <si>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</si>
  <si>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</si>
  <si>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</si>
  <si>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</si>
  <si>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</si>
  <si>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</si>
  <si>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</si>
  <si>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</si>
  <si>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</si>
  <si>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</si>
  <si>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</si>
  <si>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</si>
  <si>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</si>
  <si>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</si>
  <si>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</si>
  <si>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</si>
  <si>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</si>
  <si>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</si>
  <si>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</si>
  <si>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</si>
  <si>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</si>
  <si>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</si>
  <si>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</si>
  <si>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</si>
  <si>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</si>
  <si>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</si>
  <si>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</si>
  <si>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</si>
  <si>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</si>
  <si>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</si>
  <si>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</si>
  <si>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</si>
  <si>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</si>
  <si>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</si>
  <si>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</si>
  <si>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</si>
  <si>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</si>
  <si>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</si>
  <si>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</si>
  <si>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</si>
  <si>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</si>
  <si>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</si>
  <si>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</si>
  <si>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</si>
  <si>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</si>
  <si>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</si>
  <si>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</si>
  <si>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</si>
  <si>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</si>
  <si>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</si>
  <si>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</si>
  <si>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</si>
  <si>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</si>
  <si>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</si>
  <si>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</si>
  <si>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</si>
  <si>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</si>
  <si>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</si>
  <si>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</si>
  <si>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</si>
  <si>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</si>
  <si>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</si>
  <si>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</si>
  <si>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</si>
  <si>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</si>
  <si>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</si>
  <si>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</si>
  <si>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</si>
  <si>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</si>
  <si>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</si>
  <si>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</si>
  <si>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</si>
  <si>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</si>
  <si>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</si>
  <si>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</si>
  <si>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</si>
  <si>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</si>
  <si>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</si>
  <si>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</si>
  <si>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</si>
  <si>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</si>
  <si>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</si>
  <si>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</si>
  <si>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</si>
  <si>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</si>
  <si>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</si>
  <si>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</si>
  <si>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</si>
  <si>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</si>
  <si>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</si>
  <si>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</si>
  <si>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</si>
  <si>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</si>
  <si>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</si>
  <si>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</si>
  <si>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</si>
  <si>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</si>
  <si>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</si>
  <si>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</si>
  <si>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</si>
  <si>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</si>
  <si>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</si>
  <si>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</si>
  <si>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</si>
  <si>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</si>
  <si>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</si>
  <si>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</si>
  <si>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</si>
  <si>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</si>
  <si>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</si>
  <si>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</si>
  <si>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</si>
  <si>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</si>
  <si>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</si>
  <si>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</si>
  <si>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</si>
  <si>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</si>
  <si>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</si>
  <si>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</si>
  <si>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</si>
  <si>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</si>
  <si>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</si>
  <si>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</si>
  <si>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</si>
  <si>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</si>
  <si>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</si>
  <si>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</si>
  <si>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</si>
  <si>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</si>
  <si>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</si>
  <si>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</si>
  <si>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</si>
  <si>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</si>
  <si>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</si>
  <si>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</si>
  <si>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</si>
  <si>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</si>
  <si>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</si>
  <si>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</si>
  <si>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</si>
  <si>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</si>
  <si>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</si>
  <si>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</si>
  <si>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</si>
  <si>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</si>
  <si>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</si>
  <si>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</si>
  <si>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</si>
  <si>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</si>
  <si>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</si>
  <si>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</si>
  <si>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</si>
  <si>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</si>
  <si>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</si>
  <si>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</si>
  <si>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</si>
  <si>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</si>
  <si>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</si>
  <si>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</si>
  <si>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</si>
  <si>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</si>
  <si>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</si>
  <si>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</si>
  <si>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</si>
  <si>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</si>
  <si>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</si>
  <si>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</si>
  <si>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</si>
  <si>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</si>
  <si>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</si>
  <si>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</si>
  <si>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</si>
  <si>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</si>
  <si>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</si>
  <si>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</si>
  <si>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</si>
  <si>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</si>
  <si>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</si>
  <si>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</si>
  <si>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</si>
  <si>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</si>
  <si>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</si>
  <si>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</si>
  <si>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</si>
  <si>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</si>
  <si>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</si>
  <si>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</si>
  <si>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</si>
  <si>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</si>
  <si>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</si>
  <si>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</si>
  <si>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</si>
  <si>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</si>
  <si>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</si>
  <si>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</si>
  <si>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</si>
  <si>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</si>
  <si>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</si>
  <si>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</si>
  <si>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</si>
  <si>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</si>
  <si>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</si>
  <si>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</si>
  <si>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</si>
  <si>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</si>
  <si>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</si>
  <si>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</si>
  <si>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</si>
  <si>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</si>
  <si>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</si>
  <si>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</si>
  <si>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</si>
  <si>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</si>
  <si>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</si>
  <si>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</si>
  <si>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</si>
  <si>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</si>
  <si>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</si>
  <si>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</si>
  <si>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</si>
  <si>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</si>
  <si>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</si>
  <si>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</si>
  <si>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</si>
  <si>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</si>
  <si>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</si>
  <si>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</si>
  <si>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</si>
  <si>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</si>
  <si>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</si>
  <si>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</si>
  <si>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</si>
  <si>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</si>
  <si>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</si>
  <si>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</si>
  <si>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</si>
  <si>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</si>
  <si>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</si>
  <si>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</si>
  <si>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</si>
  <si>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</si>
  <si>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</si>
  <si>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</si>
  <si>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</si>
  <si>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</si>
  <si>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</si>
  <si>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</si>
  <si>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</si>
  <si>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</si>
  <si>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</si>
  <si>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</si>
  <si>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</si>
  <si>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</si>
  <si>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</si>
  <si>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</si>
  <si>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</si>
  <si>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</si>
  <si>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</si>
  <si>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</si>
  <si>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</si>
  <si>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</si>
  <si>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</si>
  <si>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</si>
  <si>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</si>
  <si>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</si>
  <si>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</si>
  <si>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</si>
  <si>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</si>
  <si>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</si>
  <si>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</si>
  <si>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</si>
  <si>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</si>
  <si>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</si>
  <si>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</si>
  <si>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</si>
  <si>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</si>
  <si>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</si>
  <si>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</si>
  <si>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</si>
  <si>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</si>
  <si>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</si>
  <si>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</si>
  <si>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</si>
  <si>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</si>
  <si>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</si>
  <si>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</si>
  <si>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</si>
  <si>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</si>
  <si>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</si>
  <si>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</si>
  <si>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</si>
  <si>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</si>
  <si>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</si>
  <si>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</si>
  <si>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</si>
  <si>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</si>
  <si>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</si>
  <si>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</si>
  <si>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</si>
  <si>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</si>
  <si>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</si>
  <si>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</si>
  <si>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</si>
  <si>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</si>
  <si>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</si>
  <si>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</si>
  <si>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</si>
  <si>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</si>
  <si>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</si>
  <si>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</si>
  <si>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</si>
  <si>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</si>
  <si>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</si>
  <si>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</si>
  <si>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</si>
  <si>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</si>
  <si>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</si>
  <si>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</si>
  <si>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</si>
  <si>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</si>
  <si>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</si>
  <si>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</si>
  <si>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</si>
  <si>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</si>
  <si>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</si>
  <si>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</si>
  <si>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</si>
  <si>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</si>
  <si>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</si>
  <si>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</si>
  <si>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</si>
  <si>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</si>
  <si>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</si>
  <si>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</si>
  <si>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</si>
  <si>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</si>
  <si>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</si>
  <si>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</si>
  <si>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</si>
  <si>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</si>
  <si>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</si>
  <si>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</si>
  <si>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</si>
  <si>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</si>
  <si>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</si>
  <si>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</si>
  <si>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</si>
  <si>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</si>
  <si>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</si>
  <si>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</si>
  <si>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</si>
  <si>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</si>
  <si>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</si>
  <si>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</si>
  <si>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</si>
  <si>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</si>
  <si>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</si>
  <si>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</si>
  <si>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</si>
  <si>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</si>
  <si>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</si>
  <si>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</si>
  <si>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</si>
  <si>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</si>
  <si>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</si>
  <si>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</si>
  <si>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</si>
  <si>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</si>
  <si>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</si>
  <si>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</si>
  <si>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</si>
  <si>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</si>
  <si>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</si>
  <si>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</si>
  <si>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</si>
  <si>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</si>
  <si>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</si>
  <si>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</si>
  <si>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</si>
  <si>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</si>
  <si>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</si>
  <si>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</si>
  <si>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</si>
  <si>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</si>
  <si>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</si>
  <si>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</si>
  <si>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</si>
  <si>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</si>
  <si>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</si>
  <si>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</si>
  <si>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</si>
  <si>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</si>
  <si>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</si>
  <si>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</si>
  <si>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</si>
  <si>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</si>
  <si>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</si>
  <si>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</si>
  <si>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</si>
  <si>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</si>
  <si>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</si>
  <si>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</si>
  <si>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</si>
  <si>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</si>
  <si>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</si>
  <si>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</si>
  <si>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</si>
  <si>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</si>
  <si>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</si>
  <si>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</si>
  <si>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</si>
  <si>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</si>
  <si>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</si>
  <si>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</si>
  <si>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</si>
  <si>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</si>
  <si>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</si>
  <si>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</si>
  <si>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</si>
  <si>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</si>
  <si>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</si>
  <si>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</si>
  <si>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</si>
  <si>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</si>
  <si>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</si>
  <si>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</si>
  <si>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</si>
  <si>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</si>
  <si>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</si>
  <si>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</si>
  <si>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</si>
  <si>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</si>
  <si>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</si>
  <si>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</si>
  <si>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</si>
  <si>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</si>
  <si>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</si>
  <si>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</si>
  <si>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</si>
  <si>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</si>
  <si>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</si>
  <si>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</si>
  <si>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</si>
  <si>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</si>
  <si>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</si>
  <si>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</si>
  <si>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</si>
  <si>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</si>
  <si>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</si>
  <si>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</si>
  <si>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</si>
  <si>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</si>
  <si>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</si>
  <si>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</si>
  <si>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</si>
  <si>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</si>
  <si>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</si>
  <si>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</si>
  <si>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</si>
  <si>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</si>
  <si>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</si>
  <si>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</si>
  <si>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</si>
  <si>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</si>
  <si>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</si>
  <si>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</si>
  <si>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</si>
  <si>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</si>
  <si>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</si>
  <si>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</si>
  <si>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</si>
  <si>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</si>
  <si>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</si>
  <si>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</si>
  <si>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</si>
  <si>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</si>
  <si>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</si>
  <si>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</si>
  <si>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</si>
  <si>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</si>
  <si>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</si>
  <si>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</si>
  <si>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</si>
  <si>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</si>
  <si>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</si>
  <si>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</si>
  <si>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</si>
  <si>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</si>
  <si>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</si>
  <si>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</si>
  <si>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</si>
  <si>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</si>
  <si>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</si>
  <si>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</si>
  <si>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</si>
  <si>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</si>
  <si>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</si>
  <si>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</si>
  <si>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</si>
  <si>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</si>
  <si>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</si>
  <si>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</si>
  <si>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</si>
  <si>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</si>
  <si>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</si>
  <si>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</si>
  <si>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</si>
  <si>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</si>
  <si>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</si>
  <si>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</si>
  <si>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</si>
  <si>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</si>
  <si>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</si>
  <si>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</si>
  <si>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</si>
  <si>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</si>
  <si>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</si>
  <si>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</si>
  <si>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</si>
  <si>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</si>
  <si>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</si>
  <si>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</si>
  <si>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</si>
  <si>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</si>
  <si>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</si>
  <si>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</si>
  <si>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</si>
  <si>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</si>
  <si>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</si>
  <si>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</si>
  <si>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</si>
  <si>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</si>
  <si>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</si>
  <si>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</si>
  <si>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</si>
  <si>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</si>
  <si>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</si>
  <si>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</si>
  <si>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</si>
  <si>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</si>
  <si>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</si>
  <si>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</si>
  <si>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</si>
  <si>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</si>
  <si>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</si>
  <si>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</si>
  <si>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</si>
  <si>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</si>
  <si>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</si>
  <si>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</si>
  <si>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</si>
  <si>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</si>
  <si>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</si>
  <si>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</si>
  <si>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</si>
  <si>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</si>
  <si>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</si>
  <si>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</si>
  <si>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</si>
  <si>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</si>
  <si>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</si>
  <si>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</si>
  <si>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</si>
  <si>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</si>
  <si>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</si>
  <si>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</si>
  <si>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</si>
  <si>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</si>
  <si>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</si>
  <si>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</si>
  <si>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</si>
  <si>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</si>
  <si>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</si>
  <si>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</si>
  <si>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</si>
  <si>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</si>
  <si>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</si>
  <si>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</si>
  <si>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</si>
  <si>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</si>
  <si>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</si>
  <si>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</si>
  <si>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</si>
  <si>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</si>
  <si>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</si>
  <si>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</si>
  <si>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</si>
  <si>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</si>
  <si>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</si>
  <si>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</si>
  <si>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</si>
  <si>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</si>
  <si>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</si>
  <si>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</si>
  <si>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</si>
  <si>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</si>
  <si>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</si>
  <si>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</si>
  <si>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</si>
  <si>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</si>
  <si>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</si>
  <si>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</si>
  <si>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</si>
  <si>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</si>
  <si>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</si>
  <si>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</si>
  <si>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</si>
  <si>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</si>
  <si>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</si>
  <si>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</si>
  <si>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</si>
  <si>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</si>
  <si>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</si>
  <si>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</si>
  <si>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</si>
  <si>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</si>
  <si>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</si>
  <si>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</si>
  <si>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</si>
  <si>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</si>
  <si>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</si>
  <si>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</si>
  <si>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</si>
  <si>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</si>
  <si>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</si>
  <si>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2021 is the year with highest Inflation rate</t>
  </si>
  <si>
    <t>1. Global Edible Oil Shortage: Production disruptions in Indonesia, Malaysia, Argentina, and Ukraine due to labour   shortages and La Niña reduced global edible oil supply.
2. Export Restrictions: Countries like Indonesia restricted palm oil exports, lowering international supply and driving up prices.
3. Surge in Global Crude Oil Prices: Rising crude oil prices increased transportation and input costs, further pushing edible oil prices higher.
4. High Import Dependence of India: With 60–65% of edible oil demand met through imports, global price hikes directly affected India’s CPI (Oils &amp; Fats).
5. COVID-19 Supply Chain Disruptions: Shipping delays, higher freight costs, and lockdowns disrupted trade and increased import prices, especially for edible oils.</t>
  </si>
  <si>
    <t>Inflation of Education</t>
  </si>
  <si>
    <t>Inflation of Tobacco and Intoxicants</t>
  </si>
  <si>
    <t>Year-Month</t>
  </si>
  <si>
    <t>M-O-M Inflation</t>
  </si>
  <si>
    <t>Average Food and beverage</t>
  </si>
  <si>
    <t>Month with highest inflation - 2022-10</t>
  </si>
  <si>
    <t>Month with least inflation - 2022-12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</si>
</sst>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D9E1F2"/>
        <bgColor rgb="FFD9E1F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/>
    <xf numFmtId="10" fontId="0" fillId="0" borderId="0" xfId="1" applyNumberFormat="1" applyFont="1"/>
    <xf numFmtId="0" fontId="16" fillId="33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1" applyNumberFormat="1" applyFont="1"/>
    <xf numFmtId="10" fontId="0" fillId="0" borderId="0" xfId="0" applyNumberFormat="1"/>
    <xf numFmtId="0" fontId="13" fillId="34" borderId="11" xfId="0" applyFont="1" applyFill="1" applyBorder="1"/>
    <xf numFmtId="0" fontId="13" fillId="34" borderId="12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18" fillId="0" borderId="0" xfId="0" applyFont="1" applyAlignment="1">
      <alignment horizontal="left"/>
    </xf>
    <xf numFmtId="0" fontId="19" fillId="35" borderId="13" xfId="0" applyFont="1" applyFill="1" applyBorder="1"/>
    <xf numFmtId="0" fontId="0" fillId="0" borderId="14" xfId="0" applyBorder="1"/>
    <xf numFmtId="165" fontId="0" fillId="33" borderId="12" xfId="1" applyNumberFormat="1" applyFont="1" applyFill="1" applyBorder="1"/>
    <xf numFmtId="165" fontId="0" fillId="0" borderId="12" xfId="1" applyNumberFormat="1" applyFont="1" applyBorder="1"/>
    <xf numFmtId="0" fontId="0" fillId="33" borderId="11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Urban CPI Index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'Q1'!$G$3</c:f>
              <c:strCache>
                <c:ptCount val="1"/>
                <c:pt idx="0">
                  <c:v>CPI Index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49D-4DFA-BA4C-F57761B4C9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49D-4DFA-BA4C-F57761B4C9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49D-4DFA-BA4C-F57761B4C9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49D-4DFA-BA4C-F57761B4C9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349D-4DFA-BA4C-F57761B4C95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349D-4DFA-BA4C-F57761B4C95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349D-4DFA-BA4C-F57761B4C95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349D-4DFA-BA4C-F57761B4C95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349D-4DFA-BA4C-F57761B4C95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349D-4DFA-BA4C-F57761B4C95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'Q1'!$F$4:$F$13</c:f>
              <c:strCache>
                <c:ptCount val="10"/>
                <c:pt idx="0">
                  <c:v>Food and Beverages</c:v>
                </c:pt>
                <c:pt idx="1">
                  <c:v>Tobacco &amp; Intoxicants</c:v>
                </c:pt>
                <c:pt idx="2">
                  <c:v>Clothing &amp; Footwear</c:v>
                </c:pt>
                <c:pt idx="3">
                  <c:v>Housing</c:v>
                </c:pt>
                <c:pt idx="4">
                  <c:v>Fuel &amp; Utilities</c:v>
                </c:pt>
                <c:pt idx="5">
                  <c:v>Health</c:v>
                </c:pt>
                <c:pt idx="6">
                  <c:v>Transport &amp; Communication</c:v>
                </c:pt>
                <c:pt idx="7">
                  <c:v>Education</c:v>
                </c:pt>
                <c:pt idx="8">
                  <c:v>Recreation &amp; Miscellaneous</c:v>
                </c:pt>
                <c:pt idx="9">
                  <c:v>Total</c:v>
                </c:pt>
              </c:strCache>
            </c:strRef>
          </c:cat>
          <c:val>
            <c:numRef>
              <c:f>'Q1'!$G$4:$G$13</c:f>
              <c:numCache>
                <c:formatCode>General</c:formatCode>
                <c:ptCount val="10"/>
                <c:pt idx="0">
                  <c:v>2335.1</c:v>
                </c:pt>
                <c:pt idx="1">
                  <c:v>204.2</c:v>
                </c:pt>
                <c:pt idx="2">
                  <c:v>528.70000000000005</c:v>
                </c:pt>
                <c:pt idx="3">
                  <c:v>175.6</c:v>
                </c:pt>
                <c:pt idx="4">
                  <c:v>353.5</c:v>
                </c:pt>
                <c:pt idx="5">
                  <c:v>182.2</c:v>
                </c:pt>
                <c:pt idx="6">
                  <c:v>160.4</c:v>
                </c:pt>
                <c:pt idx="7">
                  <c:v>174.8</c:v>
                </c:pt>
                <c:pt idx="8">
                  <c:v>526.4</c:v>
                </c:pt>
                <c:pt idx="9">
                  <c:v>4640.8999999999996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1-4EFC-824B-80376A70C7A2}"/>
            </c:ext>
          </c:extLst>
        </c:ser>
        <c:ser>
          <c:idx val="1"/>
          <c:order val="1"/>
          <c:tx>
            <c:strRef>
              <c:f>'Q1'!$H$3</c:f>
              <c:strCache>
                <c:ptCount val="1"/>
                <c:pt idx="0">
                  <c:v>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349D-4DFA-BA4C-F57761B4C9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349D-4DFA-BA4C-F57761B4C9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349D-4DFA-BA4C-F57761B4C9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349D-4DFA-BA4C-F57761B4C9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349D-4DFA-BA4C-F57761B4C95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349D-4DFA-BA4C-F57761B4C95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349D-4DFA-BA4C-F57761B4C95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349D-4DFA-BA4C-F57761B4C95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349D-4DFA-BA4C-F57761B4C95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349D-4DFA-BA4C-F57761B4C95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'Q1'!$F$4:$F$13</c:f>
              <c:strCache>
                <c:ptCount val="10"/>
                <c:pt idx="0">
                  <c:v>Food and Beverages</c:v>
                </c:pt>
                <c:pt idx="1">
                  <c:v>Tobacco &amp; Intoxicants</c:v>
                </c:pt>
                <c:pt idx="2">
                  <c:v>Clothing &amp; Footwear</c:v>
                </c:pt>
                <c:pt idx="3">
                  <c:v>Housing</c:v>
                </c:pt>
                <c:pt idx="4">
                  <c:v>Fuel &amp; Utilities</c:v>
                </c:pt>
                <c:pt idx="5">
                  <c:v>Health</c:v>
                </c:pt>
                <c:pt idx="6">
                  <c:v>Transport &amp; Communication</c:v>
                </c:pt>
                <c:pt idx="7">
                  <c:v>Education</c:v>
                </c:pt>
                <c:pt idx="8">
                  <c:v>Recreation &amp; Miscellaneous</c:v>
                </c:pt>
                <c:pt idx="9">
                  <c:v>Total</c:v>
                </c:pt>
              </c:strCache>
            </c:strRef>
          </c:cat>
          <c:val>
            <c:numRef>
              <c:f>'Q1'!$H$4:$H$13</c:f>
              <c:numCache>
                <c:formatCode>0.00%</c:formatCode>
                <c:ptCount val="10"/>
                <c:pt idx="0">
                  <c:v>0.50346481071827431</c:v>
                </c:pt>
                <c:pt idx="1">
                  <c:v>4.4027028542105953E-2</c:v>
                </c:pt>
                <c:pt idx="2">
                  <c:v>0.1139916258090667</c:v>
                </c:pt>
                <c:pt idx="3">
                  <c:v>3.7860657257560264E-2</c:v>
                </c:pt>
                <c:pt idx="4">
                  <c:v>7.6217211506535043E-2</c:v>
                </c:pt>
                <c:pt idx="5">
                  <c:v>3.9283666015532341E-2</c:v>
                </c:pt>
                <c:pt idx="6">
                  <c:v>3.4583424966473042E-2</c:v>
                </c:pt>
                <c:pt idx="7">
                  <c:v>3.768817134750304E-2</c:v>
                </c:pt>
                <c:pt idx="8">
                  <c:v>0.11349572881765217</c:v>
                </c:pt>
                <c:pt idx="9">
                  <c:v>1.0006123249807028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D1-4EFC-824B-80376A70C7A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Rural CPI Index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'Q1'!$B$3</c:f>
              <c:strCache>
                <c:ptCount val="1"/>
                <c:pt idx="0">
                  <c:v>CPI Index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498-4D56-B819-C975F494B3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498-4D56-B819-C975F494B3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498-4D56-B819-C975F494B3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498-4D56-B819-C975F494B3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B498-4D56-B819-C975F494B36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B498-4D56-B819-C975F494B36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B498-4D56-B819-C975F494B36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B498-4D56-B819-C975F494B36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B498-4D56-B819-C975F494B36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B498-4D56-B819-C975F494B36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'Q1'!$A$4:$A$13</c:f>
              <c:strCache>
                <c:ptCount val="10"/>
                <c:pt idx="0">
                  <c:v>Food and Beverages</c:v>
                </c:pt>
                <c:pt idx="1">
                  <c:v>Tobacco &amp; Intoxicants</c:v>
                </c:pt>
                <c:pt idx="2">
                  <c:v>Clothing &amp; Footwear</c:v>
                </c:pt>
                <c:pt idx="3">
                  <c:v>Housing</c:v>
                </c:pt>
                <c:pt idx="4">
                  <c:v>Fuel &amp; Utilities</c:v>
                </c:pt>
                <c:pt idx="5">
                  <c:v>Health</c:v>
                </c:pt>
                <c:pt idx="6">
                  <c:v>Transport &amp; Communication</c:v>
                </c:pt>
                <c:pt idx="7">
                  <c:v>Education</c:v>
                </c:pt>
                <c:pt idx="8">
                  <c:v>Recreation &amp; Miscellaneous</c:v>
                </c:pt>
                <c:pt idx="9">
                  <c:v>Total</c:v>
                </c:pt>
              </c:strCache>
            </c:strRef>
          </c:cat>
          <c:val>
            <c:numRef>
              <c:f>'Q1'!$B$4:$B$13</c:f>
              <c:numCache>
                <c:formatCode>General</c:formatCode>
                <c:ptCount val="10"/>
                <c:pt idx="0">
                  <c:v>2290.7000000000007</c:v>
                </c:pt>
                <c:pt idx="1">
                  <c:v>199.9</c:v>
                </c:pt>
                <c:pt idx="2">
                  <c:v>569.90000000000009</c:v>
                </c:pt>
                <c:pt idx="3">
                  <c:v>139.26</c:v>
                </c:pt>
                <c:pt idx="4">
                  <c:v>362.3</c:v>
                </c:pt>
                <c:pt idx="5">
                  <c:v>187.8</c:v>
                </c:pt>
                <c:pt idx="6">
                  <c:v>169.7</c:v>
                </c:pt>
                <c:pt idx="7">
                  <c:v>180.3</c:v>
                </c:pt>
                <c:pt idx="8">
                  <c:v>538.20000000000005</c:v>
                </c:pt>
                <c:pt idx="9">
                  <c:v>4638.0600000000013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C-4396-B95F-E8BDEA2FDE7C}"/>
            </c:ext>
          </c:extLst>
        </c:ser>
        <c:ser>
          <c:idx val="1"/>
          <c:order val="1"/>
          <c:tx>
            <c:strRef>
              <c:f>'Q1'!$C$3</c:f>
              <c:strCache>
                <c:ptCount val="1"/>
                <c:pt idx="0">
                  <c:v>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B498-4D56-B819-C975F494B3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B498-4D56-B819-C975F494B3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B498-4D56-B819-C975F494B3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B498-4D56-B819-C975F494B3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B498-4D56-B819-C975F494B36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B498-4D56-B819-C975F494B36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B498-4D56-B819-C975F494B36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B498-4D56-B819-C975F494B36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B498-4D56-B819-C975F494B36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B498-4D56-B819-C975F494B36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'Q1'!$A$4:$A$13</c:f>
              <c:strCache>
                <c:ptCount val="10"/>
                <c:pt idx="0">
                  <c:v>Food and Beverages</c:v>
                </c:pt>
                <c:pt idx="1">
                  <c:v>Tobacco &amp; Intoxicants</c:v>
                </c:pt>
                <c:pt idx="2">
                  <c:v>Clothing &amp; Footwear</c:v>
                </c:pt>
                <c:pt idx="3">
                  <c:v>Housing</c:v>
                </c:pt>
                <c:pt idx="4">
                  <c:v>Fuel &amp; Utilities</c:v>
                </c:pt>
                <c:pt idx="5">
                  <c:v>Health</c:v>
                </c:pt>
                <c:pt idx="6">
                  <c:v>Transport &amp; Communication</c:v>
                </c:pt>
                <c:pt idx="7">
                  <c:v>Education</c:v>
                </c:pt>
                <c:pt idx="8">
                  <c:v>Recreation &amp; Miscellaneous</c:v>
                </c:pt>
                <c:pt idx="9">
                  <c:v>Total</c:v>
                </c:pt>
              </c:strCache>
            </c:strRef>
          </c:cat>
          <c:val>
            <c:numRef>
              <c:f>'Q1'!$C$4:$C$13</c:f>
              <c:numCache>
                <c:formatCode>0.00%</c:formatCode>
                <c:ptCount val="10"/>
                <c:pt idx="0">
                  <c:v>0.49389184271009862</c:v>
                </c:pt>
                <c:pt idx="1">
                  <c:v>4.3099916775548384E-2</c:v>
                </c:pt>
                <c:pt idx="2">
                  <c:v>0.12287465017701366</c:v>
                </c:pt>
                <c:pt idx="3">
                  <c:v>3.0025484793210943E-2</c:v>
                </c:pt>
                <c:pt idx="4">
                  <c:v>7.811455651716448E-2</c:v>
                </c:pt>
                <c:pt idx="5">
                  <c:v>4.0491067385932902E-2</c:v>
                </c:pt>
                <c:pt idx="6">
                  <c:v>3.6588573670888247E-2</c:v>
                </c:pt>
                <c:pt idx="7">
                  <c:v>3.8874011979146444E-2</c:v>
                </c:pt>
                <c:pt idx="8">
                  <c:v>0.11603989599099621</c:v>
                </c:pt>
                <c:pt idx="9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C-4396-B95F-E8BDEA2FDE7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Rural+Urban CPI Index Contribution</a:t>
            </a:r>
          </a:p>
        </c:rich>
      </c:tx>
      <c:layout>
        <c:manualLayout>
          <c:xMode val="edge"/>
          <c:yMode val="edge"/>
          <c:x val="0.15875033828627397"/>
          <c:y val="5.42551387537231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'Q1'!$L$3</c:f>
              <c:strCache>
                <c:ptCount val="1"/>
                <c:pt idx="0">
                  <c:v>CPI Index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D53-4813-8B7F-805C3C9939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D53-4813-8B7F-805C3C9939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D53-4813-8B7F-805C3C9939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D53-4813-8B7F-805C3C9939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D53-4813-8B7F-805C3C9939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D53-4813-8B7F-805C3C9939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2D53-4813-8B7F-805C3C9939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2D53-4813-8B7F-805C3C9939A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2D53-4813-8B7F-805C3C9939A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2D53-4813-8B7F-805C3C9939A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'Q1'!$K$4:$K$13</c:f>
              <c:strCache>
                <c:ptCount val="10"/>
                <c:pt idx="0">
                  <c:v>Food and Beverages</c:v>
                </c:pt>
                <c:pt idx="1">
                  <c:v>Tobacco &amp; Intoxicants</c:v>
                </c:pt>
                <c:pt idx="2">
                  <c:v>Clothing &amp; Footwear</c:v>
                </c:pt>
                <c:pt idx="3">
                  <c:v>Housing</c:v>
                </c:pt>
                <c:pt idx="4">
                  <c:v>Fuel &amp; Utilities</c:v>
                </c:pt>
                <c:pt idx="5">
                  <c:v>Health</c:v>
                </c:pt>
                <c:pt idx="6">
                  <c:v>Transport &amp; Communication</c:v>
                </c:pt>
                <c:pt idx="7">
                  <c:v>Education</c:v>
                </c:pt>
                <c:pt idx="8">
                  <c:v>Recreation &amp; Miscellaneous</c:v>
                </c:pt>
                <c:pt idx="9">
                  <c:v>Total</c:v>
                </c:pt>
              </c:strCache>
            </c:strRef>
          </c:cat>
          <c:val>
            <c:numRef>
              <c:f>'Q1'!$L$4:$L$13</c:f>
              <c:numCache>
                <c:formatCode>General</c:formatCode>
                <c:ptCount val="10"/>
                <c:pt idx="0">
                  <c:v>2306.9</c:v>
                </c:pt>
                <c:pt idx="1">
                  <c:v>201</c:v>
                </c:pt>
                <c:pt idx="2">
                  <c:v>553.20000000000005</c:v>
                </c:pt>
                <c:pt idx="3">
                  <c:v>169.2</c:v>
                </c:pt>
                <c:pt idx="4">
                  <c:v>358</c:v>
                </c:pt>
                <c:pt idx="5">
                  <c:v>185.7</c:v>
                </c:pt>
                <c:pt idx="6">
                  <c:v>164.8</c:v>
                </c:pt>
                <c:pt idx="7">
                  <c:v>177.1</c:v>
                </c:pt>
                <c:pt idx="8">
                  <c:v>532.09999999999991</c:v>
                </c:pt>
                <c:pt idx="9">
                  <c:v>4648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C-440C-9BC1-BCCFC65BD8C5}"/>
            </c:ext>
          </c:extLst>
        </c:ser>
        <c:ser>
          <c:idx val="1"/>
          <c:order val="1"/>
          <c:tx>
            <c:strRef>
              <c:f>'Q1'!$M$3</c:f>
              <c:strCache>
                <c:ptCount val="1"/>
                <c:pt idx="0">
                  <c:v>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2D53-4813-8B7F-805C3C9939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2D53-4813-8B7F-805C3C9939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2D53-4813-8B7F-805C3C9939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2D53-4813-8B7F-805C3C9939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2D53-4813-8B7F-805C3C9939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2D53-4813-8B7F-805C3C9939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2D53-4813-8B7F-805C3C9939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2D53-4813-8B7F-805C3C9939A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2D53-4813-8B7F-805C3C9939A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2D53-4813-8B7F-805C3C9939A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'Q1'!$K$4:$K$13</c:f>
              <c:strCache>
                <c:ptCount val="10"/>
                <c:pt idx="0">
                  <c:v>Food and Beverages</c:v>
                </c:pt>
                <c:pt idx="1">
                  <c:v>Tobacco &amp; Intoxicants</c:v>
                </c:pt>
                <c:pt idx="2">
                  <c:v>Clothing &amp; Footwear</c:v>
                </c:pt>
                <c:pt idx="3">
                  <c:v>Housing</c:v>
                </c:pt>
                <c:pt idx="4">
                  <c:v>Fuel &amp; Utilities</c:v>
                </c:pt>
                <c:pt idx="5">
                  <c:v>Health</c:v>
                </c:pt>
                <c:pt idx="6">
                  <c:v>Transport &amp; Communication</c:v>
                </c:pt>
                <c:pt idx="7">
                  <c:v>Education</c:v>
                </c:pt>
                <c:pt idx="8">
                  <c:v>Recreation &amp; Miscellaneous</c:v>
                </c:pt>
                <c:pt idx="9">
                  <c:v>Total</c:v>
                </c:pt>
              </c:strCache>
            </c:strRef>
          </c:cat>
          <c:val>
            <c:numRef>
              <c:f>'Q1'!$M$4:$M$13</c:f>
              <c:numCache>
                <c:formatCode>0.00%</c:formatCode>
                <c:ptCount val="10"/>
                <c:pt idx="0">
                  <c:v>0.49738468238875727</c:v>
                </c:pt>
                <c:pt idx="1">
                  <c:v>4.3337084901877064E-2</c:v>
                </c:pt>
                <c:pt idx="2">
                  <c:v>0.11927400680456912</c:v>
                </c:pt>
                <c:pt idx="3">
                  <c:v>3.6480769977102485E-2</c:v>
                </c:pt>
                <c:pt idx="4">
                  <c:v>7.7187444750606918E-2</c:v>
                </c:pt>
                <c:pt idx="5">
                  <c:v>4.0038291872032693E-2</c:v>
                </c:pt>
                <c:pt idx="6">
                  <c:v>3.5532097471787767E-2</c:v>
                </c:pt>
                <c:pt idx="7">
                  <c:v>3.8184068338917555E-2</c:v>
                </c:pt>
                <c:pt idx="8">
                  <c:v>0.11472469092680987</c:v>
                </c:pt>
                <c:pt idx="9">
                  <c:v>1.0021431374324608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C-440C-9BC1-BCCFC65BD8C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'Q2'!$B$33</c:f>
              <c:strCache>
                <c:ptCount val="1"/>
                <c:pt idx="0">
                  <c:v>CPI Inflation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'Q2'!$A$34:$A$40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'Q2'!$B$34:$B$40</c:f>
              <c:numCache>
                <c:formatCode>0.00%</c:formatCode>
                <c:ptCount val="7"/>
                <c:pt idx="0">
                  <c:v>2.77292981363212E-2</c:v>
                </c:pt>
                <c:pt idx="1">
                  <c:v>3.338515783336559E-2</c:v>
                </c:pt>
                <c:pt idx="2">
                  <c:v>3.6365834506694047E-2</c:v>
                </c:pt>
                <c:pt idx="3">
                  <c:v>5.4402872634091097E-2</c:v>
                </c:pt>
                <c:pt idx="4">
                  <c:v>7.5351254939106369E-2</c:v>
                </c:pt>
                <c:pt idx="5">
                  <c:v>6.3885364152863069E-2</c:v>
                </c:pt>
                <c:pt idx="6">
                  <c:v>3.1166221639598032E-2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E3-433E-AADF-4E0BBEC44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333695"/>
        <c:axId val="43335615"/>
      </c:lineChart>
      <c:catAx>
        <c:axId val="4333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5615"/>
        <c:crosses val="autoZero"/>
        <c:auto val="1"/>
        <c:lblAlgn val="ctr"/>
        <c:lblOffset val="100"/>
        <c:noMultiLvlLbl val="0"/>
      </c:catAx>
      <c:valAx>
        <c:axId val="4333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</a:t>
            </a:r>
            <a:r>
              <a:rPr lang="en-US" baseline="0"/>
              <a:t> of</a:t>
            </a:r>
            <a:r>
              <a:rPr lang="en-US"/>
              <a:t> Food and beverage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'Q3.1'!$B$35:$B$36</c:f>
              <c:strCache>
                <c:ptCount val="2"/>
                <c:pt idx="0">
                  <c:v>Average Food and beverage</c:v>
                </c:pt>
                <c:pt idx="1">
                  <c:v>-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'Q3.1'!$A$37:$A$47</c:f>
              <c:strCache>
                <c:ptCount val="11"/>
                <c:pt idx="0">
                  <c:v>2022-07</c:v>
                </c:pt>
                <c:pt idx="1">
                  <c:v>2022-08</c:v>
                </c:pt>
                <c:pt idx="2">
                  <c:v>2022-09</c:v>
                </c:pt>
                <c:pt idx="3">
                  <c:v>2022-10</c:v>
                </c:pt>
                <c:pt idx="4">
                  <c:v>2022-11</c:v>
                </c:pt>
                <c:pt idx="5">
                  <c:v>2022-12</c:v>
                </c:pt>
                <c:pt idx="6">
                  <c:v>2023-01</c:v>
                </c:pt>
                <c:pt idx="7">
                  <c:v>2023-02</c:v>
                </c:pt>
                <c:pt idx="8">
                  <c:v>2023-03</c:v>
                </c:pt>
                <c:pt idx="9">
                  <c:v>2023-04</c:v>
                </c:pt>
                <c:pt idx="10">
                  <c:v>2023-05</c:v>
                </c:pt>
              </c:strCache>
            </c:strRef>
          </c:cat>
          <c:val>
            <c:numRef>
              <c:f>'Q3.1'!$B$37:$B$47</c:f>
              <c:numCache>
                <c:formatCode>0.000%</c:formatCode>
                <c:ptCount val="11"/>
                <c:pt idx="0">
                  <c:v>2.8545464738081584E-3</c:v>
                </c:pt>
                <c:pt idx="1">
                  <c:v>1.5038847798795889E-3</c:v>
                </c:pt>
                <c:pt idx="2">
                  <c:v>5.0396731336513814E-3</c:v>
                </c:pt>
                <c:pt idx="3">
                  <c:v>6.1291649808663988E-3</c:v>
                </c:pt>
                <c:pt idx="4">
                  <c:v>-9.8928182535325498E-4</c:v>
                </c:pt>
                <c:pt idx="5">
                  <c:v>-6.7215059314692325E-3</c:v>
                </c:pt>
                <c:pt idx="6">
                  <c:v>5.7715880994720515E-3</c:v>
                </c:pt>
                <c:pt idx="7">
                  <c:v>-1.5996117346151301E-3</c:v>
                </c:pt>
                <c:pt idx="8">
                  <c:v>8.6325511152367284E-5</c:v>
                </c:pt>
                <c:pt idx="9">
                  <c:v>6.242789971623558E-3</c:v>
                </c:pt>
                <c:pt idx="10">
                  <c:v>7.0004935172536115E-3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5-4358-AFFB-AE17490DB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88543"/>
        <c:axId val="5789503"/>
      </c:barChart>
      <c:catAx>
        <c:axId val="578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9503"/>
        <c:crosses val="autoZero"/>
        <c:auto val="1"/>
        <c:lblAlgn val="ctr"/>
        <c:lblOffset val="100"/>
        <c:noMultiLvlLbl val="0"/>
      </c:catAx>
      <c:valAx>
        <c:axId val="578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'q5'!$H$218</c:f>
              <c:strCache>
                <c:ptCount val="1"/>
                <c:pt idx="0">
                  <c:v>M-O-M Inflation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'q5'!$G$219:$G$290</c:f>
              <c:strCache>
                <c:ptCount val="72"/>
                <c:pt idx="0">
                  <c:v>2021-01</c:v>
                </c:pt>
                <c:pt idx="1">
                  <c:v>2021-01</c:v>
                </c:pt>
                <c:pt idx="2">
                  <c:v>2021-01</c:v>
                </c:pt>
                <c:pt idx="3">
                  <c:v>2021-02</c:v>
                </c:pt>
                <c:pt idx="4">
                  <c:v>2021-02</c:v>
                </c:pt>
                <c:pt idx="5">
                  <c:v>2021-02</c:v>
                </c:pt>
                <c:pt idx="6">
                  <c:v>2021-03</c:v>
                </c:pt>
                <c:pt idx="7">
                  <c:v>2021-03</c:v>
                </c:pt>
                <c:pt idx="8">
                  <c:v>2021-03</c:v>
                </c:pt>
                <c:pt idx="9">
                  <c:v>2021-04</c:v>
                </c:pt>
                <c:pt idx="10">
                  <c:v>2021-04</c:v>
                </c:pt>
                <c:pt idx="11">
                  <c:v>2021-04</c:v>
                </c:pt>
                <c:pt idx="12">
                  <c:v>2021-05</c:v>
                </c:pt>
                <c:pt idx="13">
                  <c:v>2021-05</c:v>
                </c:pt>
                <c:pt idx="14">
                  <c:v>2021-05</c:v>
                </c:pt>
                <c:pt idx="15">
                  <c:v>2021-06</c:v>
                </c:pt>
                <c:pt idx="16">
                  <c:v>2021-06</c:v>
                </c:pt>
                <c:pt idx="17">
                  <c:v>2021-06</c:v>
                </c:pt>
                <c:pt idx="18">
                  <c:v>2021-07</c:v>
                </c:pt>
                <c:pt idx="19">
                  <c:v>2021-07</c:v>
                </c:pt>
                <c:pt idx="20">
                  <c:v>2021-07</c:v>
                </c:pt>
                <c:pt idx="21">
                  <c:v>2021-08</c:v>
                </c:pt>
                <c:pt idx="22">
                  <c:v>2021-08</c:v>
                </c:pt>
                <c:pt idx="23">
                  <c:v>2021-08</c:v>
                </c:pt>
                <c:pt idx="24">
                  <c:v>2021-09</c:v>
                </c:pt>
                <c:pt idx="25">
                  <c:v>2021-09</c:v>
                </c:pt>
                <c:pt idx="26">
                  <c:v>2021-09</c:v>
                </c:pt>
                <c:pt idx="27">
                  <c:v>2021-10</c:v>
                </c:pt>
                <c:pt idx="28">
                  <c:v>2021-10</c:v>
                </c:pt>
                <c:pt idx="29">
                  <c:v>2021-10</c:v>
                </c:pt>
                <c:pt idx="30">
                  <c:v>2021-11</c:v>
                </c:pt>
                <c:pt idx="31">
                  <c:v>2021-11</c:v>
                </c:pt>
                <c:pt idx="32">
                  <c:v>2021-11</c:v>
                </c:pt>
                <c:pt idx="33">
                  <c:v>2021-12</c:v>
                </c:pt>
                <c:pt idx="34">
                  <c:v>2021-12</c:v>
                </c:pt>
                <c:pt idx="35">
                  <c:v>2021-12</c:v>
                </c:pt>
                <c:pt idx="36">
                  <c:v>2022-01</c:v>
                </c:pt>
                <c:pt idx="37">
                  <c:v>2022-01</c:v>
                </c:pt>
                <c:pt idx="38">
                  <c:v>2022-01</c:v>
                </c:pt>
                <c:pt idx="39">
                  <c:v>2022-02</c:v>
                </c:pt>
                <c:pt idx="40">
                  <c:v>2022-02</c:v>
                </c:pt>
                <c:pt idx="41">
                  <c:v>2022-02</c:v>
                </c:pt>
                <c:pt idx="42">
                  <c:v>2022-03</c:v>
                </c:pt>
                <c:pt idx="43">
                  <c:v>2022-03</c:v>
                </c:pt>
                <c:pt idx="44">
                  <c:v>2022-03</c:v>
                </c:pt>
                <c:pt idx="45">
                  <c:v>2022-04</c:v>
                </c:pt>
                <c:pt idx="46">
                  <c:v>2022-04</c:v>
                </c:pt>
                <c:pt idx="47">
                  <c:v>2022-04</c:v>
                </c:pt>
                <c:pt idx="48">
                  <c:v>2022-05</c:v>
                </c:pt>
                <c:pt idx="49">
                  <c:v>2022-05</c:v>
                </c:pt>
                <c:pt idx="50">
                  <c:v>2022-05</c:v>
                </c:pt>
                <c:pt idx="51">
                  <c:v>2022-06</c:v>
                </c:pt>
                <c:pt idx="52">
                  <c:v>2022-06</c:v>
                </c:pt>
                <c:pt idx="53">
                  <c:v>2022-06</c:v>
                </c:pt>
                <c:pt idx="54">
                  <c:v>2022-07</c:v>
                </c:pt>
                <c:pt idx="55">
                  <c:v>2022-07</c:v>
                </c:pt>
                <c:pt idx="56">
                  <c:v>2022-07</c:v>
                </c:pt>
                <c:pt idx="57">
                  <c:v>2022-08</c:v>
                </c:pt>
                <c:pt idx="58">
                  <c:v>2022-08</c:v>
                </c:pt>
                <c:pt idx="59">
                  <c:v>2022-08</c:v>
                </c:pt>
                <c:pt idx="60">
                  <c:v>2022-09</c:v>
                </c:pt>
                <c:pt idx="61">
                  <c:v>2022-09</c:v>
                </c:pt>
                <c:pt idx="62">
                  <c:v>2022-09</c:v>
                </c:pt>
                <c:pt idx="63">
                  <c:v>2022-10</c:v>
                </c:pt>
                <c:pt idx="64">
                  <c:v>2022-10</c:v>
                </c:pt>
                <c:pt idx="65">
                  <c:v>2022-10</c:v>
                </c:pt>
                <c:pt idx="66">
                  <c:v>2022-11</c:v>
                </c:pt>
                <c:pt idx="67">
                  <c:v>2022-11</c:v>
                </c:pt>
                <c:pt idx="68">
                  <c:v>2022-11</c:v>
                </c:pt>
                <c:pt idx="69">
                  <c:v>2022-12</c:v>
                </c:pt>
                <c:pt idx="70">
                  <c:v>2022-12</c:v>
                </c:pt>
                <c:pt idx="71">
                  <c:v>2022-12</c:v>
                </c:pt>
              </c:strCache>
            </c:strRef>
          </c:cat>
          <c:val>
            <c:numRef>
              <c:f>'q5'!$H$219:$H$290</c:f>
              <c:numCache>
                <c:formatCode>General</c:formatCode>
                <c:ptCount val="72"/>
                <c:pt idx="0">
                  <c:v>5.5934515688949638E-2</c:v>
                </c:pt>
                <c:pt idx="1">
                  <c:v>-6.9121447028423877E-2</c:v>
                </c:pt>
                <c:pt idx="2">
                  <c:v>4.7189451769604519E-2</c:v>
                </c:pt>
                <c:pt idx="3">
                  <c:v>8.0185553346587099E-2</c:v>
                </c:pt>
                <c:pt idx="4">
                  <c:v>-7.1165644171779105E-2</c:v>
                </c:pt>
                <c:pt idx="5">
                  <c:v>4.8216644649933832E-2</c:v>
                </c:pt>
                <c:pt idx="6">
                  <c:v>5.9861373660995594E-2</c:v>
                </c:pt>
                <c:pt idx="7">
                  <c:v>-7.0154577883471958E-2</c:v>
                </c:pt>
                <c:pt idx="8">
                  <c:v>4.7953964194373401E-2</c:v>
                </c:pt>
                <c:pt idx="9">
                  <c:v>6.8944478340451393E-2</c:v>
                </c:pt>
                <c:pt idx="10">
                  <c:v>-7.8767123287671145E-2</c:v>
                </c:pt>
                <c:pt idx="11">
                  <c:v>5.3903345724906994E-2</c:v>
                </c:pt>
                <c:pt idx="12">
                  <c:v>8.406819517930636E-2</c:v>
                </c:pt>
                <c:pt idx="13">
                  <c:v>-8.459869848156179E-2</c:v>
                </c:pt>
                <c:pt idx="14">
                  <c:v>5.8649289099525929E-2</c:v>
                </c:pt>
                <c:pt idx="15">
                  <c:v>6.5472859541130482E-2</c:v>
                </c:pt>
                <c:pt idx="16">
                  <c:v>-9.5588235294117738E-2</c:v>
                </c:pt>
                <c:pt idx="17">
                  <c:v>6.6782810685249716E-2</c:v>
                </c:pt>
                <c:pt idx="18">
                  <c:v>2.7218290691344585E-2</c:v>
                </c:pt>
                <c:pt idx="19">
                  <c:v>-9.5919448860625312E-2</c:v>
                </c:pt>
                <c:pt idx="20">
                  <c:v>6.7409144196951931E-2</c:v>
                </c:pt>
                <c:pt idx="21">
                  <c:v>4.8325096101043449E-2</c:v>
                </c:pt>
                <c:pt idx="22">
                  <c:v>-8.3289680460974361E-2</c:v>
                </c:pt>
                <c:pt idx="23">
                  <c:v>7.4285714285714288E-2</c:v>
                </c:pt>
                <c:pt idx="24">
                  <c:v>3.9893617021276598E-2</c:v>
                </c:pt>
                <c:pt idx="25">
                  <c:v>-0.10485933503836317</c:v>
                </c:pt>
                <c:pt idx="26">
                  <c:v>7.4285714285714288E-2</c:v>
                </c:pt>
                <c:pt idx="27">
                  <c:v>5.744680851063836E-2</c:v>
                </c:pt>
                <c:pt idx="28">
                  <c:v>-0.11167002012072443</c:v>
                </c:pt>
                <c:pt idx="29">
                  <c:v>7.9275198187995471E-2</c:v>
                </c:pt>
                <c:pt idx="30">
                  <c:v>4.0923399790136469E-2</c:v>
                </c:pt>
                <c:pt idx="31">
                  <c:v>-0.11391129032258061</c:v>
                </c:pt>
                <c:pt idx="32">
                  <c:v>8.1342434584755305E-2</c:v>
                </c:pt>
                <c:pt idx="33">
                  <c:v>2.9984218832193672E-2</c:v>
                </c:pt>
                <c:pt idx="34">
                  <c:v>-0.11389172625127686</c:v>
                </c:pt>
                <c:pt idx="35">
                  <c:v>8.126801152737749E-2</c:v>
                </c:pt>
                <c:pt idx="36">
                  <c:v>2.6652452025586356E-2</c:v>
                </c:pt>
                <c:pt idx="37">
                  <c:v>-0.11214953271028034</c:v>
                </c:pt>
                <c:pt idx="38">
                  <c:v>8.011695906432742E-2</c:v>
                </c:pt>
                <c:pt idx="39">
                  <c:v>4.2772062804547949E-2</c:v>
                </c:pt>
                <c:pt idx="40">
                  <c:v>-0.1095534787123572</c:v>
                </c:pt>
                <c:pt idx="41">
                  <c:v>7.8134110787172043E-2</c:v>
                </c:pt>
                <c:pt idx="42">
                  <c:v>9.843158464034607E-2</c:v>
                </c:pt>
                <c:pt idx="43">
                  <c:v>-0.11373707533234857</c:v>
                </c:pt>
                <c:pt idx="44">
                  <c:v>8.1111111111111078E-2</c:v>
                </c:pt>
                <c:pt idx="45">
                  <c:v>6.5775950668037056E-2</c:v>
                </c:pt>
                <c:pt idx="46">
                  <c:v>-0.10318225650916106</c:v>
                </c:pt>
                <c:pt idx="47">
                  <c:v>7.2580645161290328E-2</c:v>
                </c:pt>
                <c:pt idx="48">
                  <c:v>5.2130325814536367E-2</c:v>
                </c:pt>
                <c:pt idx="49">
                  <c:v>-9.7189137684611751E-2</c:v>
                </c:pt>
                <c:pt idx="50">
                  <c:v>6.8073878627968362E-2</c:v>
                </c:pt>
                <c:pt idx="51">
                  <c:v>2.8162055335968321E-2</c:v>
                </c:pt>
                <c:pt idx="52">
                  <c:v>-9.3704949543488708E-2</c:v>
                </c:pt>
                <c:pt idx="53">
                  <c:v>6.5217391304347894E-2</c:v>
                </c:pt>
                <c:pt idx="54">
                  <c:v>6.4708810353408808E-3</c:v>
                </c:pt>
                <c:pt idx="55">
                  <c:v>-8.6053412462907902E-2</c:v>
                </c:pt>
                <c:pt idx="56">
                  <c:v>5.9523809523809521E-2</c:v>
                </c:pt>
                <c:pt idx="57">
                  <c:v>1.1746680286006041E-2</c:v>
                </c:pt>
                <c:pt idx="58">
                  <c:v>-7.8748107016658228E-2</c:v>
                </c:pt>
                <c:pt idx="59">
                  <c:v>5.4246575342465783E-2</c:v>
                </c:pt>
                <c:pt idx="60">
                  <c:v>8.8357588357587773E-3</c:v>
                </c:pt>
                <c:pt idx="61">
                  <c:v>-7.6249356002060703E-2</c:v>
                </c:pt>
                <c:pt idx="62">
                  <c:v>5.2426101505855978E-2</c:v>
                </c:pt>
                <c:pt idx="63">
                  <c:v>1.5368309485956575E-2</c:v>
                </c:pt>
                <c:pt idx="64">
                  <c:v>-7.2546972860125292E-2</c:v>
                </c:pt>
                <c:pt idx="65">
                  <c:v>4.9521665728756395E-2</c:v>
                </c:pt>
                <c:pt idx="66">
                  <c:v>4.0214477211796246E-2</c:v>
                </c:pt>
                <c:pt idx="67">
                  <c:v>-7.2164948453608241E-2</c:v>
                </c:pt>
                <c:pt idx="68">
                  <c:v>4.9444444444444478E-2</c:v>
                </c:pt>
                <c:pt idx="69">
                  <c:v>2.6469031233456855E-2</c:v>
                </c:pt>
                <c:pt idx="70">
                  <c:v>-7.6328004125838123E-2</c:v>
                </c:pt>
                <c:pt idx="71">
                  <c:v>5.2484645449469604E-2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6-4A57-B5BD-934E9B1E2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4929151"/>
        <c:axId val="44932031"/>
      </c:barChart>
      <c:catAx>
        <c:axId val="449291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32031"/>
        <c:crosses val="autoZero"/>
        <c:auto val="1"/>
        <c:lblAlgn val="ctr"/>
        <c:lblOffset val="100"/>
        <c:noMultiLvlLbl val="0"/>
      </c:catAx>
      <c:valAx>
        <c:axId val="449320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2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_xlchart.v1.3</cx:f>
      </cx:strDim>
      <cx:numDim type="val">
        <cx:f dir="row">_xlchart.v1.4</cx:f>
      </cx:numDim>
    </cx:data>
    <cx:data id="1">
      <cx:strDim type="cat">
        <cx:f dir="row">_xlchart.v1.3</cx:f>
      </cx:strDim>
      <cx:numDim type="val">
        <cx:f dir="row">_xlchart.v1.5</cx:f>
      </cx:numDim>
    </cx:data>
    <cx:data id="2">
      <cx:strDim type="cat">
        <cx:f dir="row">_xlchart.v1.3</cx:f>
      </cx:strDim>
      <cx:numDim type="val">
        <cx:f dir="row">_xlchart.v1.6</cx:f>
      </cx:numDim>
    </cx:data>
  </cx:chartData>
  <cx:chart>
    <cx:title pos="t" align="ctr" overlay="0">
      <cx:tx>
        <cx:txData>
          <cx:v>Inflation rate before and after COVID-19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Inflation rate before and after COVID-19</a:t>
          </a:r>
        </a:p>
      </cx:txPr>
    </cx:title>
    <cx:plotArea>
      <cx:plotAreaRegion>
        <cx:series layoutId="waterfall" uniqueId="{A6328EE8-816F-4F24-81C1-3FD392FC3CA6}" formatIdx="0">
          <cx:tx>
            <cx:txData>
              <cx:f>_xlchart.v1.0</cx:f>
              <cx:v>2020-02</cx:v>
            </cx:txData>
          </cx:tx>
          <cx:dataLabels pos="in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93DF7423-4FFD-438E-84B0-BB2B3954D952}" formatIdx="1">
          <cx:tx>
            <cx:txData>
              <cx:f>_xlchart.v1.1</cx:f>
              <cx:v>2020-03</cx:v>
            </cx:txData>
          </cx:tx>
          <cx:dataLabels pos="inEnd">
            <cx:visibility seriesName="0" categoryName="0" value="1"/>
          </cx:dataLabels>
          <cx:dataId val="1"/>
          <cx:layoutPr>
            <cx:subtotals/>
          </cx:layoutPr>
        </cx:series>
        <cx:series layoutId="waterfall" hidden="1" uniqueId="{E4015E91-6CDF-4EE8-B325-C4240E43CC46}" formatIdx="2">
          <cx:tx>
            <cx:txData>
              <cx:f>_xlchart.v1.2</cx:f>
              <cx:v>2020-04</cx:v>
            </cx:txData>
          </cx:tx>
          <cx:dataLabels pos="inEnd">
            <cx:visibility seriesName="0" categoryName="0" value="1"/>
          </cx:dataLabels>
          <cx:dataId val="2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14</xdr:row>
      <xdr:rowOff>15240</xdr:rowOff>
    </xdr:from>
    <xdr:to>
      <xdr:col>7</xdr:col>
      <xdr:colOff>1447800</xdr:colOff>
      <xdr:row>29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8D5FEF-ACAF-C37D-F5E3-9B4058E9D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83820</xdr:colOff>
      <xdr:row>14</xdr:row>
      <xdr:rowOff>38100</xdr:rowOff>
    </xdr:from>
    <xdr:to>
      <xdr:col>2</xdr:col>
      <xdr:colOff>1196340</xdr:colOff>
      <xdr:row>29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DFE0AC-FB49-7B10-C514-CF304F9CC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548640</xdr:colOff>
      <xdr:row>14</xdr:row>
      <xdr:rowOff>0</xdr:rowOff>
    </xdr:from>
    <xdr:to>
      <xdr:col>12</xdr:col>
      <xdr:colOff>1143000</xdr:colOff>
      <xdr:row>28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E6A7C0-9EDB-3139-FB21-07348EBC4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868516</xdr:colOff>
      <xdr:row>27</xdr:row>
      <xdr:rowOff>131916</xdr:rowOff>
    </xdr:from>
    <xdr:to>
      <xdr:col>5</xdr:col>
      <xdr:colOff>1171677</xdr:colOff>
      <xdr:row>42</xdr:row>
      <xdr:rowOff>171245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5A4945-6654-5DE2-BC84-B62E89D5D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1066800</xdr:colOff>
      <xdr:row>34</xdr:row>
      <xdr:rowOff>45720</xdr:rowOff>
    </xdr:from>
    <xdr:to>
      <xdr:col>4</xdr:col>
      <xdr:colOff>2057400</xdr:colOff>
      <xdr:row>49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74520E-33AB-A5A2-B738-3CF75E0FC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91966</xdr:colOff>
      <xdr:row>35</xdr:row>
      <xdr:rowOff>126124</xdr:rowOff>
    </xdr:from>
    <xdr:to>
      <xdr:col>5</xdr:col>
      <xdr:colOff>729156</xdr:colOff>
      <xdr:row>50</xdr:row>
      <xdr:rowOff>110358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BC579EE-64B0-5147-5147-282DF28730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1126" y="6526924"/>
              <a:ext cx="7876190" cy="27274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198120</xdr:colOff>
      <xdr:row>220</xdr:row>
      <xdr:rowOff>99060</xdr:rowOff>
    </xdr:from>
    <xdr:to>
      <xdr:col>19</xdr:col>
      <xdr:colOff>205740</xdr:colOff>
      <xdr:row>235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F13DF3-B216-227F-530C-6B3FCF279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chana" refreshedDate="45923.919963310182" createdVersion="8" refreshedVersion="8" minRefreshableVersion="3" recordCount="374" xr:uid="{FB255316-3DD7-4423-9AF8-FEB76B5C658D}">
  <cacheSource type="worksheet">
    <worksheetSource ref="A1:AD1048576" sheet="All_India_Index_Upto_April23"/>
  </cacheSource>
  <cacheFields count="30">
    <cacheField name="Sector" numFmtId="0">
      <sharedItems containsBlank="1" count="5">
        <s v="Rural"/>
        <s v="Urban"/>
        <s v="Rural+Urban"/>
        <s v="avg"/>
        <m/>
      </sharedItems>
    </cacheField>
    <cacheField name="Year" numFmtId="0">
      <sharedItems containsString="0" containsBlank="1" containsNumber="1" containsInteger="1" minValue="2013" maxValue="2023" count="12">
        <n v="2013"/>
        <n v="2014"/>
        <n v="2015"/>
        <n v="2016"/>
        <n v="2017"/>
        <n v="2018"/>
        <n v="2019"/>
        <n v="2020"/>
        <n v="2021"/>
        <n v="2022"/>
        <n v="2023"/>
        <m/>
      </sharedItems>
    </cacheField>
    <cacheField name="Month" numFmtId="0">
      <sharedItems containsBlank="1" count="15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November"/>
        <s v="December"/>
        <s v="Marcrh"/>
        <m/>
      </sharedItems>
    </cacheField>
    <cacheField name="Cereals and products" numFmtId="0">
      <sharedItems containsString="0" containsBlank="1" containsNumber="1" minValue="107.5" maxValue="174.8" count="255">
        <n v="107.5"/>
        <n v="110.5"/>
        <n v="108.4"/>
        <n v="109.2"/>
        <n v="112.9"/>
        <n v="110.4"/>
        <n v="110.2"/>
        <n v="113.9"/>
        <n v="111.4"/>
        <n v="114.6"/>
        <n v="111.6"/>
        <n v="110.9"/>
        <n v="115.4"/>
        <n v="112.3"/>
        <n v="117"/>
        <n v="113.8"/>
        <n v="113.4"/>
        <n v="117.8"/>
        <n v="114.8"/>
        <n v="114.3"/>
        <n v="118.3"/>
        <n v="115.6"/>
        <n v="118.6"/>
        <n v="116.4"/>
        <n v="116.3"/>
        <n v="118.9"/>
        <n v="117.1"/>
        <n v="117.3"/>
        <n v="119.8"/>
        <n v="118.1"/>
        <n v="118.4"/>
        <n v="120.5"/>
        <n v="119.1"/>
        <n v="121.2"/>
        <n v="119.6"/>
        <n v="119.4"/>
        <n v="121.9"/>
        <n v="120.2"/>
        <n v="120.1"/>
        <n v="122.1"/>
        <n v="120.7"/>
        <n v="122.5"/>
        <n v="120.9"/>
        <n v="120.3"/>
        <n v="122.7"/>
        <n v="121.1"/>
        <n v="123.1"/>
        <n v="121.5"/>
        <n v="121.7"/>
        <n v="123.8"/>
        <n v="122.4"/>
        <n v="121.8"/>
        <n v="124.8"/>
        <n v="122.3"/>
        <n v="124.2"/>
        <n v="122.9"/>
        <n v="122.6"/>
        <n v="124.6"/>
        <n v="123.2"/>
        <n v="124.5"/>
        <n v="123.3"/>
        <n v="124"/>
        <n v="123.4"/>
        <n v="124.3"/>
        <n v="123.7"/>
        <n v="123.5"/>
        <n v="123.6"/>
        <n v="124.1"/>
        <n v="123.9"/>
        <n v="124.7"/>
        <n v="125.1"/>
        <n v="125.6"/>
        <n v="125"/>
        <n v="126.1"/>
        <n v="125.4"/>
        <n v="126.3"/>
        <n v="125.7"/>
        <n v="126.8"/>
        <n v="127.1"/>
        <n v="126.4"/>
        <n v="127.3"/>
        <n v="126.5"/>
        <n v="127.4"/>
        <n v="124.9"/>
        <n v="126.6"/>
        <n v="127.6"/>
        <n v="128.6"/>
        <n v="125.9"/>
        <n v="127.7"/>
        <n v="129.30000000000001"/>
        <n v="128.5"/>
        <n v="130.1"/>
        <n v="130.80000000000001"/>
        <n v="128.1"/>
        <n v="129.9"/>
        <n v="131.30000000000001"/>
        <n v="128.69999999999999"/>
        <n v="130.5"/>
        <n v="132"/>
        <n v="130.19999999999999"/>
        <n v="131.4"/>
        <n v="132.6"/>
        <n v="131.6"/>
        <n v="132.30000000000001"/>
        <n v="133.1"/>
        <n v="132.19999999999999"/>
        <n v="132.80000000000001"/>
        <n v="133.30000000000001"/>
        <n v="133.6"/>
        <n v="132.69999999999999"/>
        <n v="133.19999999999999"/>
        <n v="133"/>
        <n v="132.9"/>
        <n v="133.5"/>
        <n v="134"/>
        <n v="134.80000000000001"/>
        <n v="134.30000000000001"/>
        <n v="135.19999999999999"/>
        <n v="134.69999999999999"/>
        <n v="135.9"/>
        <n v="133.9"/>
        <n v="135.30000000000001"/>
        <n v="136.30000000000001"/>
        <n v="135.69999999999999"/>
        <n v="136.4"/>
        <n v="134.4"/>
        <n v="135.80000000000001"/>
        <n v="136.6"/>
        <n v="134.6"/>
        <n v="136"/>
        <n v="136.80000000000001"/>
        <n v="135"/>
        <n v="136.19999999999999"/>
        <n v="137.1"/>
        <n v="137.4"/>
        <n v="137.6"/>
        <n v="136.9"/>
        <n v="138.4"/>
        <n v="135.6"/>
        <n v="137.5"/>
        <n v="139.19999999999999"/>
        <n v="136.5"/>
        <n v="138.30000000000001"/>
        <n v="139.4"/>
        <n v="137"/>
        <n v="138.6"/>
        <n v="139.30000000000001"/>
        <n v="138.1"/>
        <n v="138.5"/>
        <n v="139.69999999999999"/>
        <n v="137.80000000000001"/>
        <n v="140.4"/>
        <n v="140.69999999999999"/>
        <n v="138.69999999999999"/>
        <n v="141.4"/>
        <n v="142.1"/>
        <n v="140.1"/>
        <n v="142.69999999999999"/>
        <n v="140.9"/>
        <n v="141"/>
        <n v="143.5"/>
        <n v="141.80000000000001"/>
        <n v="144.1"/>
        <n v="142.5"/>
        <n v="142.80000000000001"/>
        <n v="144.9"/>
        <n v="143.69999999999999"/>
        <n v="145.6"/>
        <n v="144.30000000000001"/>
        <n v="144.19999999999999"/>
        <n v="146.19999999999999"/>
        <n v="144.80000000000001"/>
        <n v="144.4"/>
        <n v="146.5"/>
        <n v="145.1"/>
        <n v="147.19999999999999"/>
        <n v="151.80000000000001"/>
        <n v="148.69999999999999"/>
        <n v="136.68"/>
        <n v="148.19999999999999"/>
        <n v="152.69999999999999"/>
        <n v="149.6"/>
        <n v="147.6"/>
        <n v="151.6"/>
        <n v="148.9"/>
        <n v="146.9"/>
        <n v="151.5"/>
        <n v="148.4"/>
        <n v="146"/>
        <n v="150.6"/>
        <n v="147.5"/>
        <n v="145.4"/>
        <n v="149.69999999999999"/>
        <n v="146.80000000000001"/>
        <n v="144.6"/>
        <n v="149"/>
        <n v="143.4"/>
        <n v="148"/>
        <n v="148.80000000000001"/>
        <n v="146.30000000000001"/>
        <n v="149.19999999999999"/>
        <n v="146.69999999999999"/>
        <n v="149.1"/>
        <n v="146.4"/>
        <n v="149.30000000000001"/>
        <n v="146.6"/>
        <n v="146.1"/>
        <n v="150.1"/>
        <n v="147.4"/>
        <n v="151"/>
        <n v="148.30000000000001"/>
        <n v="152.19999999999999"/>
        <n v="149.5"/>
        <n v="152.5"/>
        <n v="150"/>
        <n v="150.19999999999999"/>
        <n v="153.69999999999999"/>
        <n v="151.30000000000001"/>
        <n v="155.4"/>
        <n v="152.9"/>
        <n v="156.69999999999999"/>
        <n v="154.1"/>
        <n v="153.80000000000001"/>
        <n v="157.5"/>
        <n v="155"/>
        <n v="155.19999999999999"/>
        <n v="159.30000000000001"/>
        <n v="156.5"/>
        <n v="159.5"/>
        <n v="162.1"/>
        <n v="160.30000000000001"/>
        <n v="162.9"/>
        <n v="164.9"/>
        <n v="163.5"/>
        <n v="164.7"/>
        <n v="166.4"/>
        <n v="165.2"/>
        <n v="166.9"/>
        <n v="168.4"/>
        <n v="167.4"/>
        <n v="168.8"/>
        <n v="170.2"/>
        <n v="169.2"/>
        <n v="174"/>
        <n v="173.3"/>
        <n v="173.8"/>
        <n v="174.2"/>
        <n v="174.7"/>
        <n v="174.4"/>
        <n v="174.3"/>
        <n v="174.8"/>
        <n v="173.2"/>
        <n v="173.7"/>
        <n v="136.68586021505371"/>
        <m/>
      </sharedItems>
    </cacheField>
    <cacheField name="Meat and fish" numFmtId="0">
      <sharedItems containsString="0" containsBlank="1" containsNumber="1" minValue="106.3" maxValue="223.4"/>
    </cacheField>
    <cacheField name="Egg" numFmtId="0">
      <sharedItems containsString="0" containsBlank="1" containsNumber="1" minValue="102.7" maxValue="197"/>
    </cacheField>
    <cacheField name="Milk and products" numFmtId="0">
      <sharedItems containsString="0" containsBlank="1" containsNumber="1" minValue="103.6" maxValue="179.6"/>
    </cacheField>
    <cacheField name="Oils and fats" numFmtId="0">
      <sharedItems containsString="0" containsBlank="1" containsNumber="1" minValue="101.1" maxValue="209.9"/>
    </cacheField>
    <cacheField name="Fruits" numFmtId="0">
      <sharedItems containsString="0" containsBlank="1" containsNumber="1" minValue="102.3" maxValue="179.5"/>
    </cacheField>
    <cacheField name="Vegetables" numFmtId="0">
      <sharedItems containsString="0" containsBlank="1" containsNumber="1" minValue="101.4" maxValue="245.3"/>
    </cacheField>
    <cacheField name="Pulses and products" numFmtId="0">
      <sharedItems containsString="0" containsBlank="1" containsNumber="1" minValue="103.5" maxValue="191.6"/>
    </cacheField>
    <cacheField name="Sugar and Confectionery" numFmtId="0">
      <sharedItems containsString="0" containsBlank="1" containsNumber="1" minValue="85.3" maxValue="124.2"/>
    </cacheField>
    <cacheField name="Spices" numFmtId="0">
      <sharedItems containsString="0" containsBlank="1" containsNumber="1" minValue="101.8" maxValue="221"/>
    </cacheField>
    <cacheField name="Non-alcoholic beverages" numFmtId="0">
      <sharedItems containsString="0" containsBlank="1" containsNumber="1" minValue="104.8" maxValue="178.7"/>
    </cacheField>
    <cacheField name="Prepared meals, s149.08cks, sweets etc." numFmtId="0">
      <sharedItems containsString="0" containsBlank="1" containsNumber="1" minValue="106.7" maxValue="197.7"/>
    </cacheField>
    <cacheField name="Food and beverages" numFmtId="0">
      <sharedItems containsString="0" containsBlank="1" containsNumber="1" minValue="105.5" maxValue="183.3"/>
    </cacheField>
    <cacheField name="Pan, tobacco and intoxicants" numFmtId="0">
      <sharedItems containsString="0" containsBlank="1" containsNumber="1" minValue="105.1" maxValue="204.2"/>
    </cacheField>
    <cacheField name="Clothing" numFmtId="0">
      <sharedItems containsString="0" containsBlank="1" containsNumber="1" minValue="105.9" maxValue="191.2"/>
    </cacheField>
    <cacheField name="Footwear" numFmtId="0">
      <sharedItems containsString="0" containsBlank="1" containsNumber="1" minValue="105" maxValue="187.9"/>
    </cacheField>
    <cacheField name="Clothing and footwear" numFmtId="0">
      <sharedItems containsString="0" containsBlank="1" containsNumber="1" minValue="105.8" maxValue="190.8"/>
    </cacheField>
    <cacheField name="Housing" numFmtId="0">
      <sharedItems containsBlank="1" containsMixedTypes="1" containsNumber="1" minValue="100.3" maxValue="175.6"/>
    </cacheField>
    <cacheField name="Fuel and light" numFmtId="0">
      <sharedItems containsString="0" containsBlank="1" containsNumber="1" minValue="105.4" maxValue="183.4"/>
    </cacheField>
    <cacheField name="Household goods and services" numFmtId="0">
      <sharedItems containsString="0" containsBlank="1" containsNumber="1" minValue="104.8" maxValue="179.8"/>
    </cacheField>
    <cacheField name="Health" numFmtId="0">
      <sharedItems containsString="0" containsBlank="1" containsNumber="1" minValue="104" maxValue="187.8"/>
    </cacheField>
    <cacheField name="Transport and communication" numFmtId="0">
      <sharedItems containsString="0" containsBlank="1" containsNumber="1" minValue="103.2" maxValue="169.7"/>
    </cacheField>
    <cacheField name="Recreation and amusement" numFmtId="0">
      <sharedItems containsString="0" containsBlank="1" containsNumber="1" minValue="102.9" maxValue="173.8"/>
    </cacheField>
    <cacheField name="Education" numFmtId="0">
      <sharedItems containsString="0" containsBlank="1" containsNumber="1" minValue="103.5" maxValue="180.3"/>
    </cacheField>
    <cacheField name="Perso133.35l care and effects" numFmtId="0">
      <sharedItems containsString="0" containsBlank="1" containsNumber="1" minValue="102.1" maxValue="185.6"/>
    </cacheField>
    <cacheField name="Miscellaneous" numFmtId="0">
      <sharedItems containsString="0" containsBlank="1" containsNumber="1" minValue="103.7" maxValue="179.5"/>
    </cacheField>
    <cacheField name="General index" numFmtId="0">
      <sharedItems containsString="0" containsBlank="1" containsNumber="1" minValue="104" maxValue="17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chana" refreshedDate="45923.948288541666" createdVersion="8" refreshedVersion="8" minRefreshableVersion="3" recordCount="374" xr:uid="{132B9645-8400-44B6-9A9C-8960F75FD6B1}">
  <cacheSource type="worksheet">
    <worksheetSource ref="A1:AE1048576" sheet="All_India_Index_Upto_April23"/>
  </cacheSource>
  <cacheFields count="31">
    <cacheField name="Sector" numFmtId="0">
      <sharedItems containsBlank="1" count="5">
        <s v="Rural"/>
        <s v="Urban"/>
        <s v="Rural+Urban"/>
        <m/>
        <s v="avg" u="1"/>
      </sharedItems>
    </cacheField>
    <cacheField name="Year" numFmtId="0">
      <sharedItems containsString="0" containsBlank="1" containsNumber="1" containsInteger="1" minValue="2013" maxValue="2023" count="12">
        <n v="2013"/>
        <n v="2014"/>
        <n v="2015"/>
        <n v="2016"/>
        <n v="2017"/>
        <n v="2018"/>
        <n v="2019"/>
        <n v="2020"/>
        <n v="2021"/>
        <n v="2022"/>
        <n v="2023"/>
        <m/>
      </sharedItems>
    </cacheField>
    <cacheField name="Month" numFmtId="0">
      <sharedItems containsBlank="1"/>
    </cacheField>
    <cacheField name="Cereals and products" numFmtId="0">
      <sharedItems containsString="0" containsBlank="1" containsNumber="1" minValue="107.5" maxValue="174.8"/>
    </cacheField>
    <cacheField name="Meat and fish" numFmtId="0">
      <sharedItems containsString="0" containsBlank="1" containsNumber="1" minValue="106.3" maxValue="223.4"/>
    </cacheField>
    <cacheField name="Egg" numFmtId="0">
      <sharedItems containsString="0" containsBlank="1" containsNumber="1" minValue="102.7" maxValue="197" count="284">
        <n v="108.1"/>
        <n v="113"/>
        <n v="110"/>
        <n v="110.2"/>
        <n v="116.9"/>
        <n v="112.8"/>
        <n v="109.9"/>
        <n v="113.2"/>
        <n v="111.2"/>
        <n v="106.9"/>
        <n v="106"/>
        <n v="106.6"/>
        <n v="105.9"/>
        <n v="102.7"/>
        <n v="104.7"/>
        <n v="112.5"/>
        <n v="109.8"/>
        <n v="110.5"/>
        <n v="114"/>
        <n v="111.9"/>
        <n v="111.1"/>
        <n v="112.7"/>
        <n v="111.7"/>
        <n v="112.3"/>
        <n v="112.6"/>
        <n v="114.5"/>
        <n v="113.3"/>
        <n v="116.2"/>
        <n v="122.6"/>
        <n v="118.7"/>
        <n v="120.4"/>
        <n v="128.5"/>
        <n v="123.5"/>
        <n v="120.5"/>
        <n v="129.9"/>
        <n v="124.1"/>
        <n v="121.2"/>
        <n v="124.5"/>
        <n v="122.5"/>
        <n v="120.7"/>
        <n v="121.5"/>
        <n v="121"/>
        <n v="118.1"/>
        <n v="114.2"/>
        <n v="115.9"/>
        <n v="116.1"/>
        <n v="115.4"/>
        <n v="115.8"/>
        <n v="117.7"/>
        <n v="118"/>
        <n v="117.8"/>
        <n v="116.5"/>
        <n v="117.3"/>
        <n v="116.4"/>
        <n v="118.3"/>
        <n v="119.9"/>
        <n v="122.7"/>
        <n v="121.8"/>
        <n v="126.3"/>
        <n v="122.1"/>
        <n v="126.6"/>
        <n v="123.8"/>
        <n v="119.5"/>
        <n v="121.1"/>
        <n v="118.9"/>
        <n v="113.5"/>
        <n v="116.8"/>
        <n v="117.2"/>
        <n v="114.4"/>
        <n v="111.3"/>
        <n v="115"/>
        <n v="120.9"/>
        <n v="121.6"/>
        <n v="122"/>
        <n v="121.3"/>
        <n v="120.1"/>
        <n v="115.6"/>
        <n v="120.8"/>
        <n v="121.7"/>
        <n v="123.3"/>
        <n v="127.1"/>
        <n v="124.8"/>
        <n v="126.5"/>
        <n v="132"/>
        <n v="128.6"/>
        <n v="127.7"/>
        <n v="130.30000000000001"/>
        <n v="128.69999999999999"/>
        <n v="125.1"/>
        <n v="123.7"/>
        <n v="124.6"/>
        <n v="123.4"/>
        <n v="124.4"/>
        <n v="127"/>
        <n v="125.4"/>
        <n v="130.9"/>
        <n v="128.30000000000001"/>
        <n v="129.6"/>
        <n v="136.6"/>
        <n v="132.30000000000001"/>
        <n v="133.69999999999999"/>
        <n v="131.6"/>
        <n v="130.5"/>
        <n v="130.6"/>
        <n v="130.1"/>
        <n v="130.19999999999999"/>
        <n v="134.1"/>
        <n v="134.9"/>
        <n v="132.9"/>
        <n v="131.9"/>
        <n v="132.6"/>
        <n v="132.19999999999999"/>
        <n v="129.30000000000001"/>
        <n v="128.80000000000001"/>
        <n v="128.4"/>
        <n v="126.1"/>
        <n v="126.8"/>
        <n v="125.6"/>
        <n v="128"/>
        <n v="128.1"/>
        <n v="129.80000000000001"/>
        <n v="129.4"/>
        <n v="130"/>
        <n v="129.69999999999999"/>
        <n v="131"/>
        <n v="131.4"/>
        <n v="131.19999999999999"/>
        <n v="140.5"/>
        <n v="146.69999999999999"/>
        <n v="142.9"/>
        <n v="144.80000000000001"/>
        <n v="145.9"/>
        <n v="145.19999999999999"/>
        <n v="143.80000000000001"/>
        <n v="143.6"/>
        <n v="143.69999999999999"/>
        <n v="140.6"/>
        <n v="139.9"/>
        <n v="140.30000000000001"/>
        <n v="140"/>
        <n v="135.5"/>
        <n v="138.30000000000001"/>
        <n v="135.9"/>
        <n v="130.80000000000001"/>
        <n v="133.9"/>
        <n v="133.6"/>
        <n v="136.69999999999999"/>
        <n v="135.6"/>
        <n v="139.30000000000001"/>
        <n v="139.1"/>
        <n v="139.19999999999999"/>
        <n v="138.1"/>
        <n v="132.80000000000001"/>
        <n v="135.1"/>
        <n v="134.6"/>
        <n v="133.5"/>
        <n v="137.30000000000001"/>
        <n v="137.80000000000001"/>
        <n v="137.1"/>
        <n v="137.4"/>
        <n v="141.1"/>
        <n v="138.80000000000001"/>
        <n v="138.19999999999999"/>
        <n v="143.5"/>
        <n v="140.19999999999999"/>
        <n v="145.30000000000001"/>
        <n v="141.5"/>
        <n v="138.69999999999999"/>
        <n v="134.5"/>
        <n v="136"/>
        <n v="136.19999999999999"/>
        <n v="140.4"/>
        <n v="138.4"/>
        <n v="142.5"/>
        <n v="140.80000000000001"/>
        <n v="138.5"/>
        <n v="141.6"/>
        <n v="139.6"/>
        <n v="141.19999999999999"/>
        <n v="144.69999999999999"/>
        <n v="142.6"/>
        <n v="148.4"/>
        <n v="145.6"/>
        <n v="149.5"/>
        <n v="153.69999999999999"/>
        <n v="151.1"/>
        <n v="153.5"/>
        <n v="157"/>
        <n v="154.9"/>
        <n v="150.9"/>
        <n v="153.1"/>
        <n v="151.80000000000001"/>
        <n v="147.6"/>
        <n v="148.9"/>
        <n v="148.1"/>
        <n v="146.9"/>
        <n v="151.9"/>
        <n v="148.80000000000001"/>
        <n v="140.797"/>
        <n v="149.4"/>
        <n v="154.6"/>
        <n v="151.4"/>
        <n v="154.5"/>
        <n v="150.80000000000001"/>
        <n v="157.30000000000001"/>
        <n v="152.5"/>
        <n v="159.19999999999999"/>
        <n v="164.8"/>
        <n v="161.4"/>
        <n v="171.6"/>
        <n v="176.9"/>
        <n v="173.6"/>
        <n v="173.4"/>
        <n v="178.3"/>
        <n v="175.3"/>
        <n v="178.4"/>
        <n v="168"/>
        <n v="169.9"/>
        <n v="168.7"/>
        <n v="163.19999999999999"/>
        <n v="164.7"/>
        <n v="163.80000000000001"/>
        <n v="163.4"/>
        <n v="166.4"/>
        <n v="164.6"/>
        <n v="168.6"/>
        <n v="173"/>
        <n v="170.3"/>
        <n v="179.3"/>
        <n v="182.8"/>
        <n v="180.7"/>
        <n v="180.4"/>
        <n v="185"/>
        <n v="182.2"/>
        <n v="176.5"/>
        <n v="174.1"/>
        <n v="172.8"/>
        <n v="172"/>
        <n v="170.1"/>
        <n v="171.2"/>
        <n v="171.5"/>
        <n v="175.4"/>
        <n v="180"/>
        <n v="177.9"/>
        <n v="178"/>
        <n v="180.1"/>
        <n v="178.8"/>
        <n v="175.5"/>
        <n v="176.4"/>
        <n v="175.8"/>
        <n v="167.9"/>
        <n v="167.7"/>
        <n v="167.8"/>
        <n v="164.5"/>
        <n v="164.1"/>
        <n v="162.4"/>
        <n v="169.6"/>
        <n v="170.8"/>
        <n v="174.3"/>
        <n v="176.6"/>
        <n v="175.2"/>
        <n v="168.3"/>
        <n v="170.6"/>
        <n v="169.2"/>
        <n v="169"/>
        <n v="170.9"/>
        <n v="169.7"/>
        <n v="171.9"/>
        <n v="180.2"/>
        <n v="183.2"/>
        <n v="181.4"/>
        <n v="189.1"/>
        <n v="191.9"/>
        <n v="190.2"/>
        <n v="192.9"/>
        <n v="197"/>
        <n v="194.5"/>
        <n v="173.9"/>
        <n v="177.2"/>
        <n v="172.4"/>
        <n v="171"/>
        <n v="176.7"/>
        <n v="173.2"/>
        <m/>
      </sharedItems>
    </cacheField>
    <cacheField name="Milk and products" numFmtId="0">
      <sharedItems containsString="0" containsBlank="1" containsNumber="1" minValue="103.6" maxValue="179.6"/>
    </cacheField>
    <cacheField name="Oils and fats" numFmtId="0">
      <sharedItems containsString="0" containsBlank="1" containsNumber="1" minValue="101.1" maxValue="209.9"/>
    </cacheField>
    <cacheField name="Fruits" numFmtId="0">
      <sharedItems containsString="0" containsBlank="1" containsNumber="1" minValue="102.3" maxValue="179.5"/>
    </cacheField>
    <cacheField name="Vegetables" numFmtId="0">
      <sharedItems containsString="0" containsBlank="1" containsNumber="1" minValue="101.4" maxValue="245.3"/>
    </cacheField>
    <cacheField name="Pulses and products" numFmtId="0">
      <sharedItems containsString="0" containsBlank="1" containsNumber="1" minValue="103.5" maxValue="191.6"/>
    </cacheField>
    <cacheField name="Sugar and Confectionery" numFmtId="0">
      <sharedItems containsString="0" containsBlank="1" containsNumber="1" minValue="85.3" maxValue="124.2"/>
    </cacheField>
    <cacheField name="Spices" numFmtId="0">
      <sharedItems containsString="0" containsBlank="1" containsNumber="1" minValue="101.8" maxValue="221"/>
    </cacheField>
    <cacheField name="Non-alcoholic beverages" numFmtId="0">
      <sharedItems containsString="0" containsBlank="1" containsNumber="1" minValue="104.8" maxValue="178.7"/>
    </cacheField>
    <cacheField name="Prepared meals, s149.08cks, sweets etc." numFmtId="0">
      <sharedItems containsString="0" containsBlank="1" containsNumber="1" minValue="106.7" maxValue="197.7"/>
    </cacheField>
    <cacheField name="Food and beverages" numFmtId="0">
      <sharedItems containsString="0" containsBlank="1" containsNumber="1" minValue="105.5" maxValue="183.3" count="278">
        <n v="105.5"/>
        <n v="105.9"/>
        <n v="105.6"/>
        <n v="106.3"/>
        <n v="107.2"/>
        <n v="106.6"/>
        <n v="107.3"/>
        <n v="106.9"/>
        <n v="107.1"/>
        <n v="108.8"/>
        <n v="107.7"/>
        <n v="108.1"/>
        <n v="111.1"/>
        <n v="109.2"/>
        <n v="110.6"/>
        <n v="115"/>
        <n v="112.2"/>
        <n v="113.1"/>
        <n v="117.5"/>
        <n v="114.7"/>
        <n v="114.9"/>
        <n v="119.6"/>
        <n v="116.6"/>
        <n v="117.8"/>
        <n v="119.2"/>
        <n v="118.3"/>
        <n v="119.8"/>
        <n v="120.8"/>
        <n v="120.2"/>
        <n v="122.5"/>
        <n v="122.9"/>
        <n v="122.6"/>
        <n v="118.7"/>
        <n v="118.4"/>
        <n v="116"/>
        <n v="115.5"/>
        <n v="115.8"/>
        <n v="115.3"/>
        <n v="115.2"/>
        <n v="116.2"/>
        <n v="116.1"/>
        <n v="117.2"/>
        <n v="118.2"/>
        <n v="117.6"/>
        <n v="120"/>
        <n v="118.9"/>
        <n v="119.5"/>
        <n v="122"/>
        <n v="120.4"/>
        <n v="123.3"/>
        <n v="127.1"/>
        <n v="124.7"/>
        <n v="125.3"/>
        <n v="128.9"/>
        <n v="126.6"/>
        <n v="126.7"/>
        <n v="125.8"/>
        <n v="125.1"/>
        <n v="125.4"/>
        <n v="124.9"/>
        <n v="124"/>
        <n v="123.6"/>
        <n v="122.8"/>
        <n v="123.5"/>
        <n v="123.1"/>
        <n v="123.7"/>
        <n v="123.9"/>
        <n v="123.4"/>
        <n v="124.6"/>
        <n v="124.4"/>
        <n v="126.1"/>
        <n v="125"/>
        <n v="128.5"/>
        <n v="127.3"/>
        <n v="127.5"/>
        <n v="129.5"/>
        <n v="128.19999999999999"/>
        <n v="129.80000000000001"/>
        <n v="131.1"/>
        <n v="130.30000000000001"/>
        <n v="131"/>
        <n v="131.5"/>
        <n v="131.19999999999999"/>
        <n v="131.80000000000001"/>
        <n v="132.6"/>
        <n v="132.1"/>
        <n v="132.4"/>
        <n v="133.30000000000001"/>
        <n v="132.69999999999999"/>
        <n v="131.4"/>
        <n v="131.30000000000001"/>
        <n v="129.1"/>
        <n v="129.9"/>
        <n v="130.4"/>
        <n v="133.6"/>
        <n v="134.6"/>
        <n v="134"/>
        <n v="136"/>
        <n v="138.19999999999999"/>
        <n v="136.80000000000001"/>
        <n v="137.6"/>
        <n v="139.80000000000001"/>
        <n v="138.4"/>
        <n v="138"/>
        <n v="137.9"/>
        <n v="137.19999999999999"/>
        <n v="135.69999999999999"/>
        <n v="136.6"/>
        <n v="137.4"/>
        <n v="136.30000000000001"/>
        <n v="137"/>
        <n v="135.19999999999999"/>
        <n v="136.1"/>
        <n v="134.69999999999999"/>
        <n v="132.80000000000001"/>
        <n v="133.69999999999999"/>
        <n v="132"/>
        <n v="133.1"/>
        <n v="133"/>
        <n v="133.4"/>
        <n v="133.5"/>
        <n v="133.80000000000001"/>
        <n v="134.9"/>
        <n v="138.5"/>
        <n v="139"/>
        <n v="140.6"/>
        <n v="140.5"/>
        <n v="139.6"/>
        <n v="140.4"/>
        <n v="139.69999999999999"/>
        <n v="140.1"/>
        <n v="142.4"/>
        <n v="141.5"/>
        <n v="142.1"/>
        <n v="138.80000000000001"/>
        <n v="139.19999999999999"/>
        <n v="138.69999999999999"/>
        <n v="135.6"/>
        <n v="138.6"/>
        <n v="134.80000000000001"/>
        <n v="137.5"/>
        <n v="139.1"/>
        <n v="136.4"/>
        <n v="138.1"/>
        <n v="140"/>
        <n v="139.4"/>
        <n v="142"/>
        <n v="140.30000000000001"/>
        <n v="141.4"/>
        <n v="142.69999999999999"/>
        <n v="141.69999999999999"/>
        <n v="141.30000000000001"/>
        <n v="138.9"/>
        <n v="140.19999999999999"/>
        <n v="137.30000000000001"/>
        <n v="143.80000000000001"/>
        <n v="140.9"/>
        <n v="141"/>
        <n v="145.6"/>
        <n v="143"/>
        <n v="147.69999999999999"/>
        <n v="144.69999999999999"/>
        <n v="144"/>
        <n v="149.1"/>
        <n v="145.9"/>
        <n v="145.5"/>
        <n v="149.5"/>
        <n v="147"/>
        <n v="148.30000000000001"/>
        <n v="151.9"/>
        <n v="149.6"/>
        <n v="150.9"/>
        <n v="153.6"/>
        <n v="154.30000000000001"/>
        <n v="156.30000000000001"/>
        <n v="155"/>
        <n v="153"/>
        <n v="154.4"/>
        <n v="153.5"/>
        <n v="149.80000000000001"/>
        <n v="151.69999999999999"/>
        <n v="150.5"/>
        <n v="148.19999999999999"/>
        <n v="150.1"/>
        <n v="148.9"/>
        <n v="151.4"/>
        <n v="142.51"/>
        <n v="152.30000000000001"/>
        <n v="157"/>
        <n v="154"/>
        <n v="155.30000000000001"/>
        <n v="159.9"/>
        <n v="156.1"/>
        <n v="161.30000000000001"/>
        <n v="158"/>
        <n v="159.6"/>
        <n v="164.4"/>
        <n v="161.4"/>
        <n v="163.4"/>
        <n v="167"/>
        <n v="164.7"/>
        <n v="164.5"/>
        <n v="165.4"/>
        <n v="161"/>
        <n v="154.69999999999999"/>
        <n v="160.80000000000001"/>
        <n v="156.9"/>
        <n v="154.5"/>
        <n v="160.4"/>
        <n v="156.69999999999999"/>
        <n v="155.6"/>
        <n v="162"/>
        <n v="158.69999999999999"/>
        <n v="164.2"/>
        <n v="160.69999999999999"/>
        <n v="160.5"/>
        <n v="166.2"/>
        <n v="162.6"/>
        <n v="161.69999999999999"/>
        <n v="167.9"/>
        <n v="164"/>
        <n v="161.80000000000001"/>
        <n v="167.3"/>
        <n v="162.1"/>
        <n v="165.5"/>
        <n v="171.5"/>
        <n v="167.7"/>
        <n v="167.5"/>
        <n v="173.5"/>
        <n v="169.7"/>
        <n v="165.8"/>
        <n v="172.2"/>
        <n v="168.2"/>
        <n v="164.1"/>
        <n v="170.3"/>
        <n v="166.4"/>
        <n v="163.9"/>
        <n v="170.2"/>
        <n v="166.6"/>
        <n v="168.4"/>
        <n v="168.6"/>
        <n v="174.5"/>
        <n v="170.8"/>
        <n v="177.5"/>
        <n v="173.3"/>
        <n v="172.4"/>
        <n v="179.3"/>
        <n v="174.9"/>
        <n v="172.5"/>
        <n v="179.4"/>
        <n v="175"/>
        <n v="173.9"/>
        <n v="180.4"/>
        <n v="176.3"/>
        <n v="175.5"/>
        <n v="181.8"/>
        <n v="177.8"/>
        <n v="177.4"/>
        <n v="183.3"/>
        <n v="179.6"/>
        <n v="176.6"/>
        <n v="181.3"/>
        <n v="178.3"/>
        <n v="174.4"/>
        <n v="178.6"/>
        <n v="175.9"/>
        <n v="179.5"/>
        <n v="176.7"/>
        <n v="174.8"/>
        <n v="180.7"/>
        <n v="177"/>
        <n v="180.8"/>
        <n v="182.1"/>
        <n v="177.9"/>
        <n v="176.8"/>
        <n v="183.1"/>
        <n v="179.1"/>
        <m/>
      </sharedItems>
    </cacheField>
    <cacheField name="Pan, tobacco and intoxicants" numFmtId="0">
      <sharedItems containsString="0" containsBlank="1" containsNumber="1" minValue="105.1" maxValue="204.2" count="310">
        <n v="105.1"/>
        <n v="105.2"/>
        <n v="105.6"/>
        <n v="106"/>
        <n v="105.7"/>
        <n v="106.5"/>
        <n v="106.8"/>
        <n v="106.6"/>
        <n v="107.1"/>
        <n v="108.5"/>
        <n v="107.5"/>
        <n v="108.1"/>
        <n v="109.8"/>
        <n v="108.6"/>
        <n v="109"/>
        <n v="110.9"/>
        <n v="109.5"/>
        <n v="111.7"/>
        <n v="110.3"/>
        <n v="110.7"/>
        <n v="112.4"/>
        <n v="111.2"/>
        <n v="112.9"/>
        <n v="112"/>
        <n v="112.2"/>
        <n v="113.5"/>
        <n v="112.5"/>
        <n v="112.8"/>
        <n v="114.1"/>
        <n v="113.1"/>
        <n v="113.6"/>
        <n v="115"/>
        <n v="114"/>
        <n v="115.7"/>
        <n v="114.5"/>
        <n v="114.2"/>
        <n v="116.2"/>
        <n v="114.7"/>
        <n v="114.6"/>
        <n v="116.7"/>
        <n v="115.2"/>
        <n v="115.4"/>
        <n v="117.6"/>
        <n v="116"/>
        <n v="116.3"/>
        <n v="118.3"/>
        <n v="116.8"/>
        <n v="117.3"/>
        <n v="119"/>
        <n v="117.8"/>
        <n v="118"/>
        <n v="121"/>
        <n v="118.8"/>
        <n v="123"/>
        <n v="119.9"/>
        <n v="119.5"/>
        <n v="124.3"/>
        <n v="120.8"/>
        <n v="120"/>
        <n v="121.1"/>
        <n v="125.8"/>
        <n v="122.1"/>
        <n v="121.7"/>
        <n v="126.4"/>
        <n v="122.7"/>
        <n v="127.4"/>
        <n v="124"/>
        <n v="124.2"/>
        <n v="128.1"/>
        <n v="125.2"/>
        <n v="124.7"/>
        <n v="128.80000000000001"/>
        <n v="125.7"/>
        <n v="130.1"/>
        <n v="126.9"/>
        <n v="126.7"/>
        <n v="131.30000000000001"/>
        <n v="127.9"/>
        <n v="128.19999999999999"/>
        <n v="132.1"/>
        <n v="129.19999999999999"/>
        <n v="129.4"/>
        <n v="133.1"/>
        <n v="130.4"/>
        <n v="134.19999999999999"/>
        <n v="131.19999999999999"/>
        <n v="131"/>
        <n v="134.69999999999999"/>
        <n v="132"/>
        <n v="131.5"/>
        <n v="135.30000000000001"/>
        <n v="132.5"/>
        <n v="132.19999999999999"/>
        <n v="137.6"/>
        <n v="133.6"/>
        <n v="138.19999999999999"/>
        <n v="134.5"/>
        <n v="139.5"/>
        <n v="135.19999999999999"/>
        <n v="134.4"/>
        <n v="140"/>
        <n v="135.9"/>
        <n v="135"/>
        <n v="140.6"/>
        <n v="136.5"/>
        <n v="135.5"/>
        <n v="141.5"/>
        <n v="137.1"/>
        <n v="136"/>
        <n v="142.19999999999999"/>
        <n v="137.69999999999999"/>
        <n v="137.19999999999999"/>
        <n v="142.69999999999999"/>
        <n v="138.69999999999999"/>
        <n v="138"/>
        <n v="142.9"/>
        <n v="139.30000000000001"/>
        <n v="138.9"/>
        <n v="143.6"/>
        <n v="140.19999999999999"/>
        <n v="139.9"/>
        <n v="143.9"/>
        <n v="141"/>
        <n v="140.9"/>
        <n v="144.30000000000001"/>
        <n v="141.80000000000001"/>
        <n v="141.19999999999999"/>
        <n v="142"/>
        <n v="142.4"/>
        <n v="145"/>
        <n v="143.1"/>
        <n v="145.6"/>
        <n v="143.80000000000001"/>
        <n v="143.69999999999999"/>
        <n v="146.30000000000001"/>
        <n v="144.4"/>
        <n v="144.19999999999999"/>
        <n v="147.5"/>
        <n v="145.1"/>
        <n v="148"/>
        <n v="145.4"/>
        <n v="145.5"/>
        <n v="148.30000000000001"/>
        <n v="146.19999999999999"/>
        <n v="145.80000000000001"/>
        <n v="148.6"/>
        <n v="146.5"/>
        <n v="147.4"/>
        <n v="150.5"/>
        <n v="148.19999999999999"/>
        <n v="149"/>
        <n v="152.1"/>
        <n v="149.80000000000001"/>
        <n v="153.6"/>
        <n v="150.80000000000001"/>
        <n v="154.6"/>
        <n v="151.6"/>
        <n v="156.19999999999999"/>
        <n v="153.19999999999999"/>
        <n v="157"/>
        <n v="154.19999999999999"/>
        <n v="157.69999999999999"/>
        <n v="154.69999999999999"/>
        <n v="153.30000000000001"/>
        <n v="159.30000000000001"/>
        <n v="154.9"/>
        <n v="155.1"/>
        <n v="159.69999999999999"/>
        <n v="156.30000000000001"/>
        <n v="156.1"/>
        <n v="159.19999999999999"/>
        <n v="156.9"/>
        <n v="160.30000000000001"/>
        <n v="157.9"/>
        <n v="157.30000000000001"/>
        <n v="161"/>
        <n v="158.30000000000001"/>
        <n v="161.4"/>
        <n v="157.5"/>
        <n v="156.4"/>
        <n v="162.1"/>
        <n v="163.30000000000001"/>
        <n v="159.6"/>
        <n v="164"/>
        <n v="162.6"/>
        <n v="161.9"/>
        <n v="164.4"/>
        <n v="162.4"/>
        <n v="164.6"/>
        <n v="163"/>
        <n v="162.69999999999999"/>
        <n v="164.7"/>
        <n v="163.19999999999999"/>
        <n v="162.80000000000001"/>
        <n v="164.9"/>
        <n v="163.4"/>
        <n v="162.9"/>
        <n v="165.3"/>
        <n v="163.5"/>
        <n v="166.2"/>
        <n v="164.1"/>
        <n v="164.2"/>
        <n v="166.7"/>
        <n v="164.5"/>
        <n v="167.2"/>
        <n v="165.2"/>
        <n v="165.1"/>
        <n v="167.9"/>
        <n v="165.8"/>
        <n v="165.7"/>
        <n v="168.6"/>
        <n v="166.5"/>
        <n v="166.3"/>
        <n v="169.3"/>
        <n v="167.1"/>
        <n v="169.9"/>
        <n v="167.8"/>
        <n v="170.4"/>
        <n v="168.5"/>
        <n v="170.8"/>
        <n v="169.2"/>
        <n v="169.4"/>
        <n v="172"/>
        <n v="170.1"/>
        <n v="170.5"/>
        <n v="173.3"/>
        <n v="171.2"/>
        <n v="155.38"/>
        <n v="182.4"/>
        <n v="186.7"/>
        <n v="183.5"/>
        <n v="180.9"/>
        <n v="187.2"/>
        <n v="182.6"/>
        <n v="182.9"/>
        <n v="188.7"/>
        <n v="184.4"/>
        <n v="182.7"/>
        <n v="184.3"/>
        <n v="183.4"/>
        <n v="188.8"/>
        <n v="184.8"/>
        <n v="183.6"/>
        <n v="190.2"/>
        <n v="185.4"/>
        <n v="184.6"/>
        <n v="191.8"/>
        <n v="186.5"/>
        <n v="193.3"/>
        <n v="188.3"/>
        <n v="186.1"/>
        <n v="193.5"/>
        <n v="188.1"/>
        <n v="186.8"/>
        <n v="194.4"/>
        <n v="189.6"/>
        <n v="198.2"/>
        <n v="191.9"/>
        <n v="189.1"/>
        <n v="195.6"/>
        <n v="190.8"/>
        <n v="189.7"/>
        <n v="195.5"/>
        <n v="191.2"/>
        <n v="196.5"/>
        <n v="192.1"/>
        <n v="190.5"/>
        <n v="197"/>
        <n v="192.7"/>
        <n v="191.4"/>
        <n v="192.9"/>
        <n v="196.8"/>
        <n v="192.4"/>
        <n v="190.7"/>
        <n v="196.4"/>
        <n v="192.2"/>
        <n v="191.5"/>
        <n v="192.8"/>
        <n v="192.3"/>
        <n v="197.5"/>
        <n v="193.7"/>
        <n v="197.1"/>
        <n v="193.9"/>
        <n v="194.1"/>
        <n v="198.3"/>
        <n v="194.3"/>
        <n v="193.2"/>
        <n v="198.6"/>
        <n v="194.6"/>
        <n v="198.7"/>
        <n v="195"/>
        <n v="194.5"/>
        <n v="199.7"/>
        <n v="195.9"/>
        <n v="194.9"/>
        <n v="200.1"/>
        <n v="196.3"/>
        <n v="200.6"/>
        <n v="196.9"/>
        <n v="201.1"/>
        <n v="197.3"/>
        <n v="201.6"/>
        <n v="202.7"/>
        <n v="199.5"/>
        <n v="198.4"/>
        <n v="203.5"/>
        <n v="199.9"/>
        <n v="204.2"/>
        <n v="201"/>
        <m/>
      </sharedItems>
    </cacheField>
    <cacheField name="Clothing" numFmtId="0">
      <sharedItems containsString="0" containsBlank="1" containsNumber="1" minValue="105.9" maxValue="191.2" count="306">
        <n v="106.5"/>
        <n v="105.9"/>
        <n v="106.3"/>
        <n v="107.1"/>
        <n v="106.6"/>
        <n v="106.9"/>
        <n v="107.6"/>
        <n v="107.2"/>
        <n v="107.4"/>
        <n v="108.1"/>
        <n v="107.9"/>
        <n v="108"/>
        <n v="108.8"/>
        <n v="108.5"/>
        <n v="108.7"/>
        <n v="109.7"/>
        <n v="109.2"/>
        <n v="109.5"/>
        <n v="110.5"/>
        <n v="109.8"/>
        <n v="110.2"/>
        <n v="111.3"/>
        <n v="110.6"/>
        <n v="111"/>
        <n v="112.7"/>
        <n v="111.4"/>
        <n v="112.2"/>
        <n v="113.6"/>
        <n v="112.5"/>
        <n v="113.2"/>
        <n v="114.6"/>
        <n v="113.5"/>
        <n v="114.2"/>
        <n v="115.8"/>
        <n v="115.2"/>
        <n v="116.5"/>
        <n v="114.8"/>
        <n v="117.1"/>
        <n v="115.3"/>
        <n v="116.4"/>
        <n v="117.5"/>
        <n v="116.8"/>
        <n v="118.1"/>
        <n v="116.3"/>
        <n v="117.4"/>
        <n v="118.7"/>
        <n v="118"/>
        <n v="119.7"/>
        <n v="118.8"/>
        <n v="120.7"/>
        <n v="119.6"/>
        <n v="120.9"/>
        <n v="118.6"/>
        <n v="120"/>
        <n v="121.7"/>
        <n v="119.2"/>
        <n v="122.7"/>
        <n v="121.5"/>
        <n v="123.3"/>
        <n v="120.3"/>
        <n v="122.1"/>
        <n v="123.8"/>
        <n v="122.6"/>
        <n v="124.4"/>
        <n v="121"/>
        <n v="123.1"/>
        <n v="125.4"/>
        <n v="121.3"/>
        <n v="126"/>
        <n v="124.3"/>
        <n v="126.4"/>
        <n v="124.7"/>
        <n v="127.3"/>
        <n v="122.4"/>
        <n v="128.4"/>
        <n v="123.2"/>
        <n v="128.80000000000001"/>
        <n v="123.5"/>
        <n v="126.7"/>
        <n v="129.5"/>
        <n v="123.7"/>
        <n v="127.2"/>
        <n v="130.4"/>
        <n v="124"/>
        <n v="127.9"/>
        <n v="131.1"/>
        <n v="128.5"/>
        <n v="132.1"/>
        <n v="125"/>
        <n v="129.30000000000001"/>
        <n v="132.5"/>
        <n v="129.69999999999999"/>
        <n v="133.19999999999999"/>
        <n v="125.8"/>
        <n v="130.30000000000001"/>
        <n v="133.9"/>
        <n v="126.2"/>
        <n v="130.9"/>
        <n v="134.4"/>
        <n v="131.30000000000001"/>
        <n v="135"/>
        <n v="126.8"/>
        <n v="131.80000000000001"/>
        <n v="135.4"/>
        <n v="132.19999999999999"/>
        <n v="136.30000000000001"/>
        <n v="127.6"/>
        <n v="132.9"/>
        <n v="137.19999999999999"/>
        <n v="133.5"/>
        <n v="137.80000000000001"/>
        <n v="128.30000000000001"/>
        <n v="134.1"/>
        <n v="138.5"/>
        <n v="128.69999999999999"/>
        <n v="134.6"/>
        <n v="139.6"/>
        <n v="129.1"/>
        <n v="135.5"/>
        <n v="139.9"/>
        <n v="129.6"/>
        <n v="135.80000000000001"/>
        <n v="140.4"/>
        <n v="130"/>
        <n v="140.69999999999999"/>
        <n v="130.19999999999999"/>
        <n v="136.6"/>
        <n v="140.9"/>
        <n v="130.5"/>
        <n v="136.80000000000001"/>
        <n v="141.6"/>
        <n v="130.80000000000001"/>
        <n v="137.30000000000001"/>
        <n v="142.4"/>
        <n v="131.19999999999999"/>
        <n v="138"/>
        <n v="142.5"/>
        <n v="131.5"/>
        <n v="138.19999999999999"/>
        <n v="143.1"/>
        <n v="144.30000000000001"/>
        <n v="131.6"/>
        <n v="139.30000000000001"/>
        <n v="145.30000000000001"/>
        <n v="132.69999999999999"/>
        <n v="140.30000000000001"/>
        <n v="146.1"/>
        <n v="133.30000000000001"/>
        <n v="141.1"/>
        <n v="147.19999999999999"/>
        <n v="134"/>
        <n v="142"/>
        <n v="148.19999999999999"/>
        <n v="143"/>
        <n v="148"/>
        <n v="135.6"/>
        <n v="148.30000000000001"/>
        <n v="136"/>
        <n v="143.5"/>
        <n v="148.69999999999999"/>
        <n v="143.80000000000001"/>
        <n v="149.19999999999999"/>
        <n v="136.69999999999999"/>
        <n v="150.1"/>
        <n v="150.80000000000001"/>
        <n v="138.6"/>
        <n v="146"/>
        <n v="151.30000000000001"/>
        <n v="138.9"/>
        <n v="146.4"/>
        <n v="151.5"/>
        <n v="146.80000000000001"/>
        <n v="152.1"/>
        <n v="140"/>
        <n v="147.30000000000001"/>
        <n v="140.80000000000001"/>
        <n v="147.69999999999999"/>
        <n v="150.69999999999999"/>
        <n v="141.5"/>
        <n v="151.69999999999999"/>
        <n v="151.6"/>
        <n v="142.69999999999999"/>
        <n v="148.1"/>
        <n v="150.6"/>
        <n v="147.6"/>
        <n v="150.5"/>
        <n v="143.30000000000001"/>
        <n v="147.9"/>
        <n v="144"/>
        <n v="148.4"/>
        <n v="151.4"/>
        <n v="148.6"/>
        <n v="144.69999999999999"/>
        <n v="148.9"/>
        <n v="151.80000000000001"/>
        <n v="145"/>
        <n v="149.1"/>
        <n v="145.9"/>
        <n v="149.4"/>
        <n v="152.30000000000001"/>
        <n v="146.30000000000001"/>
        <n v="149.9"/>
        <n v="152.6"/>
        <n v="150.30000000000001"/>
        <n v="152.80000000000001"/>
        <n v="147"/>
        <n v="153"/>
        <n v="153.4"/>
        <n v="151.19999999999999"/>
        <n v="142.66"/>
        <n v="154.69999999999999"/>
        <n v="152.5"/>
        <n v="155.1"/>
        <n v="150"/>
        <n v="153.1"/>
        <n v="155.4"/>
        <n v="150.19999999999999"/>
        <n v="155.69999999999999"/>
        <n v="153.69999999999999"/>
        <n v="156.30000000000001"/>
        <n v="151.1"/>
        <n v="154.30000000000001"/>
        <n v="157"/>
        <n v="151.9"/>
        <n v="155"/>
        <n v="157.5"/>
        <n v="155.5"/>
        <n v="159.1"/>
        <n v="154.19999999999999"/>
        <n v="157.19999999999999"/>
        <n v="159.6"/>
        <n v="157.80000000000001"/>
        <n v="160.69999999999999"/>
        <n v="155.9"/>
        <n v="158.80000000000001"/>
        <n v="165.3"/>
        <n v="156.5"/>
        <n v="161.80000000000001"/>
        <n v="157.30000000000001"/>
        <n v="162.19999999999999"/>
        <n v="166"/>
        <n v="157.9"/>
        <n v="162.80000000000001"/>
        <n v="167"/>
        <n v="159.80000000000001"/>
        <n v="164.5"/>
        <n v="167.7"/>
        <n v="164.6"/>
        <n v="168.9"/>
        <n v="160.80000000000001"/>
        <n v="165.7"/>
        <n v="170.4"/>
        <n v="162.30000000000001"/>
        <n v="167.2"/>
        <n v="171.8"/>
        <n v="163.30000000000001"/>
        <n v="168.5"/>
        <n v="173.2"/>
        <n v="164.7"/>
        <n v="169.9"/>
        <n v="174.1"/>
        <n v="170.8"/>
        <n v="175.4"/>
        <n v="167.1"/>
        <n v="172.1"/>
        <n v="177.5"/>
        <n v="168.4"/>
        <n v="173.9"/>
        <n v="179.3"/>
        <n v="170"/>
        <n v="175.6"/>
        <n v="180.7"/>
        <n v="171.6"/>
        <n v="177.1"/>
        <n v="182"/>
        <n v="172.7"/>
        <n v="178.3"/>
        <n v="183.2"/>
        <n v="173.7"/>
        <n v="179.5"/>
        <n v="184.7"/>
        <n v="175"/>
        <n v="180.9"/>
        <n v="186.1"/>
        <n v="175.5"/>
        <n v="181.9"/>
        <n v="187.2"/>
        <n v="176.7"/>
        <n v="183.1"/>
        <n v="188.1"/>
        <n v="177.7"/>
        <n v="184"/>
        <n v="189"/>
        <n v="178.7"/>
        <n v="184.9"/>
        <n v="190"/>
        <n v="180.3"/>
        <n v="186.2"/>
        <n v="180.2"/>
        <n v="190.7"/>
        <n v="181"/>
        <n v="186.9"/>
        <n v="191.2"/>
        <n v="181.3"/>
        <n v="187.3"/>
        <m/>
      </sharedItems>
    </cacheField>
    <cacheField name="Footwear" numFmtId="0">
      <sharedItems containsString="0" containsBlank="1" containsNumber="1" minValue="105" maxValue="187.9" count="288">
        <n v="105.8"/>
        <n v="105"/>
        <n v="105.5"/>
        <n v="106.3"/>
        <n v="106"/>
        <n v="106.8"/>
        <n v="106.5"/>
        <n v="107.4"/>
        <n v="106.4"/>
        <n v="107"/>
        <n v="107.9"/>
        <n v="106.7"/>
        <n v="108.8"/>
        <n v="107.2"/>
        <n v="108.1"/>
        <n v="109.5"/>
        <n v="107.8"/>
        <n v="110.2"/>
        <n v="108.3"/>
        <n v="109.4"/>
        <n v="111.4"/>
        <n v="109"/>
        <n v="110.4"/>
        <n v="112.3"/>
        <n v="109.7"/>
        <n v="111.2"/>
        <n v="113.1"/>
        <n v="110.3"/>
        <n v="111.9"/>
        <n v="114"/>
        <n v="110.9"/>
        <n v="112.7"/>
        <n v="114.5"/>
        <n v="111.3"/>
        <n v="113.2"/>
        <n v="111.7"/>
        <n v="113.3"/>
        <n v="114.9"/>
        <n v="112.1"/>
        <n v="113.7"/>
        <n v="116.1"/>
        <n v="112.5"/>
        <n v="114.6"/>
        <n v="116.8"/>
        <n v="112.9"/>
        <n v="115.2"/>
        <n v="117.3"/>
        <n v="115.6"/>
        <n v="118.3"/>
        <n v="113.6"/>
        <n v="116.3"/>
        <n v="118.8"/>
        <n v="114.1"/>
        <n v="119.2"/>
        <n v="117.2"/>
        <n v="120.3"/>
        <n v="118.1"/>
        <n v="120.5"/>
        <n v="115.4"/>
        <n v="118.4"/>
        <n v="120.6"/>
        <n v="115.8"/>
        <n v="118.6"/>
        <n v="121.6"/>
        <n v="119.3"/>
        <n v="122.7"/>
        <n v="116.5"/>
        <n v="120.1"/>
        <n v="122.9"/>
        <n v="116.9"/>
        <n v="120.4"/>
        <n v="123.3"/>
        <n v="120.8"/>
        <n v="124.1"/>
        <n v="117.4"/>
        <n v="121.3"/>
        <n v="125.1"/>
        <n v="117.6"/>
        <n v="122"/>
        <n v="125.5"/>
        <n v="117.9"/>
        <n v="122.3"/>
        <n v="126.3"/>
        <n v="118.2"/>
        <n v="126.8"/>
        <n v="123.4"/>
        <n v="127.3"/>
        <n v="123.8"/>
        <n v="128.19999999999999"/>
        <n v="124.5"/>
        <n v="128.5"/>
        <n v="119.5"/>
        <n v="124.8"/>
        <n v="128.9"/>
        <n v="119.8"/>
        <n v="129.80000000000001"/>
        <n v="125.8"/>
        <n v="130.19999999999999"/>
        <n v="126.1"/>
        <n v="130.6"/>
        <n v="126.4"/>
        <n v="131.1"/>
        <n v="120.7"/>
        <n v="131.6"/>
        <n v="121.1"/>
        <n v="127.2"/>
        <n v="132.19999999999999"/>
        <n v="127.6"/>
        <n v="133"/>
        <n v="121.4"/>
        <n v="133.5"/>
        <n v="128.6"/>
        <n v="134.30000000000001"/>
        <n v="121.9"/>
        <n v="129.1"/>
        <n v="134.5"/>
        <n v="122.1"/>
        <n v="129.30000000000001"/>
        <n v="135.19999999999999"/>
        <n v="122.2"/>
        <n v="135.80000000000001"/>
        <n v="122.5"/>
        <n v="130.30000000000001"/>
        <n v="136.19999999999999"/>
        <n v="122.8"/>
        <n v="136.80000000000001"/>
        <n v="123"/>
        <n v="137.30000000000001"/>
        <n v="123.2"/>
        <n v="131.4"/>
        <n v="137.69999999999999"/>
        <n v="131.69999999999999"/>
        <n v="138.1"/>
        <n v="123.7"/>
        <n v="132.1"/>
        <n v="139.19999999999999"/>
        <n v="124.3"/>
        <n v="139.69999999999999"/>
        <n v="124.6"/>
        <n v="133.4"/>
        <n v="140.6"/>
        <n v="124.9"/>
        <n v="134.1"/>
        <n v="141.5"/>
        <n v="125.4"/>
        <n v="134.80000000000001"/>
        <n v="141.9"/>
        <n v="125.6"/>
        <n v="135.1"/>
        <n v="142.30000000000001"/>
        <n v="125.9"/>
        <n v="135.5"/>
        <n v="142.4"/>
        <n v="135.6"/>
        <n v="143"/>
        <n v="126.7"/>
        <n v="143.30000000000001"/>
        <n v="127.4"/>
        <n v="136.69999999999999"/>
        <n v="144.1"/>
        <n v="127.9"/>
        <n v="137.4"/>
        <n v="144.69999999999999"/>
        <n v="128.69999999999999"/>
        <n v="145.1"/>
        <n v="138.4"/>
        <n v="145.80000000000001"/>
        <n v="129"/>
        <n v="138.80000000000001"/>
        <n v="146.1"/>
        <n v="139.1"/>
        <n v="144.5"/>
        <n v="145.5"/>
        <n v="145.9"/>
        <n v="139.4"/>
        <n v="130.4"/>
        <n v="139"/>
        <n v="130.80000000000001"/>
        <n v="131.19999999999999"/>
        <n v="139.9"/>
        <n v="146.6"/>
        <n v="140.4"/>
        <n v="146.5"/>
        <n v="131.9"/>
        <n v="140.5"/>
        <n v="146.69999999999999"/>
        <n v="132.4"/>
        <n v="140.80000000000001"/>
        <n v="147"/>
        <n v="132.6"/>
        <n v="141"/>
        <n v="147.30000000000001"/>
        <n v="132.80000000000001"/>
        <n v="141.30000000000001"/>
        <n v="147.4"/>
        <n v="133.19999999999999"/>
        <n v="147.5"/>
        <n v="141.69999999999999"/>
        <n v="147.6"/>
        <n v="133.80000000000001"/>
        <n v="135.97"/>
        <n v="150"/>
        <n v="136.6"/>
        <n v="144.4"/>
        <n v="149.30000000000001"/>
        <n v="143.4"/>
        <n v="149.9"/>
        <n v="136.30000000000001"/>
        <n v="144.30000000000001"/>
        <n v="150.6"/>
        <n v="136.1"/>
        <n v="144.6"/>
        <n v="151"/>
        <n v="136.4"/>
        <n v="144.9"/>
        <n v="151.6"/>
        <n v="145.4"/>
        <n v="152.4"/>
        <n v="153.9"/>
        <n v="138.19999999999999"/>
        <n v="154.4"/>
        <n v="138.69999999999999"/>
        <n v="147.9"/>
        <n v="155.1"/>
        <n v="139.30000000000001"/>
        <n v="148.5"/>
        <n v="160.6"/>
        <n v="140.19999999999999"/>
        <n v="152.1"/>
        <n v="159.9"/>
        <n v="151.80000000000001"/>
        <n v="161.1"/>
        <n v="153.1"/>
        <n v="162.6"/>
        <n v="143.6"/>
        <n v="155.30000000000001"/>
        <n v="163.6"/>
        <n v="164.8"/>
        <n v="156.30000000000001"/>
        <n v="166"/>
        <n v="145.30000000000001"/>
        <n v="157.4"/>
        <n v="167.3"/>
        <n v="158.69999999999999"/>
        <n v="169.3"/>
        <n v="160.69999999999999"/>
        <n v="171"/>
        <n v="150.4"/>
        <n v="162.4"/>
        <n v="173.2"/>
        <n v="152.6"/>
        <n v="164.6"/>
        <n v="175.1"/>
        <n v="154.5"/>
        <n v="166.5"/>
        <n v="177.2"/>
        <n v="155.9"/>
        <n v="168.4"/>
        <n v="178.7"/>
        <n v="169.9"/>
        <n v="180.3"/>
        <n v="171.3"/>
        <n v="181.7"/>
        <n v="160"/>
        <n v="172.7"/>
        <n v="183.3"/>
        <n v="161.69999999999999"/>
        <n v="174.3"/>
        <n v="184.4"/>
        <n v="175.3"/>
        <n v="185.2"/>
        <n v="163.5"/>
        <n v="176.2"/>
        <n v="185.9"/>
        <n v="164.5"/>
        <n v="177"/>
        <n v="186.3"/>
        <n v="165.3"/>
        <n v="177.6"/>
        <n v="187"/>
        <n v="167"/>
        <n v="187.3"/>
        <n v="167.7"/>
        <n v="179.2"/>
        <n v="187.9"/>
        <n v="168.1"/>
        <n v="179.7"/>
        <m/>
      </sharedItems>
    </cacheField>
    <cacheField name="Clothing and footwear" numFmtId="0">
      <sharedItems containsString="0" containsBlank="1" containsNumber="1" minValue="105.8" maxValue="190.8" count="304">
        <n v="106.4"/>
        <n v="105.8"/>
        <n v="106.2"/>
        <n v="107"/>
        <n v="106.8"/>
        <n v="107.5"/>
        <n v="107.3"/>
        <n v="108"/>
        <n v="107.7"/>
        <n v="107.9"/>
        <n v="108.6"/>
        <n v="108.3"/>
        <n v="108.5"/>
        <n v="109.5"/>
        <n v="108.9"/>
        <n v="109.3"/>
        <n v="110.3"/>
        <n v="110"/>
        <n v="111.1"/>
        <n v="110.2"/>
        <n v="110.7"/>
        <n v="112.5"/>
        <n v="111.9"/>
        <n v="113.4"/>
        <n v="112"/>
        <n v="112.8"/>
        <n v="114.4"/>
        <n v="113"/>
        <n v="113.8"/>
        <n v="115.5"/>
        <n v="113.7"/>
        <n v="114.8"/>
        <n v="116.2"/>
        <n v="114.3"/>
        <n v="115.4"/>
        <n v="116.7"/>
        <n v="114.7"/>
        <n v="115.9"/>
        <n v="117.2"/>
        <n v="115.2"/>
        <n v="116.4"/>
        <n v="117.8"/>
        <n v="115.7"/>
        <n v="117"/>
        <n v="118.5"/>
        <n v="117.6"/>
        <n v="119.3"/>
        <n v="118.3"/>
        <n v="120.3"/>
        <n v="117.4"/>
        <n v="119.1"/>
        <n v="120.7"/>
        <n v="117.9"/>
        <n v="119.6"/>
        <n v="121.3"/>
        <n v="118.4"/>
        <n v="120.1"/>
        <n v="122.3"/>
        <n v="118.9"/>
        <n v="121"/>
        <n v="122.9"/>
        <n v="119.5"/>
        <n v="121.6"/>
        <n v="123.3"/>
        <n v="120"/>
        <n v="122"/>
        <n v="124"/>
        <n v="120.2"/>
        <n v="122.5"/>
        <n v="125"/>
        <n v="120.6"/>
        <n v="125.5"/>
        <n v="120.9"/>
        <n v="123.7"/>
        <n v="126"/>
        <n v="124.1"/>
        <n v="126.8"/>
        <n v="124.7"/>
        <n v="128"/>
        <n v="125.7"/>
        <n v="128.30000000000001"/>
        <n v="122.7"/>
        <n v="126.1"/>
        <n v="129"/>
        <n v="126.6"/>
        <n v="129.9"/>
        <n v="123.2"/>
        <n v="127.2"/>
        <n v="130.6"/>
        <n v="123.6"/>
        <n v="127.8"/>
        <n v="131.5"/>
        <n v="124.2"/>
        <n v="128.6"/>
        <n v="131.9"/>
        <n v="124.5"/>
        <n v="132.6"/>
        <n v="124.9"/>
        <n v="129.5"/>
        <n v="133.4"/>
        <n v="125.3"/>
        <n v="130.19999999999999"/>
        <n v="133.80000000000001"/>
        <n v="130.5"/>
        <n v="134.4"/>
        <n v="125.8"/>
        <n v="131"/>
        <n v="134.80000000000001"/>
        <n v="126.2"/>
        <n v="131.4"/>
        <n v="135.6"/>
        <n v="132"/>
        <n v="136.5"/>
        <n v="126.9"/>
        <n v="132.69999999999999"/>
        <n v="137.1"/>
        <n v="127.3"/>
        <n v="133.19999999999999"/>
        <n v="137.80000000000001"/>
        <n v="127.7"/>
        <n v="138.80000000000001"/>
        <n v="134.5"/>
        <n v="139.19999999999999"/>
        <n v="128.5"/>
        <n v="135"/>
        <n v="139.69999999999999"/>
        <n v="128.80000000000001"/>
        <n v="135.4"/>
        <n v="140"/>
        <n v="140.19999999999999"/>
        <n v="129.30000000000001"/>
        <n v="135.9"/>
        <n v="140.80000000000001"/>
        <n v="129.6"/>
        <n v="136.4"/>
        <n v="141.6"/>
        <n v="130"/>
        <n v="137"/>
        <n v="141.80000000000001"/>
        <n v="137.19999999999999"/>
        <n v="142.30000000000001"/>
        <n v="137.5"/>
        <n v="143.5"/>
        <n v="130.4"/>
        <n v="138.30000000000001"/>
        <n v="144.5"/>
        <n v="139.30000000000001"/>
        <n v="145.19999999999999"/>
        <n v="146.19999999999999"/>
        <n v="147.30000000000001"/>
        <n v="133.5"/>
        <n v="147.19999999999999"/>
        <n v="134"/>
        <n v="142"/>
        <n v="147.5"/>
        <n v="147.80000000000001"/>
        <n v="134.69999999999999"/>
        <n v="142.6"/>
        <n v="148.30000000000001"/>
        <n v="135.19999999999999"/>
        <n v="143.1"/>
        <n v="149.1"/>
        <n v="136.19999999999999"/>
        <n v="144"/>
        <n v="149.80000000000001"/>
        <n v="144.69999999999999"/>
        <n v="150.30000000000001"/>
        <n v="137.4"/>
        <n v="150.6"/>
        <n v="137.9"/>
        <n v="145.6"/>
        <n v="151.30000000000001"/>
        <n v="146.1"/>
        <n v="139.1"/>
        <n v="146.5"/>
        <n v="146.80000000000001"/>
        <n v="150.80000000000001"/>
        <n v="140.5"/>
        <n v="146.69999999999999"/>
        <n v="149.9"/>
        <n v="141.1"/>
        <n v="146.4"/>
        <n v="141.4"/>
        <n v="150.1"/>
        <n v="150.69999999999999"/>
        <n v="142.19999999999999"/>
        <n v="142.4"/>
        <n v="147.4"/>
        <n v="150.9"/>
        <n v="142.69999999999999"/>
        <n v="147.6"/>
        <n v="151.1"/>
        <n v="143"/>
        <n v="147.9"/>
        <n v="151"/>
        <n v="143.30000000000001"/>
        <n v="143.9"/>
        <n v="148.19999999999999"/>
        <n v="151.5"/>
        <n v="144.19999999999999"/>
        <n v="148.6"/>
        <n v="151.9"/>
        <n v="144.6"/>
        <n v="149"/>
        <n v="152.1"/>
        <n v="144.9"/>
        <n v="149.19999999999999"/>
        <n v="152.30000000000001"/>
        <n v="149.5"/>
        <n v="152.5"/>
        <n v="141.66999999999999"/>
        <n v="154.1"/>
        <n v="151.4"/>
        <n v="154.30000000000001"/>
        <n v="151.69999999999999"/>
        <n v="154.6"/>
        <n v="148.1"/>
        <n v="152"/>
        <n v="155"/>
        <n v="155.5"/>
        <n v="148.80000000000001"/>
        <n v="152.80000000000001"/>
        <n v="156.30000000000001"/>
        <n v="149.6"/>
        <n v="153.6"/>
        <n v="156.80000000000001"/>
        <n v="150.19999999999999"/>
        <n v="154.19999999999999"/>
        <n v="158.4"/>
        <n v="151.80000000000001"/>
        <n v="155.80000000000001"/>
        <n v="158.9"/>
        <n v="152.6"/>
        <n v="156.4"/>
        <n v="159.9"/>
        <n v="153.4"/>
        <n v="157.30000000000001"/>
        <n v="164.5"/>
        <n v="160.4"/>
        <n v="164.6"/>
        <n v="154.80000000000001"/>
        <n v="160.69999999999999"/>
        <n v="165.3"/>
        <n v="161.4"/>
        <n v="166.3"/>
        <n v="163.19999999999999"/>
        <n v="167.1"/>
        <n v="157.4"/>
        <n v="163.30000000000001"/>
        <n v="168.3"/>
        <n v="158.30000000000001"/>
        <n v="164.3"/>
        <n v="169.8"/>
        <n v="159.69999999999999"/>
        <n v="165.8"/>
        <n v="171.2"/>
        <n v="167"/>
        <n v="172.7"/>
        <n v="162.19999999999999"/>
        <n v="168.5"/>
        <n v="173.7"/>
        <n v="163.4"/>
        <n v="169.6"/>
        <n v="175.1"/>
        <n v="164.9"/>
        <n v="171.1"/>
        <n v="177.1"/>
        <n v="172.8"/>
        <n v="179"/>
        <n v="167.8"/>
        <n v="174.6"/>
        <n v="180.4"/>
        <n v="169.4"/>
        <n v="176"/>
        <n v="181.7"/>
        <n v="170.6"/>
        <n v="177.3"/>
        <n v="183"/>
        <n v="171.6"/>
        <n v="178.5"/>
        <n v="184.5"/>
        <n v="173"/>
        <n v="179.9"/>
        <n v="185.9"/>
        <n v="173.6"/>
        <n v="181"/>
        <n v="186.9"/>
        <n v="174.7"/>
        <n v="182.1"/>
        <n v="187.8"/>
        <n v="175.7"/>
        <n v="188.6"/>
        <n v="176.6"/>
        <n v="183.8"/>
        <n v="189.6"/>
        <n v="178.2"/>
        <n v="185.1"/>
        <n v="190.2"/>
        <n v="178.9"/>
        <n v="185.7"/>
        <n v="190.8"/>
        <n v="179.3"/>
        <n v="186.2"/>
        <m/>
      </sharedItems>
    </cacheField>
    <cacheField name="Housing" numFmtId="0">
      <sharedItems containsBlank="1" containsMixedTypes="1" containsNumber="1" minValue="100.3" maxValue="175.6" count="119">
        <n v="139.26"/>
        <n v="100.3"/>
        <n v="100.4"/>
        <n v="100.5"/>
        <n v="106.6"/>
        <n v="107.7"/>
        <n v="108.9"/>
        <n v="109.7"/>
        <n v="110.5"/>
        <n v="111.1"/>
        <n v="110.7"/>
        <n v="111.6"/>
        <n v="112.5"/>
        <n v="113.2"/>
        <n v="113.9"/>
        <n v="114.3"/>
        <n v="114.8"/>
        <n v="115.5"/>
        <n v="116.1"/>
        <n v="116.7"/>
        <n v="117.1"/>
        <n v="116.5"/>
        <n v="117.3"/>
        <n v="118.1"/>
        <n v="118.6"/>
        <n v="119.2"/>
        <n v="119.6"/>
        <n v="119"/>
        <n v="119.9"/>
        <n v="120.9"/>
        <n v="121.6"/>
        <n v="122.4"/>
        <n v="122.9"/>
        <n v="123.4"/>
        <n v="124.4"/>
        <n v="124.9"/>
        <n v="125.6"/>
        <n v="126"/>
        <n v="125.5"/>
        <n v="126.4"/>
        <n v="127.3"/>
        <n v="127.9"/>
        <n v="128.69999999999999"/>
        <n v="129.1"/>
        <n v="128.5"/>
        <n v="129.6"/>
        <n v="130.5"/>
        <n v="131.1"/>
        <n v="131.69999999999999"/>
        <n v="132.1"/>
        <n v="131.4"/>
        <n v="132.6"/>
        <n v="134.4"/>
        <n v="135.69999999999999"/>
        <n v="137.30000000000001"/>
        <n v="138.6"/>
        <n v="139.1"/>
        <n v="140.4"/>
        <n v="141.30000000000001"/>
        <n v="142"/>
        <n v="142.9"/>
        <n v="143.19999999999999"/>
        <n v="142.5"/>
        <n v="143.6"/>
        <n v="144.6"/>
        <n v="145.30000000000001"/>
        <n v="146.30000000000001"/>
        <n v="146.9"/>
        <n v="146.5"/>
        <n v="147.69999999999999"/>
        <n v="148.5"/>
        <n v="149"/>
        <n v="150.1"/>
        <n v="149.4"/>
        <n v="150.6"/>
        <n v="151.6"/>
        <n v="152.19999999999999"/>
        <n v="153"/>
        <n v="153.5"/>
        <n v="152.80000000000001"/>
        <n v="153.9"/>
        <n v="154.80000000000001"/>
        <n v="154.5"/>
        <n v="155.6"/>
        <n v="154.69999999999999"/>
        <n v="155.5"/>
        <n v="156.30000000000001"/>
        <n v="156.5"/>
        <n v="158"/>
        <n v="158.4"/>
        <n v="157.69999999999999"/>
        <n v="159.80000000000001"/>
        <s v="-"/>
        <n v="159.9"/>
        <n v="161.4"/>
        <n v="161.6"/>
        <n v="160.5"/>
        <n v="161.5"/>
        <n v="162.1"/>
        <n v="163.6"/>
        <n v="164.2"/>
        <n v="163.4"/>
        <n v="164.5"/>
        <n v="165.5"/>
        <n v="165.3"/>
        <n v="167"/>
        <n v="167.5"/>
        <n v="166.8"/>
        <n v="167.8"/>
        <n v="169"/>
        <n v="169.5"/>
        <n v="171.2"/>
        <n v="171.8"/>
        <n v="170.7"/>
        <n v="172.1"/>
        <n v="173.5"/>
        <n v="175.2"/>
        <n v="175.6"/>
        <m/>
      </sharedItems>
    </cacheField>
    <cacheField name="Fuel and light" numFmtId="0">
      <sharedItems containsString="0" containsBlank="1" containsNumber="1" minValue="105.4" maxValue="183.4" count="275">
        <n v="105.5"/>
        <n v="105.4"/>
        <n v="106.2"/>
        <n v="105.7"/>
        <n v="106"/>
        <n v="106.1"/>
        <n v="106.5"/>
        <n v="106.4"/>
        <n v="107.5"/>
        <n v="107.2"/>
        <n v="107.4"/>
        <n v="108.5"/>
        <n v="108"/>
        <n v="108.3"/>
        <n v="109.5"/>
        <n v="108.6"/>
        <n v="109.2"/>
        <n v="109.9"/>
        <n v="109.3"/>
        <n v="109.7"/>
        <n v="111.1"/>
        <n v="110.5"/>
        <n v="111.6"/>
        <n v="110.9"/>
        <n v="112.6"/>
        <n v="110"/>
        <n v="112.8"/>
        <n v="110.4"/>
        <n v="111.9"/>
        <n v="113"/>
        <n v="111"/>
        <n v="112.2"/>
        <n v="113.2"/>
        <n v="112.4"/>
        <n v="113.4"/>
        <n v="112.5"/>
        <n v="114.4"/>
        <n v="111.2"/>
        <n v="115.3"/>
        <n v="113.9"/>
        <n v="115.4"/>
        <n v="111.8"/>
        <n v="114"/>
        <n v="115.8"/>
        <n v="114.3"/>
        <n v="116.4"/>
        <n v="112"/>
        <n v="114.7"/>
        <n v="117.3"/>
        <n v="115.5"/>
        <n v="117.4"/>
        <n v="115.7"/>
        <n v="118.4"/>
        <n v="116.5"/>
        <n v="120"/>
        <n v="117.7"/>
        <n v="120.6"/>
        <n v="118.3"/>
        <n v="121.2"/>
        <n v="118.7"/>
        <n v="121.9"/>
        <n v="114.9"/>
        <n v="119.2"/>
        <n v="122.6"/>
        <n v="115.1"/>
        <n v="119.8"/>
        <n v="123"/>
        <n v="120.1"/>
        <n v="123.8"/>
        <n v="123.7"/>
        <n v="120.4"/>
        <n v="124.4"/>
        <n v="120.8"/>
        <n v="125.6"/>
        <n v="121.6"/>
        <n v="125.7"/>
        <n v="116"/>
        <n v="122"/>
        <n v="126.2"/>
        <n v="116.9"/>
        <n v="122.7"/>
        <n v="127.5"/>
        <n v="123.1"/>
        <n v="127"/>
        <n v="114.8"/>
        <n v="122.4"/>
        <n v="114.6"/>
        <n v="122.3"/>
        <n v="127.4"/>
        <n v="115"/>
        <n v="128"/>
        <n v="123.3"/>
        <n v="128.19999999999999"/>
        <n v="123.4"/>
        <n v="129.1"/>
        <n v="123.6"/>
        <n v="129.69999999999999"/>
        <n v="124.1"/>
        <n v="129.80000000000001"/>
        <n v="115.2"/>
        <n v="124.3"/>
        <n v="130.30000000000001"/>
        <n v="116.2"/>
        <n v="125"/>
        <n v="132"/>
        <n v="117.8"/>
        <n v="126.6"/>
        <n v="132.1"/>
        <n v="118"/>
        <n v="126.8"/>
        <n v="133.19999999999999"/>
        <n v="127.9"/>
        <n v="134.19999999999999"/>
        <n v="135"/>
        <n v="121.4"/>
        <n v="129.4"/>
        <n v="134.80000000000001"/>
        <n v="119"/>
        <n v="128.80000000000001"/>
        <n v="135.30000000000001"/>
        <n v="119.7"/>
        <n v="136.4"/>
        <n v="118.9"/>
        <n v="137.4"/>
        <n v="131"/>
        <n v="138.1"/>
        <n v="132.19999999999999"/>
        <n v="141.1"/>
        <n v="142.6"/>
        <n v="136.6"/>
        <n v="142.30000000000001"/>
        <n v="127.3"/>
        <n v="142.4"/>
        <n v="136.69999999999999"/>
        <n v="126.4"/>
        <n v="136.5"/>
        <n v="143.80000000000001"/>
        <n v="124.6"/>
        <n v="144.30000000000001"/>
        <n v="124.7"/>
        <n v="136.9"/>
        <n v="145.1"/>
        <n v="126.5"/>
        <n v="146.80000000000001"/>
        <n v="128.1"/>
        <n v="139.69999999999999"/>
        <n v="147.69999999999999"/>
        <n v="140.9"/>
        <n v="149"/>
        <n v="131.19999999999999"/>
        <n v="149.69999999999999"/>
        <n v="133.4"/>
        <n v="145.30000000000001"/>
        <n v="150.30000000000001"/>
        <n v="132.4"/>
        <n v="142.69999999999999"/>
        <n v="146.19999999999999"/>
        <n v="128.6"/>
        <n v="139.5"/>
        <n v="127.1"/>
        <n v="138.4"/>
        <n v="146.4"/>
        <n v="146.9"/>
        <n v="140.30000000000001"/>
        <n v="147.80000000000001"/>
        <n v="130.5"/>
        <n v="141.19999999999999"/>
        <n v="139.30000000000001"/>
        <n v="125.5"/>
        <n v="138.5"/>
        <n v="139.19999999999999"/>
        <n v="128.9"/>
        <n v="140.6"/>
        <n v="148.4"/>
        <n v="149.9"/>
        <n v="133.6"/>
        <n v="143.69999999999999"/>
        <n v="150.4"/>
        <n v="135.1"/>
        <n v="144.6"/>
        <n v="152.30000000000001"/>
        <n v="138.9"/>
        <n v="147.19999999999999"/>
        <n v="153.4"/>
        <n v="141.4"/>
        <n v="148.9"/>
        <n v="137.1"/>
        <n v="144.1"/>
        <n v="136.51"/>
        <n v="144.9"/>
        <n v="141.9"/>
        <n v="145.80000000000001"/>
        <n v="138.30000000000001"/>
        <n v="143"/>
        <n v="137.19999999999999"/>
        <n v="142.9"/>
        <n v="143.1"/>
        <n v="147.5"/>
        <n v="137.30000000000001"/>
        <n v="143.6"/>
        <n v="148.69999999999999"/>
        <n v="137.9"/>
        <n v="150.9"/>
        <n v="147.9"/>
        <n v="154.4"/>
        <n v="149.1"/>
        <n v="152.4"/>
        <n v="156"/>
        <n v="154.80000000000001"/>
        <n v="155.5"/>
        <n v="154.9"/>
        <n v="155.6"/>
        <n v="161.69999999999999"/>
        <n v="159.4"/>
        <n v="162.1"/>
        <n v="156.1"/>
        <n v="159.80000000000001"/>
        <n v="162.5"/>
        <n v="157.69999999999999"/>
        <n v="160.69999999999999"/>
        <n v="163.1"/>
        <n v="162.6"/>
        <n v="163.69999999999999"/>
        <n v="160.80000000000001"/>
        <n v="165.5"/>
        <n v="162.19999999999999"/>
        <n v="164.2"/>
        <n v="165.3"/>
        <n v="161.6"/>
        <n v="163.9"/>
        <n v="165.6"/>
        <n v="164.1"/>
        <n v="165.8"/>
        <n v="167.4"/>
        <n v="163"/>
        <n v="165.7"/>
        <n v="168.9"/>
        <n v="164.5"/>
        <n v="167.2"/>
        <n v="173.3"/>
        <n v="170.5"/>
        <n v="172.2"/>
        <n v="175.3"/>
        <n v="173.5"/>
        <n v="174.6"/>
        <n v="176.7"/>
        <n v="174.9"/>
        <n v="176"/>
        <n v="179.6"/>
        <n v="179.5"/>
        <n v="179.1"/>
        <n v="178.4"/>
        <n v="178.8"/>
        <n v="179.7"/>
        <n v="179.2"/>
        <n v="180.8"/>
        <n v="180"/>
        <n v="180.5"/>
        <n v="181.9"/>
        <n v="180.3"/>
        <n v="181.3"/>
        <n v="182.8"/>
        <n v="180.6"/>
        <n v="182"/>
        <n v="183.2"/>
        <n v="180.1"/>
        <n v="181.6"/>
        <n v="182.1"/>
        <n v="181.4"/>
        <n v="182.6"/>
        <n v="181.5"/>
        <n v="181.7"/>
        <n v="182.5"/>
        <n v="183.4"/>
        <m/>
      </sharedItems>
    </cacheField>
    <cacheField name="Household goods and services" numFmtId="0">
      <sharedItems containsString="0" containsBlank="1" containsNumber="1" minValue="104.8" maxValue="179.8" count="292">
        <n v="104.8"/>
        <n v="105.2"/>
        <n v="105.6"/>
        <n v="105.7"/>
        <n v="106.1"/>
        <n v="106.5"/>
        <n v="106.3"/>
        <n v="106.8"/>
        <n v="107.1"/>
        <n v="106.9"/>
        <n v="107.5"/>
        <n v="107.7"/>
        <n v="107.6"/>
        <n v="108.3"/>
        <n v="108.1"/>
        <n v="108.2"/>
        <n v="108.7"/>
        <n v="109.6"/>
        <n v="110.4"/>
        <n v="110.2"/>
        <n v="110.3"/>
        <n v="111.3"/>
        <n v="110.9"/>
        <n v="111.1"/>
        <n v="112.1"/>
        <n v="111.7"/>
        <n v="112.6"/>
        <n v="111.9"/>
        <n v="112.3"/>
        <n v="112.9"/>
        <n v="112.8"/>
        <n v="113.4"/>
        <n v="113"/>
        <n v="113.2"/>
        <n v="113.7"/>
        <n v="113.6"/>
        <n v="114.1"/>
        <n v="114.9"/>
        <n v="114.3"/>
        <n v="114.6"/>
        <n v="115.4"/>
        <n v="115.2"/>
        <n v="115.9"/>
        <n v="115.3"/>
        <n v="115.6"/>
        <n v="116.7"/>
        <n v="115.5"/>
        <n v="116.1"/>
        <n v="117.5"/>
        <n v="115.8"/>
        <n v="118.1"/>
        <n v="116.4"/>
        <n v="117.3"/>
        <n v="118.2"/>
        <n v="116.8"/>
        <n v="118.9"/>
        <n v="117.2"/>
        <n v="119.6"/>
        <n v="117.7"/>
        <n v="118.7"/>
        <n v="120.2"/>
        <n v="118"/>
        <n v="119.2"/>
        <n v="120.9"/>
        <n v="118.4"/>
        <n v="119.7"/>
        <n v="121.5"/>
        <n v="122.8"/>
        <n v="121.1"/>
        <n v="123"/>
        <n v="119.5"/>
        <n v="121.3"/>
        <n v="123.7"/>
        <n v="120"/>
        <n v="122"/>
        <n v="124.5"/>
        <n v="120.4"/>
        <n v="122.6"/>
        <n v="125.1"/>
        <n v="120.7"/>
        <n v="125.6"/>
        <n v="121"/>
        <n v="123.4"/>
        <n v="126"/>
        <n v="123.6"/>
        <n v="126.6"/>
        <n v="121.6"/>
        <n v="124.2"/>
        <n v="127.1"/>
        <n v="121.8"/>
        <n v="124.6"/>
        <n v="127.7"/>
        <n v="122.3"/>
        <n v="128"/>
        <n v="125.5"/>
        <n v="128.5"/>
        <n v="123.2"/>
        <n v="129.30000000000001"/>
        <n v="126.4"/>
        <n v="130"/>
        <n v="123.5"/>
        <n v="126.9"/>
        <n v="130.6"/>
        <n v="123.9"/>
        <n v="127.4"/>
        <n v="131.1"/>
        <n v="124.3"/>
        <n v="127.9"/>
        <n v="131.80000000000001"/>
        <n v="128.4"/>
        <n v="132.1"/>
        <n v="124.7"/>
        <n v="128.6"/>
        <n v="132.9"/>
        <n v="125"/>
        <n v="129.19999999999999"/>
        <n v="133.19999999999999"/>
        <n v="129.4"/>
        <n v="133.6"/>
        <n v="125.3"/>
        <n v="129.69999999999999"/>
        <n v="134.1"/>
        <n v="130.1"/>
        <n v="134.30000000000001"/>
        <n v="130.4"/>
        <n v="134.9"/>
        <n v="126.5"/>
        <n v="130.9"/>
        <n v="135.19999999999999"/>
        <n v="126.8"/>
        <n v="131.19999999999999"/>
        <n v="136.1"/>
        <n v="127.2"/>
        <n v="131.9"/>
        <n v="137.30000000000001"/>
        <n v="132.80000000000001"/>
        <n v="137.9"/>
        <n v="128.1"/>
        <n v="133.30000000000001"/>
        <n v="138.4"/>
        <n v="128.30000000000001"/>
        <n v="139.4"/>
        <n v="128.80000000000001"/>
        <n v="134.4"/>
        <n v="139.5"/>
        <n v="134.69999999999999"/>
        <n v="139.80000000000001"/>
        <n v="129.5"/>
        <n v="139.9"/>
        <n v="129.9"/>
        <n v="130.80000000000001"/>
        <n v="135.6"/>
        <n v="140.9"/>
        <n v="136.6"/>
        <n v="141.80000000000001"/>
        <n v="132.5"/>
        <n v="137.4"/>
        <n v="142.19999999999999"/>
        <n v="133.1"/>
        <n v="143.1"/>
        <n v="138.6"/>
        <n v="143.80000000000001"/>
        <n v="144"/>
        <n v="139.69999999999999"/>
        <n v="147.5"/>
        <n v="135.1"/>
        <n v="148"/>
        <n v="135.80000000000001"/>
        <n v="149.5"/>
        <n v="136.19999999999999"/>
        <n v="143.19999999999999"/>
        <n v="150.1"/>
        <n v="136.30000000000001"/>
        <n v="143.6"/>
        <n v="143.69999999999999"/>
        <n v="150"/>
        <n v="136.80000000000001"/>
        <n v="137.19999999999999"/>
        <n v="149.6"/>
        <n v="137.69999999999999"/>
        <n v="144.19999999999999"/>
        <n v="150.19999999999999"/>
        <n v="138.1"/>
        <n v="144.5"/>
        <n v="150.30000000000001"/>
        <n v="138.30000000000001"/>
        <n v="144.6"/>
        <n v="150.6"/>
        <n v="138.69999999999999"/>
        <n v="145"/>
        <n v="150.9"/>
        <n v="139.1"/>
        <n v="145.30000000000001"/>
        <n v="151.19999999999999"/>
        <n v="145.80000000000001"/>
        <n v="151.69999999999999"/>
        <n v="140.1"/>
        <n v="146.19999999999999"/>
        <n v="151.80000000000001"/>
        <n v="140.4"/>
        <n v="146.4"/>
        <n v="151.5"/>
        <n v="140.80000000000001"/>
        <n v="136.69"/>
        <n v="151.9"/>
        <n v="148.4"/>
        <n v="151.6"/>
        <n v="145.4"/>
        <n v="148.69999999999999"/>
        <n v="152"/>
        <n v="145.1"/>
        <n v="152.80000000000001"/>
        <n v="149.19999999999999"/>
        <n v="153.4"/>
        <n v="145.5"/>
        <n v="149.69999999999999"/>
        <n v="153.9"/>
        <n v="145.69999999999999"/>
        <n v="154.80000000000001"/>
        <n v="146.5"/>
        <n v="147.19999999999999"/>
        <n v="155.5"/>
        <n v="147.6"/>
        <n v="158.80000000000001"/>
        <n v="154.69999999999999"/>
        <n v="159.19999999999999"/>
        <n v="149.80000000000001"/>
        <n v="160.30000000000001"/>
        <n v="150.69999999999999"/>
        <n v="155.80000000000001"/>
        <n v="160.9"/>
        <n v="153.19999999999999"/>
        <n v="157.5"/>
        <n v="161.30000000000001"/>
        <n v="153.30000000000001"/>
        <n v="162"/>
        <n v="154.30000000000001"/>
        <n v="158.4"/>
        <n v="162.9"/>
        <n v="155.19999999999999"/>
        <n v="159.30000000000001"/>
        <n v="163.9"/>
        <n v="156"/>
        <n v="160.19999999999999"/>
        <n v="164.9"/>
        <n v="156.80000000000001"/>
        <n v="161.1"/>
        <n v="165.7"/>
        <n v="157.4"/>
        <n v="161.80000000000001"/>
        <n v="166.5"/>
        <n v="158.6"/>
        <n v="162.80000000000001"/>
        <n v="167.7"/>
        <n v="159.80000000000001"/>
        <n v="164"/>
        <n v="168.9"/>
        <n v="165.2"/>
        <n v="170.3"/>
        <n v="162.1"/>
        <n v="166.4"/>
        <n v="171.3"/>
        <n v="163.1"/>
        <n v="167.4"/>
        <n v="172.3"/>
        <n v="164.2"/>
        <n v="168.5"/>
        <n v="173.6"/>
        <n v="165"/>
        <n v="169.5"/>
        <n v="174.4"/>
        <n v="166"/>
        <n v="170.4"/>
        <n v="175.5"/>
        <n v="166.9"/>
        <n v="171.4"/>
        <n v="176.4"/>
        <n v="167.3"/>
        <n v="172.1"/>
        <n v="177.2"/>
        <n v="168"/>
        <n v="172.9"/>
        <n v="178.6"/>
        <n v="169.2"/>
        <n v="174.2"/>
        <n v="179.1"/>
        <n v="169.6"/>
        <n v="174.6"/>
        <n v="179.8"/>
        <n v="170.1"/>
        <n v="175.2"/>
        <m/>
      </sharedItems>
    </cacheField>
    <cacheField name="Health" numFmtId="0">
      <sharedItems containsString="0" containsBlank="1" containsNumber="1" minValue="104" maxValue="187.8" count="308">
        <n v="104"/>
        <n v="104.1"/>
        <n v="104.4"/>
        <n v="104.7"/>
        <n v="104.5"/>
        <n v="105.2"/>
        <n v="104.9"/>
        <n v="105.1"/>
        <n v="105.7"/>
        <n v="105.3"/>
        <n v="106.2"/>
        <n v="105.9"/>
        <n v="106.3"/>
        <n v="106.5"/>
        <n v="106.4"/>
        <n v="106.9"/>
        <n v="107.1"/>
        <n v="107"/>
        <n v="107.5"/>
        <n v="107.6"/>
        <n v="108.3"/>
        <n v="107.9"/>
        <n v="108.1"/>
        <n v="108.9"/>
        <n v="108.2"/>
        <n v="108.6"/>
        <n v="109.7"/>
        <n v="109.3"/>
        <n v="110.1"/>
        <n v="109"/>
        <n v="110.6"/>
        <n v="110.3"/>
        <n v="110.9"/>
        <n v="110.4"/>
        <n v="110.7"/>
        <n v="111.4"/>
        <n v="110.8"/>
        <n v="111.2"/>
        <n v="111.8"/>
        <n v="111"/>
        <n v="111.5"/>
        <n v="112.1"/>
        <n v="112.8"/>
        <n v="112.3"/>
        <n v="113.4"/>
        <n v="112.7"/>
        <n v="114"/>
        <n v="112.2"/>
        <n v="113.3"/>
        <n v="114.5"/>
        <n v="113.7"/>
        <n v="115.3"/>
        <n v="112.6"/>
        <n v="114.3"/>
        <n v="115.9"/>
        <n v="113"/>
        <n v="114.8"/>
        <n v="116.2"/>
        <n v="113.2"/>
        <n v="115.1"/>
        <n v="116.6"/>
        <n v="115.5"/>
        <n v="117.7"/>
        <n v="114.1"/>
        <n v="116.3"/>
        <n v="118.2"/>
        <n v="116.7"/>
        <n v="118.6"/>
        <n v="114.6"/>
        <n v="117.1"/>
        <n v="119.4"/>
        <n v="114.9"/>
        <n v="120.4"/>
        <n v="115.4"/>
        <n v="118.5"/>
        <n v="120.8"/>
        <n v="116"/>
        <n v="119"/>
        <n v="121.1"/>
        <n v="121.4"/>
        <n v="119.8"/>
        <n v="122"/>
        <n v="122.6"/>
        <n v="118.1"/>
        <n v="120.9"/>
        <n v="123.1"/>
        <n v="123.7"/>
        <n v="119.1"/>
        <n v="124.3"/>
        <n v="119.5"/>
        <n v="122.5"/>
        <n v="124.8"/>
        <n v="119.7"/>
        <n v="122.9"/>
        <n v="125.2"/>
        <n v="120"/>
        <n v="123.2"/>
        <n v="125.8"/>
        <n v="120.3"/>
        <n v="126.2"/>
        <n v="120.6"/>
        <n v="124.1"/>
        <n v="126.7"/>
        <n v="124.5"/>
        <n v="127"/>
        <n v="121.2"/>
        <n v="127.8"/>
        <n v="125.4"/>
        <n v="128.69999999999999"/>
        <n v="121.8"/>
        <n v="126.1"/>
        <n v="129.1"/>
        <n v="122.1"/>
        <n v="126.4"/>
        <n v="129.69999999999999"/>
        <n v="122.3"/>
        <n v="126.9"/>
        <n v="129.9"/>
        <n v="127.1"/>
        <n v="130.1"/>
        <n v="127.4"/>
        <n v="130.6"/>
        <n v="131"/>
        <n v="123.4"/>
        <n v="128.1"/>
        <n v="131.4"/>
        <n v="123.6"/>
        <n v="128.4"/>
        <n v="131.30000000000001"/>
        <n v="123.8"/>
        <n v="128.5"/>
        <n v="132.1"/>
        <n v="125"/>
        <n v="129.4"/>
        <n v="133"/>
        <n v="125.7"/>
        <n v="130.19999999999999"/>
        <n v="133.4"/>
        <n v="134.19999999999999"/>
        <n v="126.6"/>
        <n v="135.80000000000001"/>
        <n v="132.6"/>
        <n v="136.1"/>
        <n v="128.19999999999999"/>
        <n v="133.1"/>
        <n v="136"/>
        <n v="129"/>
        <n v="133.30000000000001"/>
        <n v="136.19999999999999"/>
        <n v="129.80000000000001"/>
        <n v="133.80000000000001"/>
        <n v="136.69999999999999"/>
        <n v="130.5"/>
        <n v="134.30000000000001"/>
        <n v="137.6"/>
        <n v="135.19999999999999"/>
        <n v="138.4"/>
        <n v="132"/>
        <n v="139"/>
        <n v="133.6"/>
        <n v="137"/>
        <n v="139.4"/>
        <n v="134.9"/>
        <n v="137.69999999999999"/>
        <n v="140"/>
        <n v="135.69999999999999"/>
        <n v="144.80000000000001"/>
        <n v="142.1"/>
        <n v="145.4"/>
        <n v="136.80000000000001"/>
        <n v="149.6"/>
        <n v="137.30000000000001"/>
        <n v="144.9"/>
        <n v="137.80000000000001"/>
        <n v="145.1"/>
        <n v="149.9"/>
        <n v="138.5"/>
        <n v="145.6"/>
        <n v="150.4"/>
        <n v="139.19999999999999"/>
        <n v="146.19999999999999"/>
        <n v="151.30000000000001"/>
        <n v="139.80000000000001"/>
        <n v="146.9"/>
        <n v="151.69999999999999"/>
        <n v="140.30000000000001"/>
        <n v="147.4"/>
        <n v="152.19999999999999"/>
        <n v="140.80000000000001"/>
        <n v="147.9"/>
        <n v="152.69999999999999"/>
        <n v="141.5"/>
        <n v="148.5"/>
        <n v="153.4"/>
        <n v="141.9"/>
        <n v="149"/>
        <n v="153.69999999999999"/>
        <n v="142.4"/>
        <n v="149.4"/>
        <n v="154.30000000000001"/>
        <n v="142.80000000000001"/>
        <n v="154.80000000000001"/>
        <n v="143.19999999999999"/>
        <n v="155.69999999999999"/>
        <n v="143.80000000000001"/>
        <n v="151.19999999999999"/>
        <n v="156.19999999999999"/>
        <n v="144.4"/>
        <n v="156.69999999999999"/>
        <n v="145"/>
        <n v="152.30000000000001"/>
        <n v="150.69999999999999"/>
        <n v="138.51"/>
        <n v="158.19999999999999"/>
        <n v="148.1"/>
        <n v="154.4"/>
        <n v="158.80000000000001"/>
        <n v="148.69999999999999"/>
        <n v="155"/>
        <n v="159.1"/>
        <n v="150"/>
        <n v="155.6"/>
        <n v="159.5"/>
        <n v="151"/>
        <n v="156.30000000000001"/>
        <n v="160.4"/>
        <n v="152"/>
        <n v="157.19999999999999"/>
        <n v="161.6"/>
        <n v="152.9"/>
        <n v="158.30000000000001"/>
        <n v="162.5"/>
        <n v="154.1"/>
        <n v="159.30000000000001"/>
        <n v="164.3"/>
        <n v="161.30000000000001"/>
        <n v="164.6"/>
        <n v="156.9"/>
        <n v="161.69999999999999"/>
        <n v="165.3"/>
        <n v="157.5"/>
        <n v="162.30000000000001"/>
        <n v="169.1"/>
        <n v="165.8"/>
        <n v="169.7"/>
        <n v="160.80000000000001"/>
        <n v="166.3"/>
        <n v="170.4"/>
        <n v="161.5"/>
        <n v="167"/>
        <n v="171.1"/>
        <n v="162.80000000000001"/>
        <n v="168.4"/>
        <n v="171.9"/>
        <n v="172.5"/>
        <n v="163.5"/>
        <n v="173.4"/>
        <n v="164.2"/>
        <n v="169.9"/>
        <n v="174"/>
        <n v="165.1"/>
        <n v="170.6"/>
        <n v="174.7"/>
        <n v="166.1"/>
        <n v="171.4"/>
        <n v="175.3"/>
        <n v="167.2"/>
        <n v="172.2"/>
        <n v="176"/>
        <n v="168.2"/>
        <n v="173"/>
        <n v="177"/>
        <n v="169"/>
        <n v="177.7"/>
        <n v="170.1"/>
        <n v="174.8"/>
        <n v="178.2"/>
        <n v="170.9"/>
        <n v="175.4"/>
        <n v="178.8"/>
        <n v="171.7"/>
        <n v="176.1"/>
        <n v="179.4"/>
        <n v="172.6"/>
        <n v="176.8"/>
        <n v="180.2"/>
        <n v="173.8"/>
        <n v="177.8"/>
        <n v="181.2"/>
        <n v="178.7"/>
        <n v="182.3"/>
        <n v="175.8"/>
        <n v="179.8"/>
        <n v="183.5"/>
        <n v="177.2"/>
        <n v="181.1"/>
        <n v="184.7"/>
        <n v="178.5"/>
        <n v="186.6"/>
        <n v="180.8"/>
        <n v="184.4"/>
        <n v="187.2"/>
        <n v="181.5"/>
        <n v="185"/>
        <n v="187.8"/>
        <n v="182.2"/>
        <n v="185.7"/>
        <m/>
      </sharedItems>
    </cacheField>
    <cacheField name="Transport and communication" numFmtId="0">
      <sharedItems containsString="0" containsBlank="1" containsNumber="1" minValue="103.2" maxValue="169.7" count="252">
        <n v="103.3"/>
        <n v="103.2"/>
        <n v="103.9"/>
        <n v="104.4"/>
        <n v="104.2"/>
        <n v="104.6"/>
        <n v="105.5"/>
        <n v="105.1"/>
        <n v="105"/>
        <n v="104.7"/>
        <n v="104.1"/>
        <n v="104"/>
        <n v="105.2"/>
        <n v="106.8"/>
        <n v="107.3"/>
        <n v="107.1"/>
        <n v="107.8"/>
        <n v="108.1"/>
        <n v="108"/>
        <n v="109.3"/>
        <n v="110.4"/>
        <n v="109.9"/>
        <n v="109.7"/>
        <n v="109.5"/>
        <n v="109.6"/>
        <n v="109.8"/>
        <n v="110.5"/>
        <n v="110.8"/>
        <n v="110.7"/>
        <n v="111.3"/>
        <n v="111.1"/>
        <n v="111.2"/>
        <n v="111.6"/>
        <n v="111.4"/>
        <n v="112.2"/>
        <n v="111.5"/>
        <n v="111.8"/>
        <n v="113.2"/>
        <n v="113"/>
        <n v="113.1"/>
        <n v="112.5"/>
        <n v="112.8"/>
        <n v="112"/>
        <n v="112.6"/>
        <n v="111"/>
        <n v="108.8"/>
        <n v="110.1"/>
        <n v="107.9"/>
        <n v="109.4"/>
        <n v="110.9"/>
        <n v="108.7"/>
        <n v="108.4"/>
        <n v="111.9"/>
        <n v="113.3"/>
        <n v="114.2"/>
        <n v="111.7"/>
        <n v="112.9"/>
        <n v="114.1"/>
        <n v="112.7"/>
        <n v="113.6"/>
        <n v="113.8"/>
        <n v="109.1"/>
        <n v="114"/>
        <n v="108.9"/>
        <n v="113.9"/>
        <n v="108.5"/>
        <n v="114.4"/>
        <n v="110"/>
        <n v="112.1"/>
        <n v="115.1"/>
        <n v="116.3"/>
        <n v="112.3"/>
        <n v="116.4"/>
        <n v="116"/>
        <n v="117"/>
        <n v="114.3"/>
        <n v="117.8"/>
        <n v="115.2"/>
        <n v="118.2"/>
        <n v="113.4"/>
        <n v="115.7"/>
        <n v="118.6"/>
        <n v="113.7"/>
        <n v="119.1"/>
        <n v="119.5"/>
        <n v="115.5"/>
        <n v="117.4"/>
        <n v="119.8"/>
        <n v="115.6"/>
        <n v="117.6"/>
        <n v="119.2"/>
        <n v="116.6"/>
        <n v="119.4"/>
        <n v="116.7"/>
        <n v="116.5"/>
        <n v="120.3"/>
        <n v="114.6"/>
        <n v="117.3"/>
        <n v="121.2"/>
        <n v="118.3"/>
        <n v="121"/>
        <n v="115"/>
        <n v="121.6"/>
        <n v="115.3"/>
        <n v="122"/>
        <n v="118.5"/>
        <n v="122.7"/>
        <n v="119.3"/>
        <n v="123.3"/>
        <n v="120.2"/>
        <n v="124.6"/>
        <n v="125.3"/>
        <n v="118.9"/>
        <n v="121.9"/>
        <n v="126.4"/>
        <n v="122.9"/>
        <n v="127.4"/>
        <n v="120.4"/>
        <n v="123.7"/>
        <n v="127.5"/>
        <n v="120.1"/>
        <n v="123.6"/>
        <n v="128.30000000000001"/>
        <n v="120.7"/>
        <n v="124.3"/>
        <n v="129.9"/>
        <n v="122.5"/>
        <n v="126"/>
        <n v="130.80000000000001"/>
        <n v="125.5"/>
        <n v="130.30000000000001"/>
        <n v="128.9"/>
        <n v="118.8"/>
        <n v="128.6"/>
        <n v="129.19999999999999"/>
        <n v="123.9"/>
        <n v="119.9"/>
        <n v="130.19999999999999"/>
        <n v="124.9"/>
        <n v="119.6"/>
        <n v="131.19999999999999"/>
        <n v="120.6"/>
        <n v="125.6"/>
        <n v="131.4"/>
        <n v="120.8"/>
        <n v="125.8"/>
        <n v="131.6"/>
        <n v="126.1"/>
        <n v="131.69999999999999"/>
        <n v="121.5"/>
        <n v="126.3"/>
        <n v="132.1"/>
        <n v="121.7"/>
        <n v="126.6"/>
        <n v="135"/>
        <n v="125.2"/>
        <n v="129.80000000000001"/>
        <n v="136.30000000000001"/>
        <n v="130.9"/>
        <n v="136"/>
        <n v="135.80000000000001"/>
        <n v="121.17"/>
        <n v="141.4"/>
        <n v="129.30000000000001"/>
        <n v="143.6"/>
        <n v="133.9"/>
        <n v="138.5"/>
        <n v="144.6"/>
        <n v="135.1"/>
        <n v="139.6"/>
        <n v="146.4"/>
        <n v="135.4"/>
        <n v="140.6"/>
        <n v="146.1"/>
        <n v="135.19999999999999"/>
        <n v="140.4"/>
        <n v="135.5"/>
        <n v="140.69999999999999"/>
        <n v="147.5"/>
        <n v="136.9"/>
        <n v="141.9"/>
        <n v="150.19999999999999"/>
        <n v="140.5"/>
        <n v="145.1"/>
        <n v="151.30000000000001"/>
        <n v="141.69999999999999"/>
        <n v="146.19999999999999"/>
        <n v="151.69999999999999"/>
        <n v="142.1"/>
        <n v="146.6"/>
        <n v="153.19999999999999"/>
        <n v="145"/>
        <n v="148.9"/>
        <n v="154.19999999999999"/>
        <n v="150.69999999999999"/>
        <n v="157.1"/>
        <n v="149.5"/>
        <n v="153.1"/>
        <n v="157.69999999999999"/>
        <n v="150.4"/>
        <n v="154"/>
        <n v="157.80000000000001"/>
        <n v="150.5"/>
        <n v="159.5"/>
        <n v="152.19999999999999"/>
        <n v="155.69999999999999"/>
        <n v="158.9"/>
        <n v="151.19999999999999"/>
        <n v="154.80000000000001"/>
        <n v="160.1"/>
        <n v="151.80000000000001"/>
        <n v="160.80000000000001"/>
        <n v="152.69999999999999"/>
        <n v="156.5"/>
        <n v="161.19999999999999"/>
        <n v="156.9"/>
        <n v="162"/>
        <n v="157.9"/>
        <n v="166.2"/>
        <n v="159.30000000000001"/>
        <n v="162.6"/>
        <n v="167.1"/>
        <n v="159.4"/>
        <n v="163"/>
        <n v="165.5"/>
        <n v="157.19999999999999"/>
        <n v="161.1"/>
        <n v="166.3"/>
        <n v="157.4"/>
        <n v="161.6"/>
        <n v="166.6"/>
        <n v="161.9"/>
        <n v="166.9"/>
        <n v="158.19999999999999"/>
        <n v="162.30000000000001"/>
        <n v="167.4"/>
        <n v="158.80000000000001"/>
        <n v="162.9"/>
        <n v="167.5"/>
        <n v="167.8"/>
        <n v="163.4"/>
        <n v="168.2"/>
        <n v="163.6"/>
        <n v="169"/>
        <n v="159.80000000000001"/>
        <n v="164.2"/>
        <n v="169.4"/>
        <n v="164.5"/>
        <n v="169.7"/>
        <n v="160.4"/>
        <n v="164.8"/>
        <m/>
      </sharedItems>
    </cacheField>
    <cacheField name="Recreation and amusement" numFmtId="0">
      <sharedItems containsString="0" containsBlank="1" containsNumber="1" minValue="102.9" maxValue="173.8" count="304">
        <n v="103.4"/>
        <n v="102.9"/>
        <n v="103.1"/>
        <n v="104"/>
        <n v="103.3"/>
        <n v="103.6"/>
        <n v="103.5"/>
        <n v="103.7"/>
        <n v="104.5"/>
        <n v="104.2"/>
        <n v="105"/>
        <n v="104.6"/>
        <n v="104.8"/>
        <n v="105.6"/>
        <n v="105.2"/>
        <n v="105.4"/>
        <n v="106.4"/>
        <n v="105.9"/>
        <n v="106.1"/>
        <n v="106.8"/>
        <n v="106.5"/>
        <n v="106.6"/>
        <n v="107.7"/>
        <n v="107.4"/>
        <n v="107.5"/>
        <n v="108.3"/>
        <n v="108"/>
        <n v="108.1"/>
        <n v="108.7"/>
        <n v="108.5"/>
        <n v="108.6"/>
        <n v="109.2"/>
        <n v="108.9"/>
        <n v="109"/>
        <n v="109.6"/>
        <n v="109.8"/>
        <n v="109.7"/>
        <n v="109.9"/>
        <n v="110.3"/>
        <n v="110.1"/>
        <n v="110.2"/>
        <n v="110.9"/>
        <n v="110.6"/>
        <n v="110.5"/>
        <n v="111.2"/>
        <n v="111.5"/>
        <n v="111.4"/>
        <n v="111.8"/>
        <n v="111.6"/>
        <n v="112.4"/>
        <n v="112.1"/>
        <n v="112.2"/>
        <n v="112.9"/>
        <n v="112.6"/>
        <n v="113.4"/>
        <n v="113.1"/>
        <n v="113"/>
        <n v="113.6"/>
        <n v="113.3"/>
        <n v="114"/>
        <n v="113.7"/>
        <n v="114.3"/>
        <n v="113.9"/>
        <n v="114.6"/>
        <n v="114.8"/>
        <n v="114.9"/>
        <n v="115.5"/>
        <n v="115.4"/>
        <n v="116.2"/>
        <n v="115.6"/>
        <n v="115.9"/>
        <n v="116.7"/>
        <n v="116"/>
        <n v="116.3"/>
        <n v="117.9"/>
        <n v="116.9"/>
        <n v="118"/>
        <n v="116.6"/>
        <n v="117.2"/>
        <n v="118.5"/>
        <n v="117.8"/>
        <n v="119.6"/>
        <n v="117.3"/>
        <n v="118.3"/>
        <n v="120.1"/>
        <n v="117.7"/>
        <n v="118.7"/>
        <n v="120.9"/>
        <n v="119.2"/>
        <n v="121.6"/>
        <n v="118.1"/>
        <n v="121.4"/>
        <n v="119.8"/>
        <n v="122.3"/>
        <n v="118.8"/>
        <n v="120.3"/>
        <n v="122.5"/>
        <n v="119.1"/>
        <n v="120.6"/>
        <n v="123.2"/>
        <n v="119.5"/>
        <n v="121.1"/>
        <n v="123.6"/>
        <n v="121.5"/>
        <n v="124.1"/>
        <n v="119.9"/>
        <n v="121.7"/>
        <n v="125.2"/>
        <n v="122.4"/>
        <n v="125.5"/>
        <n v="122.7"/>
        <n v="125.7"/>
        <n v="120.8"/>
        <n v="122.9"/>
        <n v="126.5"/>
        <n v="121.2"/>
        <n v="123.5"/>
        <n v="126.9"/>
        <n v="124"/>
        <n v="127.3"/>
        <n v="121.8"/>
        <n v="124.2"/>
        <n v="127"/>
        <n v="122"/>
        <n v="127.7"/>
        <n v="122.2"/>
        <n v="124.6"/>
        <n v="128.30000000000001"/>
        <n v="125"/>
        <n v="122.6"/>
        <n v="125.1"/>
        <n v="129.4"/>
        <n v="122.8"/>
        <n v="129.80000000000001"/>
        <n v="125.9"/>
        <n v="130.6"/>
        <n v="126.6"/>
        <n v="131.5"/>
        <n v="132.30000000000001"/>
        <n v="124.5"/>
        <n v="127.9"/>
        <n v="133"/>
        <n v="124.8"/>
        <n v="128.4"/>
        <n v="133.69999999999999"/>
        <n v="128.9"/>
        <n v="133.4"/>
        <n v="125.6"/>
        <n v="129"/>
        <n v="134.30000000000001"/>
        <n v="126.2"/>
        <n v="129.69999999999999"/>
        <n v="129.9"/>
        <n v="135.1"/>
        <n v="126.8"/>
        <n v="130.4"/>
        <n v="136"/>
        <n v="127.6"/>
        <n v="131.30000000000001"/>
        <n v="136.80000000000001"/>
        <n v="128"/>
        <n v="131.80000000000001"/>
        <n v="137.80000000000001"/>
        <n v="128.5"/>
        <n v="132.6"/>
        <n v="138.4"/>
        <n v="133.1"/>
        <n v="138.6"/>
        <n v="133.6"/>
        <n v="140"/>
        <n v="130.19999999999999"/>
        <n v="134.5"/>
        <n v="140.1"/>
        <n v="130.69999999999999"/>
        <n v="136.5"/>
        <n v="143.1"/>
        <n v="143.30000000000001"/>
        <n v="131.69999999999999"/>
        <n v="142.9"/>
        <n v="131.9"/>
        <n v="136.69999999999999"/>
        <n v="143.4"/>
        <n v="132.19999999999999"/>
        <n v="137.1"/>
        <n v="143.80000000000001"/>
        <n v="137.69999999999999"/>
        <n v="145.9"/>
        <n v="134"/>
        <n v="139.19999999999999"/>
        <n v="146.4"/>
        <n v="139.6"/>
        <n v="147.5"/>
        <n v="135"/>
        <n v="140.5"/>
        <n v="148"/>
        <n v="135.4"/>
        <n v="140.9"/>
        <n v="148.30000000000001"/>
        <n v="135.9"/>
        <n v="141.30000000000001"/>
        <n v="148.69999999999999"/>
        <n v="136.19999999999999"/>
        <n v="141.69999999999999"/>
        <n v="149.1"/>
        <n v="142.1"/>
        <n v="149.5"/>
        <n v="142.30000000000001"/>
        <n v="150.1"/>
        <n v="137.19999999999999"/>
        <n v="142.80000000000001"/>
        <n v="150.4"/>
        <n v="143.19999999999999"/>
        <n v="151.19999999999999"/>
        <n v="137.9"/>
        <n v="143.69999999999999"/>
        <n v="133.88999999999999"/>
        <n v="153.19999999999999"/>
        <n v="144.5"/>
        <n v="152.19999999999999"/>
        <n v="141.19999999999999"/>
        <n v="146"/>
        <n v="152.80000000000001"/>
        <n v="141.80000000000001"/>
        <n v="146.6"/>
        <n v="152.4"/>
        <n v="142"/>
        <n v="146.5"/>
        <n v="153.6"/>
        <n v="144.4"/>
        <n v="148.4"/>
        <n v="153.9"/>
        <n v="144.30000000000001"/>
        <n v="148.5"/>
        <n v="155.1"/>
        <n v="145.4"/>
        <n v="149.6"/>
        <n v="157"/>
        <n v="147.30000000000001"/>
        <n v="151.5"/>
        <n v="157.80000000000001"/>
        <n v="148.6"/>
        <n v="152.6"/>
        <n v="158.6"/>
        <n v="160"/>
        <n v="155.80000000000001"/>
        <n v="160.4"/>
        <n v="150.69999999999999"/>
        <n v="154.9"/>
        <n v="160.69999999999999"/>
        <n v="155.30000000000001"/>
        <n v="161.1"/>
        <n v="153.69999999999999"/>
        <n v="157.6"/>
        <n v="162.69999999999999"/>
        <n v="157.69999999999999"/>
        <n v="163.19999999999999"/>
        <n v="163.80000000000001"/>
        <n v="156.69999999999999"/>
        <n v="159.80000000000001"/>
        <n v="164.5"/>
        <n v="160.6"/>
        <n v="164.9"/>
        <n v="158.4"/>
        <n v="161.19999999999999"/>
        <n v="165.5"/>
        <n v="159.5"/>
        <n v="162.1"/>
        <n v="166.6"/>
        <n v="160.80000000000001"/>
        <n v="163.30000000000001"/>
        <n v="167.2"/>
        <n v="162.19999999999999"/>
        <n v="164.4"/>
        <n v="167.6"/>
        <n v="165.1"/>
        <n v="168"/>
        <n v="164.1"/>
        <n v="165.8"/>
        <n v="168.6"/>
        <n v="164.6"/>
        <n v="166.3"/>
        <n v="169.3"/>
        <n v="166.9"/>
        <n v="170"/>
        <n v="170.6"/>
        <n v="168.2"/>
        <n v="170.8"/>
        <n v="166.7"/>
        <n v="168.5"/>
        <n v="171.2"/>
        <n v="167.1"/>
        <n v="168.9"/>
        <n v="171.8"/>
        <n v="167.8"/>
        <n v="169.5"/>
        <n v="172.8"/>
        <n v="168.4"/>
        <n v="170.3"/>
        <n v="173.2"/>
        <n v="168.8"/>
        <n v="170.7"/>
        <n v="173.8"/>
        <n v="169.2"/>
        <m/>
      </sharedItems>
    </cacheField>
    <cacheField name="Education" numFmtId="0">
      <sharedItems containsString="0" containsBlank="1" containsNumber="1" minValue="103.5" maxValue="180.3" count="293">
        <n v="103.8"/>
        <n v="103.5"/>
        <n v="103.6"/>
        <n v="104.1"/>
        <n v="103.7"/>
        <n v="103.9"/>
        <n v="104.3"/>
        <n v="104"/>
        <n v="104.8"/>
        <n v="105.2"/>
        <n v="105"/>
        <n v="105.5"/>
        <n v="105.7"/>
        <n v="105.6"/>
        <n v="106.5"/>
        <n v="108.1"/>
        <n v="107.4"/>
        <n v="107.8"/>
        <n v="110.1"/>
        <n v="109.1"/>
        <n v="108.7"/>
        <n v="110.8"/>
        <n v="109.9"/>
        <n v="109.8"/>
        <n v="111.2"/>
        <n v="110.6"/>
        <n v="110.2"/>
        <n v="111.3"/>
        <n v="111"/>
        <n v="111.6"/>
        <n v="111.4"/>
        <n v="111.5"/>
        <n v="111.8"/>
        <n v="112"/>
        <n v="112.4"/>
        <n v="113"/>
        <n v="112.5"/>
        <n v="112.7"/>
        <n v="113.1"/>
        <n v="112.9"/>
        <n v="114.3"/>
        <n v="115.1"/>
        <n v="114.8"/>
        <n v="115.5"/>
        <n v="117.8"/>
        <n v="116.8"/>
        <n v="116.2"/>
        <n v="119.2"/>
        <n v="118"/>
        <n v="116.6"/>
        <n v="120"/>
        <n v="118.6"/>
        <n v="116.9"/>
        <n v="120.2"/>
        <n v="118.8"/>
        <n v="117.2"/>
        <n v="120.3"/>
        <n v="119"/>
        <n v="117.7"/>
        <n v="120.7"/>
        <n v="119.5"/>
        <n v="118.2"/>
        <n v="120.8"/>
        <n v="119.7"/>
        <n v="118.7"/>
        <n v="120.4"/>
        <n v="119.4"/>
        <n v="120.6"/>
        <n v="120.1"/>
        <n v="119.9"/>
        <n v="121.7"/>
        <n v="121"/>
        <n v="120.5"/>
        <n v="122"/>
        <n v="121.4"/>
        <n v="123.8"/>
        <n v="123.1"/>
        <n v="122.9"/>
        <n v="125.4"/>
        <n v="124.4"/>
        <n v="123.6"/>
        <n v="126.2"/>
        <n v="125.1"/>
        <n v="124.5"/>
        <n v="126.5"/>
        <n v="125.7"/>
        <n v="125.9"/>
        <n v="125.8"/>
        <n v="126.6"/>
        <n v="126.3"/>
        <n v="125.6"/>
        <n v="126.4"/>
        <n v="127.1"/>
        <n v="127.5"/>
        <n v="126.9"/>
        <n v="127.9"/>
        <n v="127.6"/>
        <n v="127.7"/>
        <n v="129.1"/>
        <n v="128"/>
        <n v="128.5"/>
        <n v="130.19999999999999"/>
        <n v="129.30000000000001"/>
        <n v="129.69999999999999"/>
        <n v="130.80000000000001"/>
        <n v="131.9"/>
        <n v="131.5"/>
        <n v="131.69999999999999"/>
        <n v="132.19999999999999"/>
        <n v="131.6"/>
        <n v="131.80000000000001"/>
        <n v="133"/>
        <n v="132.4"/>
        <n v="133.69999999999999"/>
        <n v="132.1"/>
        <n v="132.80000000000001"/>
        <n v="134.19999999999999"/>
        <n v="132.30000000000001"/>
        <n v="133.1"/>
        <n v="134.6"/>
        <n v="133.30000000000001"/>
        <n v="134.9"/>
        <n v="133.4"/>
        <n v="135.19999999999999"/>
        <n v="133.80000000000001"/>
        <n v="135.69999999999999"/>
        <n v="133.6"/>
        <n v="134.5"/>
        <n v="136.30000000000001"/>
        <n v="134.80000000000001"/>
        <n v="136.9"/>
        <n v="134.30000000000001"/>
        <n v="135.4"/>
        <n v="138.6"/>
        <n v="135.5"/>
        <n v="136.80000000000001"/>
        <n v="140.19999999999999"/>
        <n v="137.6"/>
        <n v="139.6"/>
        <n v="135.9"/>
        <n v="137.4"/>
        <n v="140.1"/>
        <n v="137.9"/>
        <n v="141.5"/>
        <n v="136.6"/>
        <n v="141.1"/>
        <n v="136.69999999999999"/>
        <n v="138.5"/>
        <n v="141.6"/>
        <n v="137.1"/>
        <n v="139"/>
        <n v="137.19999999999999"/>
        <n v="142.69999999999999"/>
        <n v="137.80000000000001"/>
        <n v="139.80000000000001"/>
        <n v="143.69999999999999"/>
        <n v="139.69999999999999"/>
        <n v="141.4"/>
        <n v="144.4"/>
        <n v="140.4"/>
        <n v="142.1"/>
        <n v="145.1"/>
        <n v="141.19999999999999"/>
        <n v="142.80000000000001"/>
        <n v="145.80000000000001"/>
        <n v="144"/>
        <n v="144.69999999999999"/>
        <n v="146.9"/>
        <n v="145.30000000000001"/>
        <n v="146"/>
        <n v="147.6"/>
        <n v="145.19999999999999"/>
        <n v="146.19999999999999"/>
        <n v="148"/>
        <n v="145.5"/>
        <n v="147.80000000000001"/>
        <n v="150.19999999999999"/>
        <n v="146.1"/>
        <n v="155.1"/>
        <n v="146.5"/>
        <n v="150.1"/>
        <n v="155.19999999999999"/>
        <n v="146.6"/>
        <n v="155.5"/>
        <n v="150.30000000000001"/>
        <n v="146.69999999999999"/>
        <n v="156.69999999999999"/>
        <n v="151.6"/>
        <n v="157.69999999999999"/>
        <n v="148.9"/>
        <n v="152.5"/>
        <n v="159.1"/>
        <n v="150.4"/>
        <n v="154"/>
        <n v="159.69999999999999"/>
        <n v="151.5"/>
        <n v="154.9"/>
        <n v="160.19999999999999"/>
        <n v="160.69999999999999"/>
        <n v="151.69999999999999"/>
        <n v="155.4"/>
        <n v="160.80000000000001"/>
        <n v="151.80000000000001"/>
        <n v="161.1"/>
        <n v="151.9"/>
        <n v="155.69999999999999"/>
        <n v="161.69999999999999"/>
        <n v="152.1"/>
        <n v="156.1"/>
        <n v="161.9"/>
        <n v="152.19999999999999"/>
        <n v="156.19999999999999"/>
        <n v="161.19999999999999"/>
        <n v="141.13"/>
        <n v="161.80000000000001"/>
        <n v="156.4"/>
        <n v="162.69999999999999"/>
        <n v="158.5"/>
        <n v="157.5"/>
        <n v="162.5"/>
        <n v="161.6"/>
        <n v="158.6"/>
        <n v="162.9"/>
        <n v="156.9"/>
        <n v="159.4"/>
        <n v="163.5"/>
        <n v="159.19999999999999"/>
        <n v="163.6"/>
        <n v="156.6"/>
        <n v="159.5"/>
        <n v="163.80000000000001"/>
        <n v="157.6"/>
        <n v="164.1"/>
        <n v="160.30000000000001"/>
        <n v="167.6"/>
        <n v="166.8"/>
        <n v="158.1"/>
        <n v="167.2"/>
        <n v="163.19999999999999"/>
        <n v="167.5"/>
        <n v="160.4"/>
        <n v="168.5"/>
        <n v="163.69999999999999"/>
        <n v="169"/>
        <n v="163.9"/>
        <n v="169.3"/>
        <n v="164.3"/>
        <n v="169.7"/>
        <n v="160.6"/>
        <n v="164.4"/>
        <n v="169.9"/>
        <n v="161"/>
        <n v="164.7"/>
        <n v="170.3"/>
        <n v="162"/>
        <n v="165.4"/>
        <n v="170.6"/>
        <n v="166"/>
        <n v="170.9"/>
        <n v="164"/>
        <n v="166.9"/>
        <n v="171.8"/>
        <n v="165.2"/>
        <n v="167.9"/>
        <n v="172.6"/>
        <n v="166.5"/>
        <n v="174.7"/>
        <n v="169.1"/>
        <n v="171.4"/>
        <n v="175.7"/>
        <n v="172.3"/>
        <n v="176.2"/>
        <n v="173.1"/>
        <n v="176.5"/>
        <n v="171.2"/>
        <n v="173.4"/>
        <n v="176.9"/>
        <n v="171.5"/>
        <n v="173.7"/>
        <n v="177.3"/>
        <n v="174.1"/>
        <n v="177.8"/>
        <n v="174.3"/>
        <n v="178.5"/>
        <n v="172.5"/>
        <n v="175"/>
        <n v="179.4"/>
        <n v="174.2"/>
        <n v="176.4"/>
        <n v="180.3"/>
        <n v="174.8"/>
        <n v="177.1"/>
        <m/>
      </sharedItems>
    </cacheField>
    <cacheField name="Perso133.35l care and effects" numFmtId="0">
      <sharedItems containsString="0" containsBlank="1" containsNumber="1" minValue="102.1" maxValue="185.6"/>
    </cacheField>
    <cacheField name="Miscellaneous" numFmtId="0">
      <sharedItems containsString="0" containsBlank="1" containsNumber="1" minValue="103.7" maxValue="179.5"/>
    </cacheField>
    <cacheField name="General index" numFmtId="0">
      <sharedItems containsString="0" containsBlank="1" containsNumber="1" minValue="104" maxValue="179.8"/>
    </cacheField>
    <cacheField name="Mon_Year" numFmtId="0">
      <sharedItems containsBlank="1" count="250">
        <s v="2013-01"/>
        <s v="2013-02"/>
        <s v="2013-03"/>
        <s v="2013-04"/>
        <s v="2013-05"/>
        <s v="2013-06"/>
        <s v="2013-07"/>
        <s v="2013-08"/>
        <s v="2013-09"/>
        <s v="2013-10"/>
        <s v="2013-11"/>
        <s v="2013-12"/>
        <s v="2014-01"/>
        <s v="2014-02"/>
        <s v="2014-03"/>
        <s v="Marcrh 2014"/>
        <s v="2014-04"/>
        <s v="2014-05"/>
        <s v="2014-06"/>
        <s v="2014-07"/>
        <s v="2014-08"/>
        <s v="2014-09"/>
        <s v="2014-10"/>
        <s v="2014-11"/>
        <s v="2014-12"/>
        <s v="2015-01"/>
        <s v="2015-02"/>
        <s v="2015-03"/>
        <s v="2015-04"/>
        <s v="2015-05"/>
        <s v="2015-06"/>
        <s v="2015-07"/>
        <s v="2015-08"/>
        <s v="2015-09"/>
        <s v="2015-10"/>
        <s v="2015-11"/>
        <s v="2015-12"/>
        <s v="2016-01"/>
        <s v="2016-02"/>
        <s v="2016-03"/>
        <s v="2016-04"/>
        <s v="2016-05"/>
        <s v="2016-06"/>
        <s v="2016-07"/>
        <s v="2016-08"/>
        <s v="2016-09"/>
        <s v="2016-10"/>
        <s v="2016-11"/>
        <s v="2016-12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  <s v="2018-09"/>
        <s v="2018-10"/>
        <s v="2018-11"/>
        <s v="2018-12"/>
        <s v="2019-01"/>
        <s v="2019-02"/>
        <s v="2019-03"/>
        <s v="2019-05"/>
        <s v="2019-06"/>
        <s v="2019-07"/>
        <s v="2019-08"/>
        <s v="2019-09"/>
        <s v="2019-10"/>
        <s v="2019-11"/>
        <s v="2019-12"/>
        <s v="2020-01"/>
        <s v="2020-02"/>
        <s v="2020-03"/>
        <s v="2020-04"/>
        <s v="2020-05"/>
        <s v="2020-06"/>
        <s v="2020-07"/>
        <s v="2020-08"/>
        <s v="2020-09"/>
        <s v="2020-10"/>
        <s v="2020-11"/>
        <s v="2020-12"/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m/>
        <s v="January-2013" u="1"/>
        <s v="February-2013" u="1"/>
        <s v="March-2013" u="1"/>
        <s v="April-2013" u="1"/>
        <s v="May-2013" u="1"/>
        <s v="June-2013" u="1"/>
        <s v="July-2013" u="1"/>
        <s v="August-2013" u="1"/>
        <s v="September-2013" u="1"/>
        <s v="October-2013" u="1"/>
        <s v="November-2013" u="1"/>
        <s v="December-2013" u="1"/>
        <s v="January-2014" u="1"/>
        <s v="February-2014" u="1"/>
        <s v="March-2014" u="1"/>
        <s v="April-2014" u="1"/>
        <s v="May-2014" u="1"/>
        <s v="June-2014" u="1"/>
        <s v="July-2014" u="1"/>
        <s v="August-2014" u="1"/>
        <s v="September-2014" u="1"/>
        <s v="October-2014" u="1"/>
        <s v="November-2014" u="1"/>
        <s v="December-2014" u="1"/>
        <s v="January-2015" u="1"/>
        <s v="February-2015" u="1"/>
        <s v="March-2015" u="1"/>
        <s v="April-2015" u="1"/>
        <s v="May-2015" u="1"/>
        <s v="June-2015" u="1"/>
        <s v="July-2015" u="1"/>
        <s v="August-2015" u="1"/>
        <s v="September-2015" u="1"/>
        <s v="October-2015" u="1"/>
        <s v="November-2015" u="1"/>
        <s v="December-2015" u="1"/>
        <s v="January-2016" u="1"/>
        <s v="February-2016" u="1"/>
        <s v="March-2016" u="1"/>
        <s v="April-2016" u="1"/>
        <s v="May-2016" u="1"/>
        <s v="June-2016" u="1"/>
        <s v="July-2016" u="1"/>
        <s v="August-2016" u="1"/>
        <s v="September-2016" u="1"/>
        <s v="October-2016" u="1"/>
        <s v="November-2016" u="1"/>
        <s v="December-2016" u="1"/>
        <s v="January-2017" u="1"/>
        <s v="February-2017" u="1"/>
        <s v="March-2017" u="1"/>
        <s v="April-2017" u="1"/>
        <s v="May-2017" u="1"/>
        <s v="June-2017" u="1"/>
        <s v="July-2017" u="1"/>
        <s v="August-2017" u="1"/>
        <s v="September-2017" u="1"/>
        <s v="October-2017" u="1"/>
        <s v="November-2017" u="1"/>
        <s v="December-2017" u="1"/>
        <s v="January-2018" u="1"/>
        <s v="February-2018" u="1"/>
        <s v="March-2018" u="1"/>
        <s v="April-2018" u="1"/>
        <s v="May-2018" u="1"/>
        <s v="June-2018" u="1"/>
        <s v="July-2018" u="1"/>
        <s v="August-2018" u="1"/>
        <s v="September-2018" u="1"/>
        <s v="October-2018" u="1"/>
        <s v="November-2018" u="1"/>
        <s v="December-2018" u="1"/>
        <s v="January-2019" u="1"/>
        <s v="February-2019" u="1"/>
        <s v="March-2019" u="1"/>
        <s v="May-2019" u="1"/>
        <s v="June-2019" u="1"/>
        <s v="July-2019" u="1"/>
        <s v="August-2019" u="1"/>
        <s v="September-2019" u="1"/>
        <s v="October-2019" u="1"/>
        <s v="November-2019" u="1"/>
        <s v="December-2019" u="1"/>
        <s v="January-2020" u="1"/>
        <s v="February-2020" u="1"/>
        <s v="March-2020" u="1"/>
        <s v="April-2020" u="1"/>
        <s v="May-2020" u="1"/>
        <s v="June-2020" u="1"/>
        <s v="July-2020" u="1"/>
        <s v="August-2020" u="1"/>
        <s v="September-2020" u="1"/>
        <s v="October-2020" u="1"/>
        <s v="November-2020" u="1"/>
        <s v="December-2020" u="1"/>
        <s v="January-2021" u="1"/>
        <s v="February-2021" u="1"/>
        <s v="March-2021" u="1"/>
        <s v="April-2021" u="1"/>
        <s v="May-2021" u="1"/>
        <s v="June-2021" u="1"/>
        <s v="July-2021" u="1"/>
        <s v="August-2021" u="1"/>
        <s v="September-2021" u="1"/>
        <s v="October-2021" u="1"/>
        <s v="November-2021" u="1"/>
        <s v="December-2021" u="1"/>
        <s v="January-2022" u="1"/>
        <s v="February-2022" u="1"/>
        <s v="March-2022" u="1"/>
        <s v="April-2022" u="1"/>
        <s v="May-2022" u="1"/>
        <s v="June-2022" u="1"/>
        <s v="July-2022" u="1"/>
        <s v="August-2022" u="1"/>
        <s v="September-2022" u="1"/>
        <s v="October-2022" u="1"/>
        <s v="November-2022" u="1"/>
        <s v="December-2022" u="1"/>
        <s v="January-2023" u="1"/>
        <s v="February-2023" u="1"/>
        <s v="March-2023" u="1"/>
        <s v="April-2023" u="1"/>
        <s v="May-2023" u="1"/>
      </sharedItems>
    </cacheField>
  </cacheFields>
  <extLst>
    <ext xmlns:x14="http://schemas.microsoft.com/office/spreadsheetml/2009/9/main" uri="{725AE2AE-9491-48be-B2B4-4EB974FC3084}">
      <x14:pivotCacheDefinition pivotCacheId="10450062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x v="0"/>
    <x v="0"/>
    <x v="0"/>
    <x v="0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n v="139.26"/>
    <n v="105.5"/>
    <n v="104.8"/>
    <n v="104"/>
    <n v="103.3"/>
    <n v="103.4"/>
    <n v="103.8"/>
    <n v="104.7"/>
    <n v="104"/>
    <n v="105.1"/>
  </r>
  <r>
    <x v="1"/>
    <x v="0"/>
    <x v="0"/>
    <x v="1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</r>
  <r>
    <x v="2"/>
    <x v="0"/>
    <x v="0"/>
    <x v="2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</r>
  <r>
    <x v="0"/>
    <x v="0"/>
    <x v="1"/>
    <x v="3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n v="139.26"/>
    <n v="106.2"/>
    <n v="105.2"/>
    <n v="104.4"/>
    <n v="103.9"/>
    <n v="104"/>
    <n v="104.1"/>
    <n v="104.6"/>
    <n v="104.4"/>
    <n v="105.8"/>
  </r>
  <r>
    <x v="1"/>
    <x v="0"/>
    <x v="1"/>
    <x v="4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</r>
  <r>
    <x v="2"/>
    <x v="0"/>
    <x v="1"/>
    <x v="5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</r>
  <r>
    <x v="0"/>
    <x v="0"/>
    <x v="2"/>
    <x v="6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n v="139.26"/>
    <n v="106.1"/>
    <n v="105.6"/>
    <n v="104.7"/>
    <n v="104.6"/>
    <n v="104"/>
    <n v="104.3"/>
    <n v="104.3"/>
    <n v="104.6"/>
    <n v="106"/>
  </r>
  <r>
    <x v="1"/>
    <x v="0"/>
    <x v="2"/>
    <x v="7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</r>
  <r>
    <x v="2"/>
    <x v="0"/>
    <x v="2"/>
    <x v="8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</r>
  <r>
    <x v="0"/>
    <x v="0"/>
    <x v="3"/>
    <x v="6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n v="139.26"/>
    <n v="106.5"/>
    <n v="106.1"/>
    <n v="105.1"/>
    <n v="104.4"/>
    <n v="104.5"/>
    <n v="104.8"/>
    <n v="102.7"/>
    <n v="104.6"/>
    <n v="106.4"/>
  </r>
  <r>
    <x v="1"/>
    <x v="0"/>
    <x v="3"/>
    <x v="9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</r>
  <r>
    <x v="2"/>
    <x v="0"/>
    <x v="3"/>
    <x v="10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</r>
  <r>
    <x v="0"/>
    <x v="0"/>
    <x v="4"/>
    <x v="11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n v="139.26"/>
    <n v="107.5"/>
    <n v="106.8"/>
    <n v="105.7"/>
    <n v="104.1"/>
    <n v="105"/>
    <n v="105.5"/>
    <n v="102.1"/>
    <n v="104.8"/>
    <n v="107.2"/>
  </r>
  <r>
    <x v="1"/>
    <x v="0"/>
    <x v="4"/>
    <x v="12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</r>
  <r>
    <x v="2"/>
    <x v="0"/>
    <x v="4"/>
    <x v="1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</r>
  <r>
    <x v="0"/>
    <x v="0"/>
    <x v="5"/>
    <x v="1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n v="139.26"/>
    <n v="108.5"/>
    <n v="107.5"/>
    <n v="106.3"/>
    <n v="105"/>
    <n v="105.6"/>
    <n v="106.5"/>
    <n v="102.5"/>
    <n v="105.5"/>
    <n v="108.9"/>
  </r>
  <r>
    <x v="1"/>
    <x v="0"/>
    <x v="5"/>
    <x v="14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</r>
  <r>
    <x v="2"/>
    <x v="0"/>
    <x v="5"/>
    <x v="15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</r>
  <r>
    <x v="0"/>
    <x v="0"/>
    <x v="6"/>
    <x v="16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n v="139.26"/>
    <n v="109.5"/>
    <n v="108.3"/>
    <n v="106.9"/>
    <n v="106.8"/>
    <n v="106.4"/>
    <n v="107.8"/>
    <n v="102.5"/>
    <n v="106.5"/>
    <n v="110.7"/>
  </r>
  <r>
    <x v="1"/>
    <x v="0"/>
    <x v="6"/>
    <x v="17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</r>
  <r>
    <x v="2"/>
    <x v="0"/>
    <x v="6"/>
    <x v="1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</r>
  <r>
    <x v="0"/>
    <x v="0"/>
    <x v="7"/>
    <x v="19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n v="139.26"/>
    <n v="109.9"/>
    <n v="108.7"/>
    <n v="107.5"/>
    <n v="107.8"/>
    <n v="106.8"/>
    <n v="108.7"/>
    <n v="105"/>
    <n v="107.5"/>
    <n v="112.1"/>
  </r>
  <r>
    <x v="1"/>
    <x v="0"/>
    <x v="7"/>
    <x v="20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</r>
  <r>
    <x v="2"/>
    <x v="0"/>
    <x v="7"/>
    <x v="21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</r>
  <r>
    <x v="0"/>
    <x v="0"/>
    <x v="8"/>
    <x v="12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n v="139.26"/>
    <n v="111.1"/>
    <n v="109.6"/>
    <n v="108.3"/>
    <n v="109.3"/>
    <n v="107.7"/>
    <n v="109.8"/>
    <n v="106.7"/>
    <n v="108.7"/>
    <n v="114.2"/>
  </r>
  <r>
    <x v="1"/>
    <x v="0"/>
    <x v="8"/>
    <x v="22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</r>
  <r>
    <x v="2"/>
    <x v="0"/>
    <x v="8"/>
    <x v="23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</r>
  <r>
    <x v="0"/>
    <x v="0"/>
    <x v="9"/>
    <x v="24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n v="139.26"/>
    <n v="111.6"/>
    <n v="110.4"/>
    <n v="108.9"/>
    <n v="109.3"/>
    <n v="108.3"/>
    <n v="110.2"/>
    <n v="107.5"/>
    <n v="109.1"/>
    <n v="115.5"/>
  </r>
  <r>
    <x v="1"/>
    <x v="0"/>
    <x v="9"/>
    <x v="25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</r>
  <r>
    <x v="2"/>
    <x v="0"/>
    <x v="9"/>
    <x v="26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</r>
  <r>
    <x v="0"/>
    <x v="0"/>
    <x v="10"/>
    <x v="27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n v="139.26"/>
    <n v="112.6"/>
    <n v="111.3"/>
    <n v="109.7"/>
    <n v="109.6"/>
    <n v="108.7"/>
    <n v="111"/>
    <n v="108.2"/>
    <n v="109.8"/>
    <n v="117.4"/>
  </r>
  <r>
    <x v="1"/>
    <x v="0"/>
    <x v="11"/>
    <x v="2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</r>
  <r>
    <x v="2"/>
    <x v="0"/>
    <x v="11"/>
    <x v="29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</r>
  <r>
    <x v="0"/>
    <x v="0"/>
    <x v="12"/>
    <x v="30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n v="139.26"/>
    <n v="112.8"/>
    <n v="112.1"/>
    <n v="110.1"/>
    <n v="109.9"/>
    <n v="109.2"/>
    <n v="111.6"/>
    <n v="108.1"/>
    <n v="110.1"/>
    <n v="115.5"/>
  </r>
  <r>
    <x v="1"/>
    <x v="0"/>
    <x v="12"/>
    <x v="31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</r>
  <r>
    <x v="2"/>
    <x v="0"/>
    <x v="12"/>
    <x v="32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</r>
  <r>
    <x v="0"/>
    <x v="1"/>
    <x v="0"/>
    <x v="25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n v="139.26"/>
    <n v="113"/>
    <n v="112.6"/>
    <n v="110.6"/>
    <n v="110.5"/>
    <n v="109.6"/>
    <n v="111.8"/>
    <n v="108.3"/>
    <n v="110.6"/>
    <n v="114.2"/>
  </r>
  <r>
    <x v="1"/>
    <x v="1"/>
    <x v="0"/>
    <x v="33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</r>
  <r>
    <x v="2"/>
    <x v="1"/>
    <x v="0"/>
    <x v="34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</r>
  <r>
    <x v="0"/>
    <x v="1"/>
    <x v="1"/>
    <x v="35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n v="139.26"/>
    <n v="113.2"/>
    <n v="112.9"/>
    <n v="110.9"/>
    <n v="110.8"/>
    <n v="109.9"/>
    <n v="112"/>
    <n v="108.7"/>
    <n v="110.9"/>
    <n v="114"/>
  </r>
  <r>
    <x v="1"/>
    <x v="1"/>
    <x v="1"/>
    <x v="36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</r>
  <r>
    <x v="2"/>
    <x v="1"/>
    <x v="1"/>
    <x v="37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</r>
  <r>
    <x v="0"/>
    <x v="1"/>
    <x v="2"/>
    <x v="38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n v="139.26"/>
    <n v="113.4"/>
    <n v="113.4"/>
    <n v="111.4"/>
    <n v="111.2"/>
    <n v="110.2"/>
    <n v="112.4"/>
    <n v="108.9"/>
    <n v="111.3"/>
    <n v="114.6"/>
  </r>
  <r>
    <x v="1"/>
    <x v="1"/>
    <x v="2"/>
    <x v="39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</r>
  <r>
    <x v="2"/>
    <x v="1"/>
    <x v="13"/>
    <x v="40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</r>
  <r>
    <x v="0"/>
    <x v="1"/>
    <x v="3"/>
    <x v="37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n v="139.26"/>
    <n v="113.4"/>
    <n v="113.7"/>
    <n v="111.8"/>
    <n v="111.2"/>
    <n v="110.5"/>
    <n v="113"/>
    <n v="108.9"/>
    <n v="111.5"/>
    <n v="115.4"/>
  </r>
  <r>
    <x v="1"/>
    <x v="1"/>
    <x v="3"/>
    <x v="41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</r>
  <r>
    <x v="2"/>
    <x v="1"/>
    <x v="3"/>
    <x v="42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</r>
  <r>
    <x v="0"/>
    <x v="1"/>
    <x v="4"/>
    <x v="4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n v="139.26"/>
    <n v="113.4"/>
    <n v="114.1"/>
    <n v="112.1"/>
    <n v="111.4"/>
    <n v="110.9"/>
    <n v="113.1"/>
    <n v="108.9"/>
    <n v="111.8"/>
    <n v="116"/>
  </r>
  <r>
    <x v="1"/>
    <x v="1"/>
    <x v="4"/>
    <x v="44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</r>
  <r>
    <x v="2"/>
    <x v="1"/>
    <x v="4"/>
    <x v="45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</r>
  <r>
    <x v="0"/>
    <x v="1"/>
    <x v="5"/>
    <x v="40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n v="139.26"/>
    <n v="114.4"/>
    <n v="114.9"/>
    <n v="112.8"/>
    <n v="112.2"/>
    <n v="111.4"/>
    <n v="114.3"/>
    <n v="108"/>
    <n v="112.3"/>
    <n v="117"/>
  </r>
  <r>
    <x v="1"/>
    <x v="1"/>
    <x v="5"/>
    <x v="46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</r>
  <r>
    <x v="2"/>
    <x v="1"/>
    <x v="5"/>
    <x v="47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</r>
  <r>
    <x v="0"/>
    <x v="1"/>
    <x v="6"/>
    <x v="48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n v="139.26"/>
    <n v="115.3"/>
    <n v="115.4"/>
    <n v="113.4"/>
    <n v="113.2"/>
    <n v="111.8"/>
    <n v="115.5"/>
    <n v="108.8"/>
    <n v="113.1"/>
    <n v="119.5"/>
  </r>
  <r>
    <x v="1"/>
    <x v="1"/>
    <x v="6"/>
    <x v="49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</r>
  <r>
    <x v="2"/>
    <x v="1"/>
    <x v="6"/>
    <x v="50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</r>
  <r>
    <x v="0"/>
    <x v="1"/>
    <x v="7"/>
    <x v="51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n v="139.26"/>
    <n v="115.4"/>
    <n v="115.9"/>
    <n v="114"/>
    <n v="113.2"/>
    <n v="112.2"/>
    <n v="116.2"/>
    <n v="109.4"/>
    <n v="113.5"/>
    <n v="120.7"/>
  </r>
  <r>
    <x v="1"/>
    <x v="1"/>
    <x v="7"/>
    <x v="52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</r>
  <r>
    <x v="2"/>
    <x v="1"/>
    <x v="7"/>
    <x v="44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</r>
  <r>
    <x v="0"/>
    <x v="1"/>
    <x v="8"/>
    <x v="5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n v="139.26"/>
    <n v="115.8"/>
    <n v="116.7"/>
    <n v="114.5"/>
    <n v="112.8"/>
    <n v="112.6"/>
    <n v="116.6"/>
    <n v="109.1"/>
    <n v="113.7"/>
    <n v="120.9"/>
  </r>
  <r>
    <x v="1"/>
    <x v="1"/>
    <x v="8"/>
    <x v="54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</r>
  <r>
    <x v="2"/>
    <x v="1"/>
    <x v="8"/>
    <x v="55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</r>
  <r>
    <x v="0"/>
    <x v="1"/>
    <x v="9"/>
    <x v="5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n v="139.26"/>
    <n v="116.4"/>
    <n v="117.5"/>
    <n v="115.3"/>
    <n v="112.6"/>
    <n v="113"/>
    <n v="116.9"/>
    <n v="109.3"/>
    <n v="114"/>
    <n v="121"/>
  </r>
  <r>
    <x v="1"/>
    <x v="1"/>
    <x v="9"/>
    <x v="57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</r>
  <r>
    <x v="2"/>
    <x v="1"/>
    <x v="9"/>
    <x v="58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</r>
  <r>
    <x v="0"/>
    <x v="1"/>
    <x v="11"/>
    <x v="44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n v="139.26"/>
    <n v="117.3"/>
    <n v="118.1"/>
    <n v="115.9"/>
    <n v="112"/>
    <n v="113.3"/>
    <n v="117.2"/>
    <n v="108.8"/>
    <n v="114.1"/>
    <n v="121.1"/>
  </r>
  <r>
    <x v="1"/>
    <x v="1"/>
    <x v="11"/>
    <x v="59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</r>
  <r>
    <x v="2"/>
    <x v="1"/>
    <x v="11"/>
    <x v="60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</r>
  <r>
    <x v="0"/>
    <x v="1"/>
    <x v="12"/>
    <x v="50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n v="139.26"/>
    <n v="117.4"/>
    <n v="118.2"/>
    <n v="116.2"/>
    <n v="111.5"/>
    <n v="113.3"/>
    <n v="117.7"/>
    <n v="109.4"/>
    <n v="114.2"/>
    <n v="120.3"/>
  </r>
  <r>
    <x v="1"/>
    <x v="1"/>
    <x v="12"/>
    <x v="61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</r>
  <r>
    <x v="2"/>
    <x v="1"/>
    <x v="12"/>
    <x v="55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</r>
  <r>
    <x v="0"/>
    <x v="2"/>
    <x v="0"/>
    <x v="46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n v="139.26"/>
    <n v="118.4"/>
    <n v="118.9"/>
    <n v="116.6"/>
    <n v="111"/>
    <n v="114"/>
    <n v="118.2"/>
    <n v="110.2"/>
    <n v="114.5"/>
    <n v="120.3"/>
  </r>
  <r>
    <x v="1"/>
    <x v="2"/>
    <x v="0"/>
    <x v="61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</r>
  <r>
    <x v="2"/>
    <x v="2"/>
    <x v="0"/>
    <x v="62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</r>
  <r>
    <x v="0"/>
    <x v="2"/>
    <x v="1"/>
    <x v="62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n v="139.26"/>
    <n v="120"/>
    <n v="119.6"/>
    <n v="117.7"/>
    <n v="110.9"/>
    <n v="114.8"/>
    <n v="118.7"/>
    <n v="110.8"/>
    <n v="115"/>
    <n v="120.6"/>
  </r>
  <r>
    <x v="1"/>
    <x v="2"/>
    <x v="1"/>
    <x v="6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</r>
  <r>
    <x v="2"/>
    <x v="2"/>
    <x v="1"/>
    <x v="64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</r>
  <r>
    <x v="0"/>
    <x v="2"/>
    <x v="2"/>
    <x v="60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n v="139.26"/>
    <n v="120.6"/>
    <n v="120.2"/>
    <n v="118.2"/>
    <n v="111.6"/>
    <n v="115.5"/>
    <n v="119.4"/>
    <n v="110.8"/>
    <n v="115.5"/>
    <n v="121.1"/>
  </r>
  <r>
    <x v="1"/>
    <x v="2"/>
    <x v="2"/>
    <x v="61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</r>
  <r>
    <x v="2"/>
    <x v="2"/>
    <x v="2"/>
    <x v="6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</r>
  <r>
    <x v="0"/>
    <x v="2"/>
    <x v="3"/>
    <x v="60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n v="139.26"/>
    <n v="121.2"/>
    <n v="120.9"/>
    <n v="118.6"/>
    <n v="111.9"/>
    <n v="116.2"/>
    <n v="119.9"/>
    <n v="111.6"/>
    <n v="116"/>
    <n v="121.5"/>
  </r>
  <r>
    <x v="1"/>
    <x v="2"/>
    <x v="3"/>
    <x v="49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</r>
  <r>
    <x v="2"/>
    <x v="2"/>
    <x v="3"/>
    <x v="6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</r>
  <r>
    <x v="0"/>
    <x v="2"/>
    <x v="4"/>
    <x v="6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n v="139.26"/>
    <n v="121.9"/>
    <n v="121.5"/>
    <n v="119.4"/>
    <n v="113.3"/>
    <n v="116.7"/>
    <n v="120.5"/>
    <n v="112.3"/>
    <n v="116.9"/>
    <n v="122.4"/>
  </r>
  <r>
    <x v="1"/>
    <x v="2"/>
    <x v="4"/>
    <x v="49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</r>
  <r>
    <x v="2"/>
    <x v="2"/>
    <x v="4"/>
    <x v="6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</r>
  <r>
    <x v="0"/>
    <x v="2"/>
    <x v="5"/>
    <x v="67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n v="139.26"/>
    <n v="122.6"/>
    <n v="122.8"/>
    <n v="120.4"/>
    <n v="114.2"/>
    <n v="117.9"/>
    <n v="122"/>
    <n v="113"/>
    <n v="117.9"/>
    <n v="124.1"/>
  </r>
  <r>
    <x v="1"/>
    <x v="2"/>
    <x v="5"/>
    <x v="6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</r>
  <r>
    <x v="2"/>
    <x v="2"/>
    <x v="5"/>
    <x v="68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</r>
  <r>
    <x v="0"/>
    <x v="2"/>
    <x v="6"/>
    <x v="61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n v="139.26"/>
    <n v="123"/>
    <n v="123"/>
    <n v="120.8"/>
    <n v="114.1"/>
    <n v="118"/>
    <n v="122.9"/>
    <n v="112.7"/>
    <n v="118.1"/>
    <n v="124.7"/>
  </r>
  <r>
    <x v="1"/>
    <x v="2"/>
    <x v="6"/>
    <x v="58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</r>
  <r>
    <x v="2"/>
    <x v="2"/>
    <x v="6"/>
    <x v="64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</r>
  <r>
    <x v="0"/>
    <x v="2"/>
    <x v="7"/>
    <x v="69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n v="139.26"/>
    <n v="123.8"/>
    <n v="123.7"/>
    <n v="121.1"/>
    <n v="113.6"/>
    <n v="118.5"/>
    <n v="123.6"/>
    <n v="112.5"/>
    <n v="118.2"/>
    <n v="126.1"/>
  </r>
  <r>
    <x v="1"/>
    <x v="2"/>
    <x v="7"/>
    <x v="46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</r>
  <r>
    <x v="2"/>
    <x v="2"/>
    <x v="7"/>
    <x v="54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</r>
  <r>
    <x v="0"/>
    <x v="2"/>
    <x v="8"/>
    <x v="70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n v="139.26"/>
    <n v="123.7"/>
    <n v="124.5"/>
    <n v="121.4"/>
    <n v="113.8"/>
    <n v="119.6"/>
    <n v="124.5"/>
    <n v="113.7"/>
    <n v="118.8"/>
    <n v="127"/>
  </r>
  <r>
    <x v="1"/>
    <x v="2"/>
    <x v="8"/>
    <x v="62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</r>
  <r>
    <x v="2"/>
    <x v="2"/>
    <x v="8"/>
    <x v="57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</r>
  <r>
    <x v="0"/>
    <x v="2"/>
    <x v="9"/>
    <x v="71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n v="139.26"/>
    <n v="124.4"/>
    <n v="125.1"/>
    <n v="122"/>
    <n v="113.8"/>
    <n v="120.1"/>
    <n v="125.1"/>
    <n v="114.2"/>
    <n v="119.2"/>
    <n v="127.7"/>
  </r>
  <r>
    <x v="1"/>
    <x v="2"/>
    <x v="9"/>
    <x v="6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</r>
  <r>
    <x v="2"/>
    <x v="2"/>
    <x v="9"/>
    <x v="72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</r>
  <r>
    <x v="0"/>
    <x v="2"/>
    <x v="11"/>
    <x v="73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n v="139.26"/>
    <n v="125.6"/>
    <n v="125.6"/>
    <n v="122.6"/>
    <n v="114"/>
    <n v="120.9"/>
    <n v="125.8"/>
    <n v="114.2"/>
    <n v="119.6"/>
    <n v="128.30000000000001"/>
  </r>
  <r>
    <x v="1"/>
    <x v="2"/>
    <x v="11"/>
    <x v="61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</r>
  <r>
    <x v="2"/>
    <x v="2"/>
    <x v="11"/>
    <x v="7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</r>
  <r>
    <x v="0"/>
    <x v="2"/>
    <x v="12"/>
    <x v="75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n v="139.26"/>
    <n v="125.7"/>
    <n v="126"/>
    <n v="123.1"/>
    <n v="114"/>
    <n v="121.6"/>
    <n v="125.6"/>
    <n v="114.1"/>
    <n v="119.8"/>
    <n v="127.9"/>
  </r>
  <r>
    <x v="1"/>
    <x v="2"/>
    <x v="12"/>
    <x v="6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</r>
  <r>
    <x v="2"/>
    <x v="2"/>
    <x v="12"/>
    <x v="76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</r>
  <r>
    <x v="0"/>
    <x v="3"/>
    <x v="0"/>
    <x v="77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n v="139.26"/>
    <n v="126.2"/>
    <n v="126.6"/>
    <n v="123.7"/>
    <n v="113.6"/>
    <n v="121.4"/>
    <n v="126.2"/>
    <n v="114.9"/>
    <n v="120.1"/>
    <n v="128.1"/>
  </r>
  <r>
    <x v="1"/>
    <x v="3"/>
    <x v="0"/>
    <x v="69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</r>
  <r>
    <x v="2"/>
    <x v="3"/>
    <x v="0"/>
    <x v="73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</r>
  <r>
    <x v="0"/>
    <x v="3"/>
    <x v="1"/>
    <x v="78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n v="139.26"/>
    <n v="127.5"/>
    <n v="127.1"/>
    <n v="124.3"/>
    <n v="113.9"/>
    <n v="122.3"/>
    <n v="127.1"/>
    <n v="116.8"/>
    <n v="120.9"/>
    <n v="127.9"/>
  </r>
  <r>
    <x v="1"/>
    <x v="3"/>
    <x v="1"/>
    <x v="52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</r>
  <r>
    <x v="2"/>
    <x v="3"/>
    <x v="1"/>
    <x v="79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</r>
  <r>
    <x v="0"/>
    <x v="3"/>
    <x v="2"/>
    <x v="80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n v="139.26"/>
    <n v="127"/>
    <n v="127.7"/>
    <n v="124.8"/>
    <n v="113.6"/>
    <n v="122.5"/>
    <n v="127.5"/>
    <n v="117.4"/>
    <n v="121.1"/>
    <n v="128"/>
  </r>
  <r>
    <x v="1"/>
    <x v="3"/>
    <x v="2"/>
    <x v="52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</r>
  <r>
    <x v="2"/>
    <x v="3"/>
    <x v="2"/>
    <x v="81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</r>
  <r>
    <x v="0"/>
    <x v="3"/>
    <x v="3"/>
    <x v="82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n v="139.26"/>
    <n v="127"/>
    <n v="128"/>
    <n v="125.2"/>
    <n v="114.4"/>
    <n v="123.2"/>
    <n v="127.9"/>
    <n v="118.4"/>
    <n v="121.7"/>
    <n v="129"/>
  </r>
  <r>
    <x v="1"/>
    <x v="3"/>
    <x v="3"/>
    <x v="83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</r>
  <r>
    <x v="2"/>
    <x v="3"/>
    <x v="3"/>
    <x v="84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</r>
  <r>
    <x v="0"/>
    <x v="3"/>
    <x v="4"/>
    <x v="85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n v="139.26"/>
    <n v="127.4"/>
    <n v="128.5"/>
    <n v="125.8"/>
    <n v="115.1"/>
    <n v="123.6"/>
    <n v="129.1"/>
    <n v="119.7"/>
    <n v="122.5"/>
    <n v="130.30000000000001"/>
  </r>
  <r>
    <x v="1"/>
    <x v="3"/>
    <x v="4"/>
    <x v="72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</r>
  <r>
    <x v="2"/>
    <x v="3"/>
    <x v="4"/>
    <x v="77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</r>
  <r>
    <x v="0"/>
    <x v="3"/>
    <x v="5"/>
    <x v="8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n v="139.26"/>
    <n v="128"/>
    <n v="129.30000000000001"/>
    <n v="126.2"/>
    <n v="116.3"/>
    <n v="124.1"/>
    <n v="130.19999999999999"/>
    <n v="119.9"/>
    <n v="123.3"/>
    <n v="131.9"/>
  </r>
  <r>
    <x v="1"/>
    <x v="3"/>
    <x v="5"/>
    <x v="87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</r>
  <r>
    <x v="2"/>
    <x v="3"/>
    <x v="5"/>
    <x v="88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</r>
  <r>
    <x v="0"/>
    <x v="3"/>
    <x v="6"/>
    <x v="89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n v="139.26"/>
    <n v="128.19999999999999"/>
    <n v="130"/>
    <n v="126.7"/>
    <n v="116.4"/>
    <n v="125.2"/>
    <n v="130.80000000000001"/>
    <n v="120.9"/>
    <n v="123.8"/>
    <n v="133"/>
  </r>
  <r>
    <x v="1"/>
    <x v="3"/>
    <x v="6"/>
    <x v="77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</r>
  <r>
    <x v="2"/>
    <x v="3"/>
    <x v="6"/>
    <x v="90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</r>
  <r>
    <x v="0"/>
    <x v="3"/>
    <x v="7"/>
    <x v="9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n v="139.26"/>
    <n v="129.1"/>
    <n v="130.6"/>
    <n v="127"/>
    <n v="116"/>
    <n v="125.5"/>
    <n v="131.9"/>
    <n v="122"/>
    <n v="124.2"/>
    <n v="133.5"/>
  </r>
  <r>
    <x v="1"/>
    <x v="3"/>
    <x v="7"/>
    <x v="85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</r>
  <r>
    <x v="2"/>
    <x v="3"/>
    <x v="7"/>
    <x v="89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</r>
  <r>
    <x v="0"/>
    <x v="3"/>
    <x v="8"/>
    <x v="92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n v="139.26"/>
    <n v="129.69999999999999"/>
    <n v="131.1"/>
    <n v="127.8"/>
    <n v="117"/>
    <n v="125.7"/>
    <n v="132.19999999999999"/>
    <n v="122.8"/>
    <n v="124.9"/>
    <n v="133.4"/>
  </r>
  <r>
    <x v="1"/>
    <x v="3"/>
    <x v="8"/>
    <x v="93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</r>
  <r>
    <x v="2"/>
    <x v="3"/>
    <x v="8"/>
    <x v="94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</r>
  <r>
    <x v="0"/>
    <x v="3"/>
    <x v="9"/>
    <x v="95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n v="139.26"/>
    <n v="129.80000000000001"/>
    <n v="131.80000000000001"/>
    <n v="128.69999999999999"/>
    <n v="117.8"/>
    <n v="126.5"/>
    <n v="133"/>
    <n v="123"/>
    <n v="125.7"/>
    <n v="133.80000000000001"/>
  </r>
  <r>
    <x v="1"/>
    <x v="3"/>
    <x v="9"/>
    <x v="96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</r>
  <r>
    <x v="2"/>
    <x v="3"/>
    <x v="9"/>
    <x v="97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</r>
  <r>
    <x v="0"/>
    <x v="3"/>
    <x v="11"/>
    <x v="98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n v="139.26"/>
    <n v="130.30000000000001"/>
    <n v="132.1"/>
    <n v="129.1"/>
    <n v="118.2"/>
    <n v="126.9"/>
    <n v="133.69999999999999"/>
    <n v="123.5"/>
    <n v="126.1"/>
    <n v="133.6"/>
  </r>
  <r>
    <x v="1"/>
    <x v="3"/>
    <x v="11"/>
    <x v="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</r>
  <r>
    <x v="2"/>
    <x v="3"/>
    <x v="11"/>
    <x v="100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</r>
  <r>
    <x v="0"/>
    <x v="3"/>
    <x v="12"/>
    <x v="101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n v="139.26"/>
    <n v="132"/>
    <n v="132.9"/>
    <n v="129.69999999999999"/>
    <n v="118.6"/>
    <n v="127.3"/>
    <n v="134.19999999999999"/>
    <n v="121.9"/>
    <n v="126.3"/>
    <n v="132.80000000000001"/>
  </r>
  <r>
    <x v="1"/>
    <x v="3"/>
    <x v="12"/>
    <x v="102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</r>
  <r>
    <x v="2"/>
    <x v="3"/>
    <x v="12"/>
    <x v="103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</r>
  <r>
    <x v="0"/>
    <x v="4"/>
    <x v="0"/>
    <x v="104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n v="139.26"/>
    <n v="132.1"/>
    <n v="133.19999999999999"/>
    <n v="129.9"/>
    <n v="119.1"/>
    <n v="127"/>
    <n v="134.6"/>
    <n v="122.3"/>
    <n v="126.6"/>
    <n v="132.4"/>
  </r>
  <r>
    <x v="1"/>
    <x v="4"/>
    <x v="0"/>
    <x v="105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</r>
  <r>
    <x v="2"/>
    <x v="4"/>
    <x v="0"/>
    <x v="106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</r>
  <r>
    <x v="0"/>
    <x v="4"/>
    <x v="1"/>
    <x v="107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n v="139.26"/>
    <n v="133.19999999999999"/>
    <n v="133.6"/>
    <n v="130.1"/>
    <n v="119.5"/>
    <n v="127.7"/>
    <n v="134.9"/>
    <n v="123.2"/>
    <n v="127"/>
    <n v="132.6"/>
  </r>
  <r>
    <x v="1"/>
    <x v="4"/>
    <x v="1"/>
    <x v="106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</r>
  <r>
    <x v="2"/>
    <x v="4"/>
    <x v="1"/>
    <x v="104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</r>
  <r>
    <x v="0"/>
    <x v="4"/>
    <x v="2"/>
    <x v="108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n v="139.26"/>
    <n v="134.19999999999999"/>
    <n v="134.1"/>
    <n v="130.6"/>
    <n v="119.8"/>
    <n v="128.30000000000001"/>
    <n v="135.19999999999999"/>
    <n v="123.3"/>
    <n v="127.4"/>
    <n v="132.80000000000001"/>
  </r>
  <r>
    <x v="1"/>
    <x v="4"/>
    <x v="2"/>
    <x v="10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</r>
  <r>
    <x v="2"/>
    <x v="4"/>
    <x v="2"/>
    <x v="107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</r>
  <r>
    <x v="0"/>
    <x v="4"/>
    <x v="3"/>
    <x v="110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n v="139.26"/>
    <n v="135"/>
    <n v="134.30000000000001"/>
    <n v="131"/>
    <n v="119.2"/>
    <n v="128.30000000000001"/>
    <n v="135.69999999999999"/>
    <n v="123.7"/>
    <n v="127.5"/>
    <n v="132.9"/>
  </r>
  <r>
    <x v="1"/>
    <x v="4"/>
    <x v="3"/>
    <x v="10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</r>
  <r>
    <x v="2"/>
    <x v="4"/>
    <x v="3"/>
    <x v="111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</r>
  <r>
    <x v="0"/>
    <x v="4"/>
    <x v="4"/>
    <x v="104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n v="139.26"/>
    <n v="135"/>
    <n v="134.9"/>
    <n v="131.4"/>
    <n v="119.4"/>
    <n v="129.4"/>
    <n v="136.30000000000001"/>
    <n v="123.7"/>
    <n v="127.9"/>
    <n v="133.30000000000001"/>
  </r>
  <r>
    <x v="1"/>
    <x v="4"/>
    <x v="4"/>
    <x v="101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</r>
  <r>
    <x v="2"/>
    <x v="4"/>
    <x v="4"/>
    <x v="112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</r>
  <r>
    <x v="0"/>
    <x v="4"/>
    <x v="5"/>
    <x v="113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n v="139.26"/>
    <n v="134.80000000000001"/>
    <n v="135.19999999999999"/>
    <n v="131.30000000000001"/>
    <n v="119.4"/>
    <n v="129.80000000000001"/>
    <n v="136.9"/>
    <n v="124.1"/>
    <n v="128.1"/>
    <n v="133.9"/>
  </r>
  <r>
    <x v="1"/>
    <x v="4"/>
    <x v="5"/>
    <x v="112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</r>
  <r>
    <x v="2"/>
    <x v="4"/>
    <x v="5"/>
    <x v="107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</r>
  <r>
    <x v="0"/>
    <x v="4"/>
    <x v="6"/>
    <x v="11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n v="139.26"/>
    <n v="135.30000000000001"/>
    <n v="136.1"/>
    <n v="132.1"/>
    <n v="119.1"/>
    <n v="130.6"/>
    <n v="138.6"/>
    <n v="124.4"/>
    <n v="128.6"/>
    <n v="136.19999999999999"/>
  </r>
  <r>
    <x v="1"/>
    <x v="4"/>
    <x v="6"/>
    <x v="106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</r>
  <r>
    <x v="2"/>
    <x v="4"/>
    <x v="6"/>
    <x v="108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</r>
  <r>
    <x v="0"/>
    <x v="4"/>
    <x v="7"/>
    <x v="115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n v="139.26"/>
    <n v="136.4"/>
    <n v="137.30000000000001"/>
    <n v="133"/>
    <n v="120.3"/>
    <n v="131.5"/>
    <n v="140.19999999999999"/>
    <n v="125.4"/>
    <n v="129.69999999999999"/>
    <n v="137.80000000000001"/>
  </r>
  <r>
    <x v="1"/>
    <x v="4"/>
    <x v="7"/>
    <x v="110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</r>
  <r>
    <x v="2"/>
    <x v="4"/>
    <x v="7"/>
    <x v="116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</r>
  <r>
    <x v="0"/>
    <x v="4"/>
    <x v="8"/>
    <x v="117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n v="139.26"/>
    <n v="137.4"/>
    <n v="137.9"/>
    <n v="133.4"/>
    <n v="121.2"/>
    <n v="132.30000000000001"/>
    <n v="139.6"/>
    <n v="126.7"/>
    <n v="130.30000000000001"/>
    <n v="137.6"/>
  </r>
  <r>
    <x v="1"/>
    <x v="4"/>
    <x v="8"/>
    <x v="108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</r>
  <r>
    <x v="2"/>
    <x v="4"/>
    <x v="8"/>
    <x v="118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</r>
  <r>
    <x v="0"/>
    <x v="4"/>
    <x v="9"/>
    <x v="11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n v="139.26"/>
    <n v="138.1"/>
    <n v="138.4"/>
    <n v="134.19999999999999"/>
    <n v="121"/>
    <n v="133"/>
    <n v="140.1"/>
    <n v="127.4"/>
    <n v="130.69999999999999"/>
    <n v="138.30000000000001"/>
  </r>
  <r>
    <x v="1"/>
    <x v="4"/>
    <x v="9"/>
    <x v="120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</r>
  <r>
    <x v="2"/>
    <x v="4"/>
    <x v="9"/>
    <x v="12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</r>
  <r>
    <x v="0"/>
    <x v="4"/>
    <x v="11"/>
    <x v="122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n v="139.26"/>
    <n v="141.1"/>
    <n v="139.4"/>
    <n v="135.80000000000001"/>
    <n v="121.6"/>
    <n v="133.69999999999999"/>
    <n v="141.5"/>
    <n v="128.1"/>
    <n v="131.69999999999999"/>
    <n v="140"/>
  </r>
  <r>
    <x v="1"/>
    <x v="4"/>
    <x v="11"/>
    <x v="116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</r>
  <r>
    <x v="2"/>
    <x v="4"/>
    <x v="11"/>
    <x v="123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</r>
  <r>
    <x v="0"/>
    <x v="4"/>
    <x v="12"/>
    <x v="12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n v="139.26"/>
    <n v="142.6"/>
    <n v="139.5"/>
    <n v="136.1"/>
    <n v="122"/>
    <n v="133.4"/>
    <n v="141.1"/>
    <n v="127.8"/>
    <n v="131.9"/>
    <n v="139.80000000000001"/>
  </r>
  <r>
    <x v="1"/>
    <x v="4"/>
    <x v="12"/>
    <x v="125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</r>
  <r>
    <x v="2"/>
    <x v="4"/>
    <x v="12"/>
    <x v="126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</r>
  <r>
    <x v="0"/>
    <x v="5"/>
    <x v="0"/>
    <x v="127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n v="139.26"/>
    <n v="142.30000000000001"/>
    <n v="139.80000000000001"/>
    <n v="136"/>
    <n v="122.7"/>
    <n v="134.30000000000001"/>
    <n v="141.6"/>
    <n v="128.6"/>
    <n v="132.30000000000001"/>
    <n v="139.30000000000001"/>
  </r>
  <r>
    <x v="1"/>
    <x v="5"/>
    <x v="0"/>
    <x v="128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</r>
  <r>
    <x v="2"/>
    <x v="5"/>
    <x v="0"/>
    <x v="129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</r>
  <r>
    <x v="0"/>
    <x v="5"/>
    <x v="1"/>
    <x v="12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n v="139.26"/>
    <n v="142.4"/>
    <n v="139.9"/>
    <n v="136.19999999999999"/>
    <n v="123.3"/>
    <n v="134.30000000000001"/>
    <n v="141.5"/>
    <n v="128.80000000000001"/>
    <n v="132.5"/>
    <n v="138.5"/>
  </r>
  <r>
    <x v="1"/>
    <x v="5"/>
    <x v="1"/>
    <x v="115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</r>
  <r>
    <x v="2"/>
    <x v="5"/>
    <x v="1"/>
    <x v="11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</r>
  <r>
    <x v="0"/>
    <x v="5"/>
    <x v="2"/>
    <x v="130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n v="139.26"/>
    <n v="142.6"/>
    <n v="139.9"/>
    <n v="136.69999999999999"/>
    <n v="124.6"/>
    <n v="135.1"/>
    <n v="142.69999999999999"/>
    <n v="129.30000000000001"/>
    <n v="133.30000000000001"/>
    <n v="138.69999999999999"/>
  </r>
  <r>
    <x v="1"/>
    <x v="5"/>
    <x v="2"/>
    <x v="131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</r>
  <r>
    <x v="2"/>
    <x v="5"/>
    <x v="2"/>
    <x v="132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</r>
  <r>
    <x v="0"/>
    <x v="5"/>
    <x v="3"/>
    <x v="133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n v="139.26"/>
    <n v="143.80000000000001"/>
    <n v="140.9"/>
    <n v="137.6"/>
    <n v="125.3"/>
    <n v="136"/>
    <n v="143.69999999999999"/>
    <n v="130.4"/>
    <n v="134.19999999999999"/>
    <n v="139.1"/>
  </r>
  <r>
    <x v="1"/>
    <x v="5"/>
    <x v="3"/>
    <x v="131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</r>
  <r>
    <x v="2"/>
    <x v="5"/>
    <x v="3"/>
    <x v="12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</r>
  <r>
    <x v="0"/>
    <x v="5"/>
    <x v="4"/>
    <x v="13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n v="139.26"/>
    <n v="144.30000000000001"/>
    <n v="141.80000000000001"/>
    <n v="138.4"/>
    <n v="126.4"/>
    <n v="136.80000000000001"/>
    <n v="144.4"/>
    <n v="131.19999999999999"/>
    <n v="135.1"/>
    <n v="139.80000000000001"/>
  </r>
  <r>
    <x v="1"/>
    <x v="5"/>
    <x v="4"/>
    <x v="131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</r>
  <r>
    <x v="2"/>
    <x v="5"/>
    <x v="4"/>
    <x v="127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</r>
  <r>
    <x v="0"/>
    <x v="5"/>
    <x v="5"/>
    <x v="135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n v="139.26"/>
    <n v="145.1"/>
    <n v="142.19999999999999"/>
    <n v="138.4"/>
    <n v="127.4"/>
    <n v="137.80000000000001"/>
    <n v="145.1"/>
    <n v="131.4"/>
    <n v="135.6"/>
    <n v="140.5"/>
  </r>
  <r>
    <x v="1"/>
    <x v="5"/>
    <x v="5"/>
    <x v="12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</r>
  <r>
    <x v="2"/>
    <x v="5"/>
    <x v="5"/>
    <x v="136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</r>
  <r>
    <x v="0"/>
    <x v="5"/>
    <x v="6"/>
    <x v="137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n v="139.26"/>
    <n v="146.80000000000001"/>
    <n v="143.1"/>
    <n v="139"/>
    <n v="127.5"/>
    <n v="138.4"/>
    <n v="145.80000000000001"/>
    <n v="131.4"/>
    <n v="136"/>
    <n v="141.80000000000001"/>
  </r>
  <r>
    <x v="1"/>
    <x v="5"/>
    <x v="6"/>
    <x v="138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</r>
  <r>
    <x v="2"/>
    <x v="5"/>
    <x v="6"/>
    <x v="139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</r>
  <r>
    <x v="0"/>
    <x v="5"/>
    <x v="7"/>
    <x v="140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n v="139.26"/>
    <n v="147.69999999999999"/>
    <n v="143.80000000000001"/>
    <n v="139.4"/>
    <n v="128.30000000000001"/>
    <n v="138.6"/>
    <n v="146.9"/>
    <n v="131.30000000000001"/>
    <n v="136.6"/>
    <n v="142.5"/>
  </r>
  <r>
    <x v="1"/>
    <x v="5"/>
    <x v="7"/>
    <x v="141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</r>
  <r>
    <x v="2"/>
    <x v="5"/>
    <x v="7"/>
    <x v="142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</r>
  <r>
    <x v="0"/>
    <x v="5"/>
    <x v="8"/>
    <x v="143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n v="139.26"/>
    <n v="149"/>
    <n v="144"/>
    <n v="140"/>
    <n v="129.9"/>
    <n v="140"/>
    <n v="147.6"/>
    <n v="132"/>
    <n v="137.4"/>
    <n v="142.1"/>
  </r>
  <r>
    <x v="1"/>
    <x v="5"/>
    <x v="8"/>
    <x v="144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</r>
  <r>
    <x v="2"/>
    <x v="5"/>
    <x v="8"/>
    <x v="145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</r>
  <r>
    <x v="0"/>
    <x v="5"/>
    <x v="9"/>
    <x v="146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n v="139.26"/>
    <n v="149.69999999999999"/>
    <n v="147.5"/>
    <n v="144.80000000000001"/>
    <n v="130.80000000000001"/>
    <n v="140.1"/>
    <n v="148"/>
    <n v="134.4"/>
    <n v="139.80000000000001"/>
    <n v="142.19999999999999"/>
  </r>
  <r>
    <x v="1"/>
    <x v="5"/>
    <x v="9"/>
    <x v="135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</r>
  <r>
    <x v="2"/>
    <x v="5"/>
    <x v="9"/>
    <x v="13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</r>
  <r>
    <x v="0"/>
    <x v="5"/>
    <x v="11"/>
    <x v="133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n v="139.26"/>
    <n v="150.30000000000001"/>
    <n v="148"/>
    <n v="145.4"/>
    <n v="130.30000000000001"/>
    <n v="143.1"/>
    <n v="150.19999999999999"/>
    <n v="133.1"/>
    <n v="140.1"/>
    <n v="142.4"/>
  </r>
  <r>
    <x v="1"/>
    <x v="5"/>
    <x v="11"/>
    <x v="147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</r>
  <r>
    <x v="2"/>
    <x v="5"/>
    <x v="11"/>
    <x v="13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</r>
  <r>
    <x v="0"/>
    <x v="5"/>
    <x v="12"/>
    <x v="133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n v="139.26"/>
    <n v="149"/>
    <n v="149.5"/>
    <n v="149.6"/>
    <n v="128.9"/>
    <n v="143.30000000000001"/>
    <n v="155.1"/>
    <n v="133.19999999999999"/>
    <n v="141.6"/>
    <n v="141.9"/>
  </r>
  <r>
    <x v="1"/>
    <x v="5"/>
    <x v="12"/>
    <x v="148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</r>
  <r>
    <x v="2"/>
    <x v="5"/>
    <x v="12"/>
    <x v="139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</r>
  <r>
    <x v="0"/>
    <x v="6"/>
    <x v="0"/>
    <x v="127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n v="139.26"/>
    <n v="146.19999999999999"/>
    <n v="150.1"/>
    <n v="149.6"/>
    <n v="128.6"/>
    <n v="142.9"/>
    <n v="155.19999999999999"/>
    <n v="133.5"/>
    <n v="141.69999999999999"/>
    <n v="141"/>
  </r>
  <r>
    <x v="1"/>
    <x v="6"/>
    <x v="0"/>
    <x v="142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</r>
  <r>
    <x v="2"/>
    <x v="6"/>
    <x v="0"/>
    <x v="133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</r>
  <r>
    <x v="0"/>
    <x v="6"/>
    <x v="1"/>
    <x v="130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n v="139.26"/>
    <n v="145.30000000000001"/>
    <n v="150.1"/>
    <n v="149.9"/>
    <n v="129.19999999999999"/>
    <n v="143.4"/>
    <n v="155.5"/>
    <n v="134.9"/>
    <n v="142.19999999999999"/>
    <n v="141"/>
  </r>
  <r>
    <x v="1"/>
    <x v="6"/>
    <x v="1"/>
    <x v="143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</r>
  <r>
    <x v="2"/>
    <x v="6"/>
    <x v="1"/>
    <x v="135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</r>
  <r>
    <x v="0"/>
    <x v="6"/>
    <x v="2"/>
    <x v="136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n v="139.26"/>
    <n v="146.4"/>
    <n v="150"/>
    <n v="150.4"/>
    <n v="129.9"/>
    <n v="143.80000000000001"/>
    <n v="155.5"/>
    <n v="134"/>
    <n v="142.4"/>
    <n v="141.19999999999999"/>
  </r>
  <r>
    <x v="1"/>
    <x v="6"/>
    <x v="2"/>
    <x v="14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</r>
  <r>
    <x v="2"/>
    <x v="6"/>
    <x v="2"/>
    <x v="150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</r>
  <r>
    <x v="0"/>
    <x v="6"/>
    <x v="4"/>
    <x v="13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n v="139.26"/>
    <n v="146.9"/>
    <n v="149.5"/>
    <n v="151.30000000000001"/>
    <n v="130.19999999999999"/>
    <n v="145.9"/>
    <n v="156.69999999999999"/>
    <n v="133.9"/>
    <n v="142.9"/>
    <n v="142.4"/>
  </r>
  <r>
    <x v="1"/>
    <x v="6"/>
    <x v="4"/>
    <x v="151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</r>
  <r>
    <x v="2"/>
    <x v="6"/>
    <x v="4"/>
    <x v="142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</r>
  <r>
    <x v="0"/>
    <x v="6"/>
    <x v="5"/>
    <x v="150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n v="139.26"/>
    <n v="147.80000000000001"/>
    <n v="149.6"/>
    <n v="151.69999999999999"/>
    <n v="130.19999999999999"/>
    <n v="146.4"/>
    <n v="157.69999999999999"/>
    <n v="134.80000000000001"/>
    <n v="143.30000000000001"/>
    <n v="143.6"/>
  </r>
  <r>
    <x v="1"/>
    <x v="6"/>
    <x v="5"/>
    <x v="152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</r>
  <r>
    <x v="2"/>
    <x v="6"/>
    <x v="5"/>
    <x v="153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</r>
  <r>
    <x v="0"/>
    <x v="6"/>
    <x v="6"/>
    <x v="137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n v="139.26"/>
    <n v="146.80000000000001"/>
    <n v="150"/>
    <n v="152.19999999999999"/>
    <n v="131.19999999999999"/>
    <n v="147.5"/>
    <n v="159.1"/>
    <n v="136.1"/>
    <n v="144.19999999999999"/>
    <n v="144.9"/>
  </r>
  <r>
    <x v="1"/>
    <x v="6"/>
    <x v="6"/>
    <x v="15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</r>
  <r>
    <x v="2"/>
    <x v="6"/>
    <x v="6"/>
    <x v="146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</r>
  <r>
    <x v="0"/>
    <x v="6"/>
    <x v="7"/>
    <x v="140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n v="139.26"/>
    <n v="146.4"/>
    <n v="150.19999999999999"/>
    <n v="152.69999999999999"/>
    <n v="131.4"/>
    <n v="148"/>
    <n v="159.69999999999999"/>
    <n v="138.80000000000001"/>
    <n v="144.9"/>
    <n v="145.69999999999999"/>
  </r>
  <r>
    <x v="1"/>
    <x v="6"/>
    <x v="7"/>
    <x v="155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</r>
  <r>
    <x v="2"/>
    <x v="6"/>
    <x v="7"/>
    <x v="156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</r>
  <r>
    <x v="0"/>
    <x v="6"/>
    <x v="8"/>
    <x v="156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n v="139.26"/>
    <n v="146.9"/>
    <n v="150.30000000000001"/>
    <n v="153.4"/>
    <n v="131.6"/>
    <n v="148.30000000000001"/>
    <n v="160.19999999999999"/>
    <n v="140.19999999999999"/>
    <n v="145.4"/>
    <n v="146.69999999999999"/>
  </r>
  <r>
    <x v="1"/>
    <x v="6"/>
    <x v="8"/>
    <x v="157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</r>
  <r>
    <x v="2"/>
    <x v="6"/>
    <x v="8"/>
    <x v="158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</r>
  <r>
    <x v="0"/>
    <x v="6"/>
    <x v="9"/>
    <x v="159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n v="139.26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</r>
  <r>
    <x v="1"/>
    <x v="6"/>
    <x v="9"/>
    <x v="160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</r>
  <r>
    <x v="2"/>
    <x v="6"/>
    <x v="9"/>
    <x v="16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</r>
  <r>
    <x v="0"/>
    <x v="6"/>
    <x v="11"/>
    <x v="16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n v="139.26"/>
    <n v="148.4"/>
    <n v="150.9"/>
    <n v="154.30000000000001"/>
    <n v="132.1"/>
    <n v="149.1"/>
    <n v="160.80000000000001"/>
    <n v="140.6"/>
    <n v="146.1"/>
    <n v="149.9"/>
  </r>
  <r>
    <x v="1"/>
    <x v="6"/>
    <x v="11"/>
    <x v="162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</r>
  <r>
    <x v="2"/>
    <x v="6"/>
    <x v="11"/>
    <x v="163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</r>
  <r>
    <x v="0"/>
    <x v="6"/>
    <x v="12"/>
    <x v="164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n v="139.26"/>
    <n v="149.9"/>
    <n v="151.19999999999999"/>
    <n v="154.80000000000001"/>
    <n v="135"/>
    <n v="149.5"/>
    <n v="161.1"/>
    <n v="140.6"/>
    <n v="147.1"/>
    <n v="152.30000000000001"/>
  </r>
  <r>
    <x v="1"/>
    <x v="6"/>
    <x v="12"/>
    <x v="165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</r>
  <r>
    <x v="2"/>
    <x v="6"/>
    <x v="12"/>
    <x v="160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</r>
  <r>
    <x v="0"/>
    <x v="7"/>
    <x v="0"/>
    <x v="166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n v="139.26"/>
    <n v="150.4"/>
    <n v="151.69999999999999"/>
    <n v="155.69999999999999"/>
    <n v="136.30000000000001"/>
    <n v="150.1"/>
    <n v="161.69999999999999"/>
    <n v="142.5"/>
    <n v="148.1"/>
    <n v="151.9"/>
  </r>
  <r>
    <x v="1"/>
    <x v="7"/>
    <x v="0"/>
    <x v="167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</r>
  <r>
    <x v="2"/>
    <x v="7"/>
    <x v="0"/>
    <x v="168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</r>
  <r>
    <x v="0"/>
    <x v="7"/>
    <x v="1"/>
    <x v="16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n v="139.26"/>
    <n v="152.30000000000001"/>
    <n v="151.80000000000001"/>
    <n v="156.19999999999999"/>
    <n v="136"/>
    <n v="150.4"/>
    <n v="161.9"/>
    <n v="143.4"/>
    <n v="148.4"/>
    <n v="150.4"/>
  </r>
  <r>
    <x v="1"/>
    <x v="7"/>
    <x v="1"/>
    <x v="170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</r>
  <r>
    <x v="2"/>
    <x v="7"/>
    <x v="1"/>
    <x v="17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</r>
  <r>
    <x v="0"/>
    <x v="7"/>
    <x v="2"/>
    <x v="172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n v="139.26"/>
    <n v="153.4"/>
    <n v="151.5"/>
    <n v="156.69999999999999"/>
    <n v="135.80000000000001"/>
    <n v="151.19999999999999"/>
    <n v="161.19999999999999"/>
    <n v="145.1"/>
    <n v="148.6"/>
    <n v="149.80000000000001"/>
  </r>
  <r>
    <x v="1"/>
    <x v="7"/>
    <x v="2"/>
    <x v="173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</r>
  <r>
    <x v="2"/>
    <x v="7"/>
    <x v="2"/>
    <x v="174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</r>
  <r>
    <x v="0"/>
    <x v="7"/>
    <x v="3"/>
    <x v="175"/>
    <n v="156.26"/>
    <n v="146.9"/>
    <n v="155.6"/>
    <n v="137.1"/>
    <n v="147.30000000000001"/>
    <n v="162.69999999999999"/>
    <n v="150.19999999999999"/>
    <n v="119.8"/>
    <n v="158.69999999999999"/>
    <n v="139.19999999999999"/>
    <n v="149.08000000000001"/>
    <n v="150.1"/>
    <n v="155.38"/>
    <n v="142.66"/>
    <n v="135.97"/>
    <n v="141.66999999999999"/>
    <n v="139.26"/>
    <n v="148.4"/>
    <n v="136.69"/>
    <n v="154.30000000000001"/>
    <n v="121.17"/>
    <n v="133.88999999999999"/>
    <n v="141.13"/>
    <n v="133.35"/>
    <n v="134.22999999999999"/>
    <n v="139.56"/>
  </r>
  <r>
    <x v="1"/>
    <x v="7"/>
    <x v="3"/>
    <x v="176"/>
    <n v="156.26"/>
    <n v="151.9"/>
    <n v="155.5"/>
    <n v="131.6"/>
    <n v="152.9"/>
    <n v="180"/>
    <n v="150.80000000000001"/>
    <n v="121.2"/>
    <n v="154"/>
    <n v="133.5"/>
    <n v="149.08000000000001"/>
    <n v="153.5"/>
    <n v="155.38"/>
    <n v="142.66"/>
    <n v="135.97"/>
    <n v="141.66999999999999"/>
    <n v="155.6"/>
    <n v="137.1"/>
    <n v="136.69"/>
    <n v="144.80000000000001"/>
    <n v="121.17"/>
    <n v="133.88999999999999"/>
    <n v="141.13"/>
    <n v="133.35"/>
    <n v="134.22999999999999"/>
    <n v="139.56"/>
  </r>
  <r>
    <x v="2"/>
    <x v="7"/>
    <x v="3"/>
    <x v="177"/>
    <n v="156.26"/>
    <n v="148.80000000000001"/>
    <n v="155.6"/>
    <n v="135.1"/>
    <n v="149.9"/>
    <n v="168.6"/>
    <n v="150.4"/>
    <n v="120.3"/>
    <n v="157.1"/>
    <n v="136.80000000000001"/>
    <n v="149.08000000000001"/>
    <n v="151.4"/>
    <n v="155.38"/>
    <n v="142.66"/>
    <n v="135.97"/>
    <n v="141.66999999999999"/>
    <n v="155.6"/>
    <n v="144.1"/>
    <n v="136.69"/>
    <n v="150.69999999999999"/>
    <n v="121.17"/>
    <n v="133.88999999999999"/>
    <n v="141.13"/>
    <n v="133.35"/>
    <n v="134.22999999999999"/>
    <n v="139.56"/>
  </r>
  <r>
    <x v="0"/>
    <x v="7"/>
    <x v="4"/>
    <x v="178"/>
    <n v="156.26"/>
    <n v="140.797"/>
    <n v="140.32499999999999"/>
    <n v="132.12"/>
    <n v="140.84"/>
    <n v="155.75200000000001"/>
    <n v="141.43"/>
    <n v="110.92"/>
    <n v="144.32"/>
    <n v="134.07"/>
    <n v="149.08000000000001"/>
    <n v="142.51"/>
    <n v="155.38"/>
    <n v="142.66"/>
    <n v="135.97"/>
    <n v="141.66999999999999"/>
    <n v="139.26"/>
    <n v="136.51"/>
    <n v="136.69"/>
    <n v="138.51"/>
    <n v="121.17"/>
    <n v="133.88999999999999"/>
    <n v="141.13"/>
    <n v="133.35"/>
    <n v="134.22999999999999"/>
    <n v="139.56"/>
  </r>
  <r>
    <x v="1"/>
    <x v="7"/>
    <x v="4"/>
    <x v="178"/>
    <n v="156.26"/>
    <n v="140.797"/>
    <n v="140.32499999999999"/>
    <n v="132.12"/>
    <n v="140.84"/>
    <n v="155.75200000000001"/>
    <n v="141.43"/>
    <n v="110.92"/>
    <n v="144.32"/>
    <n v="134.07"/>
    <n v="149.08000000000001"/>
    <n v="142.51"/>
    <n v="155.38"/>
    <n v="142.66"/>
    <n v="135.97"/>
    <n v="141.66999999999999"/>
    <n v="139.26"/>
    <n v="136.51"/>
    <n v="136.69"/>
    <n v="138.51"/>
    <n v="121.17"/>
    <n v="133.88999999999999"/>
    <n v="141.13"/>
    <n v="133.35"/>
    <n v="134.22999999999999"/>
    <n v="139.56"/>
  </r>
  <r>
    <x v="2"/>
    <x v="7"/>
    <x v="4"/>
    <x v="178"/>
    <n v="156.26"/>
    <n v="140.797"/>
    <n v="140.32499999999999"/>
    <n v="132.12"/>
    <n v="140.84"/>
    <n v="155.75200000000001"/>
    <n v="141.43"/>
    <n v="110.92"/>
    <n v="144.32"/>
    <n v="134.07"/>
    <n v="149.08000000000001"/>
    <n v="142.51"/>
    <n v="155.38"/>
    <n v="142.66"/>
    <n v="135.97"/>
    <n v="141.66999999999999"/>
    <n v="139.26"/>
    <n v="136.51"/>
    <n v="136.69"/>
    <n v="138.51"/>
    <n v="121.17"/>
    <n v="133.88999999999999"/>
    <n v="141.13"/>
    <n v="133.35"/>
    <n v="134.22999999999999"/>
    <n v="139.56"/>
  </r>
  <r>
    <x v="0"/>
    <x v="7"/>
    <x v="5"/>
    <x v="17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n v="139.26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7"/>
    <x v="5"/>
    <x v="180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x v="2"/>
    <x v="7"/>
    <x v="5"/>
    <x v="181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x v="0"/>
    <x v="7"/>
    <x v="6"/>
    <x v="17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n v="139.26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7"/>
    <x v="6"/>
    <x v="180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x v="2"/>
    <x v="7"/>
    <x v="6"/>
    <x v="181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x v="0"/>
    <x v="7"/>
    <x v="7"/>
    <x v="182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n v="139.26"/>
    <n v="145.80000000000001"/>
    <n v="151.9"/>
    <n v="158.80000000000001"/>
    <n v="143.6"/>
    <n v="152.19999999999999"/>
    <n v="162.69999999999999"/>
    <n v="153.6"/>
    <n v="153"/>
    <n v="154.69999999999999"/>
  </r>
  <r>
    <x v="1"/>
    <x v="7"/>
    <x v="7"/>
    <x v="183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</r>
  <r>
    <x v="2"/>
    <x v="7"/>
    <x v="7"/>
    <x v="184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</r>
  <r>
    <x v="0"/>
    <x v="7"/>
    <x v="8"/>
    <x v="185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n v="139.26"/>
    <n v="146.4"/>
    <n v="151.6"/>
    <n v="159.1"/>
    <n v="144.6"/>
    <n v="152.80000000000001"/>
    <n v="161.1"/>
    <n v="157.4"/>
    <n v="153.69999999999999"/>
    <n v="155.4"/>
  </r>
  <r>
    <x v="1"/>
    <x v="7"/>
    <x v="8"/>
    <x v="186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</r>
  <r>
    <x v="2"/>
    <x v="7"/>
    <x v="8"/>
    <x v="187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</r>
  <r>
    <x v="0"/>
    <x v="7"/>
    <x v="9"/>
    <x v="188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n v="139.26"/>
    <n v="146.80000000000001"/>
    <n v="152"/>
    <n v="159.5"/>
    <n v="146.4"/>
    <n v="152.4"/>
    <n v="162.5"/>
    <n v="156.19999999999999"/>
    <n v="154.30000000000001"/>
    <n v="157.5"/>
  </r>
  <r>
    <x v="1"/>
    <x v="7"/>
    <x v="9"/>
    <x v="189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</r>
  <r>
    <x v="2"/>
    <x v="7"/>
    <x v="9"/>
    <x v="190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</r>
  <r>
    <x v="0"/>
    <x v="7"/>
    <x v="11"/>
    <x v="191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n v="139.26"/>
    <n v="147.5"/>
    <n v="152.80000000000001"/>
    <n v="160.4"/>
    <n v="146.1"/>
    <n v="153.6"/>
    <n v="161.6"/>
    <n v="156.19999999999999"/>
    <n v="154.5"/>
    <n v="159.80000000000001"/>
  </r>
  <r>
    <x v="1"/>
    <x v="7"/>
    <x v="11"/>
    <x v="192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</r>
  <r>
    <x v="2"/>
    <x v="7"/>
    <x v="11"/>
    <x v="193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</r>
  <r>
    <x v="0"/>
    <x v="7"/>
    <x v="12"/>
    <x v="194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n v="139.26"/>
    <n v="148.69999999999999"/>
    <n v="153.4"/>
    <n v="161.6"/>
    <n v="146.4"/>
    <n v="153.9"/>
    <n v="162.9"/>
    <n v="156.6"/>
    <n v="155.19999999999999"/>
    <n v="160.69999999999999"/>
  </r>
  <r>
    <x v="1"/>
    <x v="7"/>
    <x v="12"/>
    <x v="195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</r>
  <r>
    <x v="2"/>
    <x v="7"/>
    <x v="12"/>
    <x v="188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</r>
  <r>
    <x v="0"/>
    <x v="8"/>
    <x v="0"/>
    <x v="196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n v="139.26"/>
    <n v="150.9"/>
    <n v="153.9"/>
    <n v="162.5"/>
    <n v="147.5"/>
    <n v="155.1"/>
    <n v="163.5"/>
    <n v="156.19999999999999"/>
    <n v="155.9"/>
    <n v="158.5"/>
  </r>
  <r>
    <x v="1"/>
    <x v="8"/>
    <x v="0"/>
    <x v="197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</r>
  <r>
    <x v="2"/>
    <x v="8"/>
    <x v="0"/>
    <x v="165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</r>
  <r>
    <x v="0"/>
    <x v="8"/>
    <x v="1"/>
    <x v="164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n v="139.26"/>
    <n v="154.4"/>
    <n v="154.80000000000001"/>
    <n v="164.3"/>
    <n v="150.19999999999999"/>
    <n v="157"/>
    <n v="163.6"/>
    <n v="155.19999999999999"/>
    <n v="157.19999999999999"/>
    <n v="156.69999999999999"/>
  </r>
  <r>
    <x v="1"/>
    <x v="8"/>
    <x v="1"/>
    <x v="182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</r>
  <r>
    <x v="2"/>
    <x v="8"/>
    <x v="1"/>
    <x v="168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</r>
  <r>
    <x v="0"/>
    <x v="8"/>
    <x v="2"/>
    <x v="163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s v="-"/>
    <n v="156"/>
    <n v="154.80000000000001"/>
    <n v="164.6"/>
    <n v="151.30000000000001"/>
    <n v="157.80000000000001"/>
    <n v="163.80000000000001"/>
    <n v="153.1"/>
    <n v="157.30000000000001"/>
    <n v="156.69999999999999"/>
  </r>
  <r>
    <x v="1"/>
    <x v="8"/>
    <x v="2"/>
    <x v="190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</r>
  <r>
    <x v="2"/>
    <x v="8"/>
    <x v="2"/>
    <x v="162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</r>
  <r>
    <x v="0"/>
    <x v="8"/>
    <x v="3"/>
    <x v="157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s v="-"/>
    <n v="156"/>
    <n v="155.5"/>
    <n v="165.3"/>
    <n v="151.69999999999999"/>
    <n v="158.6"/>
    <n v="164.1"/>
    <n v="154.6"/>
    <n v="158"/>
    <n v="157.6"/>
  </r>
  <r>
    <x v="1"/>
    <x v="8"/>
    <x v="3"/>
    <x v="182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</r>
  <r>
    <x v="2"/>
    <x v="8"/>
    <x v="3"/>
    <x v="168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</r>
  <r>
    <x v="0"/>
    <x v="8"/>
    <x v="4"/>
    <x v="174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n v="139.26"/>
    <n v="161.69999999999999"/>
    <n v="158.80000000000001"/>
    <n v="169.1"/>
    <n v="153.19999999999999"/>
    <n v="160"/>
    <n v="167.6"/>
    <n v="159.30000000000001"/>
    <n v="161.1"/>
    <n v="161.1"/>
  </r>
  <r>
    <x v="1"/>
    <x v="8"/>
    <x v="4"/>
    <x v="198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</r>
  <r>
    <x v="2"/>
    <x v="8"/>
    <x v="4"/>
    <x v="199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</r>
  <r>
    <x v="0"/>
    <x v="8"/>
    <x v="5"/>
    <x v="167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n v="139.26"/>
    <n v="162.1"/>
    <n v="159.19999999999999"/>
    <n v="169.7"/>
    <n v="154.19999999999999"/>
    <n v="160.4"/>
    <n v="166.8"/>
    <n v="159.4"/>
    <n v="161.5"/>
    <n v="162.1"/>
  </r>
  <r>
    <x v="1"/>
    <x v="8"/>
    <x v="5"/>
    <x v="200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</r>
  <r>
    <x v="2"/>
    <x v="8"/>
    <x v="5"/>
    <x v="201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</r>
  <r>
    <x v="0"/>
    <x v="8"/>
    <x v="6"/>
    <x v="174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n v="139.26"/>
    <n v="162.5"/>
    <n v="160.30000000000001"/>
    <n v="170.4"/>
    <n v="157.1"/>
    <n v="160.69999999999999"/>
    <n v="167.2"/>
    <n v="160.4"/>
    <n v="162.80000000000001"/>
    <n v="163.19999999999999"/>
  </r>
  <r>
    <x v="1"/>
    <x v="8"/>
    <x v="6"/>
    <x v="202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</r>
  <r>
    <x v="2"/>
    <x v="8"/>
    <x v="6"/>
    <x v="203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</r>
  <r>
    <x v="0"/>
    <x v="8"/>
    <x v="7"/>
    <x v="165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n v="139.26"/>
    <n v="163.1"/>
    <n v="160.9"/>
    <n v="171.1"/>
    <n v="157.69999999999999"/>
    <n v="161.1"/>
    <n v="167.5"/>
    <n v="160.30000000000001"/>
    <n v="163.30000000000001"/>
    <n v="163.6"/>
  </r>
  <r>
    <x v="1"/>
    <x v="8"/>
    <x v="7"/>
    <x v="204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</r>
  <r>
    <x v="2"/>
    <x v="8"/>
    <x v="7"/>
    <x v="205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</r>
  <r>
    <x v="0"/>
    <x v="8"/>
    <x v="8"/>
    <x v="191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n v="139.26"/>
    <n v="163.69999999999999"/>
    <n v="161.30000000000001"/>
    <n v="171.9"/>
    <n v="157.80000000000001"/>
    <n v="162.69999999999999"/>
    <n v="168.5"/>
    <n v="160.19999999999999"/>
    <n v="163.80000000000001"/>
    <n v="164"/>
  </r>
  <r>
    <x v="1"/>
    <x v="8"/>
    <x v="8"/>
    <x v="204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</r>
  <r>
    <x v="2"/>
    <x v="8"/>
    <x v="8"/>
    <x v="205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</r>
  <r>
    <x v="0"/>
    <x v="8"/>
    <x v="9"/>
    <x v="206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n v="139.26"/>
    <n v="165.5"/>
    <n v="162"/>
    <n v="172.5"/>
    <n v="159.5"/>
    <n v="163.19999999999999"/>
    <n v="169"/>
    <n v="161.1"/>
    <n v="164.7"/>
    <n v="166.3"/>
  </r>
  <r>
    <x v="1"/>
    <x v="8"/>
    <x v="9"/>
    <x v="207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</r>
  <r>
    <x v="2"/>
    <x v="8"/>
    <x v="9"/>
    <x v="208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</r>
  <r>
    <x v="0"/>
    <x v="8"/>
    <x v="11"/>
    <x v="185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n v="139.26"/>
    <n v="165.3"/>
    <n v="162.9"/>
    <n v="173.4"/>
    <n v="158.9"/>
    <n v="163.80000000000001"/>
    <n v="169.3"/>
    <n v="162.4"/>
    <n v="165.2"/>
    <n v="167.6"/>
  </r>
  <r>
    <x v="1"/>
    <x v="8"/>
    <x v="11"/>
    <x v="209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</r>
  <r>
    <x v="2"/>
    <x v="8"/>
    <x v="11"/>
    <x v="17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</r>
  <r>
    <x v="0"/>
    <x v="8"/>
    <x v="12"/>
    <x v="208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n v="139.26"/>
    <n v="165.6"/>
    <n v="163.9"/>
    <n v="174"/>
    <n v="160.1"/>
    <n v="164.5"/>
    <n v="169.7"/>
    <n v="162.80000000000001"/>
    <n v="166"/>
    <n v="167"/>
  </r>
  <r>
    <x v="1"/>
    <x v="8"/>
    <x v="12"/>
    <x v="183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</r>
  <r>
    <x v="2"/>
    <x v="8"/>
    <x v="12"/>
    <x v="177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</r>
  <r>
    <x v="0"/>
    <x v="9"/>
    <x v="0"/>
    <x v="210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n v="139.26"/>
    <n v="165.8"/>
    <n v="164.9"/>
    <n v="174.7"/>
    <n v="160.80000000000001"/>
    <n v="164.9"/>
    <n v="169.9"/>
    <n v="163.19999999999999"/>
    <n v="166.6"/>
    <n v="166.4"/>
  </r>
  <r>
    <x v="1"/>
    <x v="9"/>
    <x v="0"/>
    <x v="211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</r>
  <r>
    <x v="2"/>
    <x v="9"/>
    <x v="0"/>
    <x v="212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</r>
  <r>
    <x v="0"/>
    <x v="9"/>
    <x v="1"/>
    <x v="198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n v="139.26"/>
    <n v="167.4"/>
    <n v="165.7"/>
    <n v="175.3"/>
    <n v="161.19999999999999"/>
    <n v="165.5"/>
    <n v="170.3"/>
    <n v="164.5"/>
    <n v="167.3"/>
    <n v="166.7"/>
  </r>
  <r>
    <x v="1"/>
    <x v="9"/>
    <x v="1"/>
    <x v="213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</r>
  <r>
    <x v="2"/>
    <x v="9"/>
    <x v="1"/>
    <x v="214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</r>
  <r>
    <x v="0"/>
    <x v="9"/>
    <x v="2"/>
    <x v="215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n v="139.26"/>
    <n v="168.9"/>
    <n v="166.5"/>
    <n v="176"/>
    <n v="162"/>
    <n v="166.6"/>
    <n v="170.6"/>
    <n v="167.4"/>
    <n v="168.3"/>
    <n v="168.7"/>
  </r>
  <r>
    <x v="1"/>
    <x v="9"/>
    <x v="2"/>
    <x v="216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</r>
  <r>
    <x v="2"/>
    <x v="9"/>
    <x v="2"/>
    <x v="217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</r>
  <r>
    <x v="0"/>
    <x v="9"/>
    <x v="3"/>
    <x v="176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n v="139.26"/>
    <n v="173.3"/>
    <n v="167.7"/>
    <n v="177"/>
    <n v="166.2"/>
    <n v="167.2"/>
    <n v="170.9"/>
    <n v="169"/>
    <n v="170.2"/>
    <n v="170.8"/>
  </r>
  <r>
    <x v="1"/>
    <x v="9"/>
    <x v="3"/>
    <x v="218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</r>
  <r>
    <x v="2"/>
    <x v="9"/>
    <x v="3"/>
    <x v="21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</r>
  <r>
    <x v="0"/>
    <x v="9"/>
    <x v="4"/>
    <x v="21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n v="139.26"/>
    <n v="175.3"/>
    <n v="168.9"/>
    <n v="177.7"/>
    <n v="167.1"/>
    <n v="167.6"/>
    <n v="171.8"/>
    <n v="168.5"/>
    <n v="170.9"/>
    <n v="172.5"/>
  </r>
  <r>
    <x v="1"/>
    <x v="9"/>
    <x v="4"/>
    <x v="220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</r>
  <r>
    <x v="2"/>
    <x v="9"/>
    <x v="4"/>
    <x v="22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</r>
  <r>
    <x v="0"/>
    <x v="9"/>
    <x v="5"/>
    <x v="222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n v="139.26"/>
    <n v="176.7"/>
    <n v="170.3"/>
    <n v="178.2"/>
    <n v="165.5"/>
    <n v="168"/>
    <n v="172.6"/>
    <n v="169.5"/>
    <n v="171"/>
    <n v="173.6"/>
  </r>
  <r>
    <x v="1"/>
    <x v="9"/>
    <x v="5"/>
    <x v="223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</r>
  <r>
    <x v="2"/>
    <x v="9"/>
    <x v="5"/>
    <x v="224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</r>
  <r>
    <x v="0"/>
    <x v="9"/>
    <x v="6"/>
    <x v="225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n v="139.26"/>
    <n v="179.6"/>
    <n v="171.3"/>
    <n v="178.8"/>
    <n v="166.3"/>
    <n v="168.6"/>
    <n v="174.7"/>
    <n v="169.7"/>
    <n v="171.8"/>
    <n v="174.3"/>
  </r>
  <r>
    <x v="1"/>
    <x v="9"/>
    <x v="6"/>
    <x v="226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</r>
  <r>
    <x v="2"/>
    <x v="9"/>
    <x v="6"/>
    <x v="227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</r>
  <r>
    <x v="0"/>
    <x v="9"/>
    <x v="7"/>
    <x v="228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n v="139.26"/>
    <n v="179.1"/>
    <n v="172.3"/>
    <n v="179.4"/>
    <n v="166.6"/>
    <n v="169.3"/>
    <n v="175.7"/>
    <n v="171.1"/>
    <n v="172.6"/>
    <n v="175.3"/>
  </r>
  <r>
    <x v="1"/>
    <x v="9"/>
    <x v="7"/>
    <x v="229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</r>
  <r>
    <x v="2"/>
    <x v="9"/>
    <x v="7"/>
    <x v="230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</r>
  <r>
    <x v="0"/>
    <x v="9"/>
    <x v="8"/>
    <x v="231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n v="139.26"/>
    <n v="179.7"/>
    <n v="173.6"/>
    <n v="180.2"/>
    <n v="166.9"/>
    <n v="170"/>
    <n v="176.2"/>
    <n v="170.8"/>
    <n v="173.1"/>
    <n v="176.4"/>
  </r>
  <r>
    <x v="1"/>
    <x v="9"/>
    <x v="8"/>
    <x v="232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</r>
  <r>
    <x v="2"/>
    <x v="9"/>
    <x v="8"/>
    <x v="233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</r>
  <r>
    <x v="0"/>
    <x v="9"/>
    <x v="9"/>
    <x v="234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n v="139.26"/>
    <n v="180.8"/>
    <n v="174.4"/>
    <n v="181.2"/>
    <n v="167.4"/>
    <n v="170.6"/>
    <n v="176.5"/>
    <n v="172"/>
    <n v="173.9"/>
    <n v="177.9"/>
  </r>
  <r>
    <x v="1"/>
    <x v="9"/>
    <x v="9"/>
    <x v="235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</r>
  <r>
    <x v="2"/>
    <x v="9"/>
    <x v="9"/>
    <x v="236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</r>
  <r>
    <x v="0"/>
    <x v="9"/>
    <x v="11"/>
    <x v="237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n v="139.26"/>
    <n v="181.9"/>
    <n v="175.5"/>
    <n v="182.3"/>
    <n v="167.5"/>
    <n v="170.8"/>
    <n v="176.9"/>
    <n v="173.4"/>
    <n v="174.6"/>
    <n v="177.8"/>
  </r>
  <r>
    <x v="1"/>
    <x v="9"/>
    <x v="11"/>
    <x v="238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</r>
  <r>
    <x v="2"/>
    <x v="9"/>
    <x v="11"/>
    <x v="239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</r>
  <r>
    <x v="0"/>
    <x v="9"/>
    <x v="12"/>
    <x v="240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n v="139.26"/>
    <n v="182.8"/>
    <n v="176.4"/>
    <n v="183.5"/>
    <n v="167.8"/>
    <n v="171.2"/>
    <n v="177.3"/>
    <n v="175.7"/>
    <n v="175.5"/>
    <n v="177.1"/>
  </r>
  <r>
    <x v="1"/>
    <x v="9"/>
    <x v="12"/>
    <x v="241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</r>
  <r>
    <x v="2"/>
    <x v="9"/>
    <x v="12"/>
    <x v="24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</r>
  <r>
    <x v="0"/>
    <x v="10"/>
    <x v="0"/>
    <x v="243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n v="139.26"/>
    <n v="183.2"/>
    <n v="177.2"/>
    <n v="184.7"/>
    <n v="168.2"/>
    <n v="171.8"/>
    <n v="177.8"/>
    <n v="178.4"/>
    <n v="176.5"/>
    <n v="177.8"/>
  </r>
  <r>
    <x v="1"/>
    <x v="10"/>
    <x v="0"/>
    <x v="244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</r>
  <r>
    <x v="2"/>
    <x v="10"/>
    <x v="0"/>
    <x v="245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</r>
  <r>
    <x v="0"/>
    <x v="10"/>
    <x v="1"/>
    <x v="246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n v="139.26"/>
    <n v="181.6"/>
    <n v="178.6"/>
    <n v="186.6"/>
    <n v="169"/>
    <n v="172.8"/>
    <n v="178.5"/>
    <n v="180.7"/>
    <n v="177.9"/>
    <n v="178"/>
  </r>
  <r>
    <x v="1"/>
    <x v="10"/>
    <x v="1"/>
    <x v="24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</r>
  <r>
    <x v="2"/>
    <x v="10"/>
    <x v="1"/>
    <x v="248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</r>
  <r>
    <x v="0"/>
    <x v="10"/>
    <x v="2"/>
    <x v="249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n v="139.26"/>
    <n v="181.4"/>
    <n v="178.6"/>
    <n v="186.6"/>
    <n v="169"/>
    <n v="172.8"/>
    <n v="178.5"/>
    <n v="180.7"/>
    <n v="177.9"/>
    <n v="178"/>
  </r>
  <r>
    <x v="1"/>
    <x v="10"/>
    <x v="2"/>
    <x v="24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</r>
  <r>
    <x v="2"/>
    <x v="10"/>
    <x v="2"/>
    <x v="248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</r>
  <r>
    <x v="0"/>
    <x v="10"/>
    <x v="3"/>
    <x v="244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s v="-"/>
    <n v="181.5"/>
    <n v="179.1"/>
    <n v="187.2"/>
    <n v="169.4"/>
    <n v="173.2"/>
    <n v="179.4"/>
    <n v="183.8"/>
    <n v="178.9"/>
    <n v="178.8"/>
  </r>
  <r>
    <x v="1"/>
    <x v="10"/>
    <x v="3"/>
    <x v="250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</r>
  <r>
    <x v="2"/>
    <x v="10"/>
    <x v="3"/>
    <x v="245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n v="178.1"/>
  </r>
  <r>
    <x v="0"/>
    <x v="10"/>
    <x v="4"/>
    <x v="251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n v="139.26"/>
    <n v="182.5"/>
    <n v="179.8"/>
    <n v="187.8"/>
    <n v="169.7"/>
    <n v="173.8"/>
    <n v="180.3"/>
    <n v="184.9"/>
    <n v="179.5"/>
    <n v="179.8"/>
  </r>
  <r>
    <x v="1"/>
    <x v="10"/>
    <x v="4"/>
    <x v="24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</r>
  <r>
    <x v="2"/>
    <x v="10"/>
    <x v="4"/>
    <x v="252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</r>
  <r>
    <x v="3"/>
    <x v="11"/>
    <x v="14"/>
    <x v="253"/>
    <n v="156.26467741935483"/>
    <n v="140.79755645161288"/>
    <n v="140.3252016129033"/>
    <n v="132.12623655913973"/>
    <n v="140.84091397849451"/>
    <n v="155.75203225806447"/>
    <n v="141.43088709677423"/>
    <n v="110.92489247311818"/>
    <n v="144.52059139784953"/>
    <n v="134.09276881720425"/>
    <n v="149.08704301075284"/>
    <n v="142.51002688172051"/>
    <n v="155.38569892473117"/>
    <n v="142.66360215053757"/>
    <n v="135.97720430107526"/>
    <n v="141.67424731182797"/>
    <n v="139.25739837398376"/>
    <n v="136.51002688172042"/>
    <n v="136.686935483871"/>
    <n v="138.51674731182803"/>
    <n v="127.07370967741922"/>
    <n v="133.89177419354837"/>
    <n v="141.13112903225803"/>
    <n v="133.35"/>
    <n v="134.23569892473122"/>
    <n v="139.56440860215054"/>
  </r>
  <r>
    <x v="4"/>
    <x v="11"/>
    <x v="14"/>
    <x v="254"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x v="0"/>
    <x v="0"/>
    <s v="January"/>
    <n v="107.5"/>
    <n v="106.3"/>
    <x v="0"/>
    <n v="104.9"/>
    <n v="106.1"/>
    <n v="103.9"/>
    <n v="101.9"/>
    <n v="106.1"/>
    <n v="106.8"/>
    <n v="103.1"/>
    <n v="104.8"/>
    <n v="106.7"/>
    <x v="0"/>
    <x v="0"/>
    <x v="0"/>
    <x v="0"/>
    <x v="0"/>
    <x v="0"/>
    <x v="0"/>
    <x v="0"/>
    <x v="0"/>
    <x v="0"/>
    <x v="0"/>
    <x v="0"/>
    <n v="104.7"/>
    <n v="104"/>
    <n v="105.1"/>
    <x v="0"/>
  </r>
  <r>
    <x v="1"/>
    <x v="0"/>
    <s v="January"/>
    <n v="110.5"/>
    <n v="109.1"/>
    <x v="1"/>
    <n v="103.6"/>
    <n v="103.4"/>
    <n v="102.3"/>
    <n v="102.9"/>
    <n v="105.8"/>
    <n v="105.1"/>
    <n v="101.8"/>
    <n v="105.1"/>
    <n v="107.9"/>
    <x v="1"/>
    <x v="1"/>
    <x v="1"/>
    <x v="1"/>
    <x v="1"/>
    <x v="1"/>
    <x v="1"/>
    <x v="0"/>
    <x v="1"/>
    <x v="1"/>
    <x v="1"/>
    <x v="1"/>
    <n v="104.3"/>
    <n v="103.7"/>
    <n v="104"/>
    <x v="0"/>
  </r>
  <r>
    <x v="2"/>
    <x v="0"/>
    <s v="January"/>
    <n v="108.4"/>
    <n v="107.3"/>
    <x v="2"/>
    <n v="104.4"/>
    <n v="105.1"/>
    <n v="103.2"/>
    <n v="102.2"/>
    <n v="106"/>
    <n v="106.2"/>
    <n v="102.7"/>
    <n v="104.9"/>
    <n v="107.3"/>
    <x v="2"/>
    <x v="0"/>
    <x v="2"/>
    <x v="2"/>
    <x v="2"/>
    <x v="1"/>
    <x v="0"/>
    <x v="0"/>
    <x v="0"/>
    <x v="1"/>
    <x v="2"/>
    <x v="2"/>
    <n v="104.5"/>
    <n v="103.9"/>
    <n v="104.6"/>
    <x v="0"/>
  </r>
  <r>
    <x v="0"/>
    <x v="0"/>
    <s v="February"/>
    <n v="109.2"/>
    <n v="108.7"/>
    <x v="3"/>
    <n v="105.4"/>
    <n v="106.7"/>
    <n v="104"/>
    <n v="102.4"/>
    <n v="105.9"/>
    <n v="105.7"/>
    <n v="103.1"/>
    <n v="105.1"/>
    <n v="107.7"/>
    <x v="3"/>
    <x v="2"/>
    <x v="3"/>
    <x v="3"/>
    <x v="3"/>
    <x v="0"/>
    <x v="2"/>
    <x v="1"/>
    <x v="2"/>
    <x v="2"/>
    <x v="3"/>
    <x v="3"/>
    <n v="104.6"/>
    <n v="104.4"/>
    <n v="105.8"/>
    <x v="1"/>
  </r>
  <r>
    <x v="1"/>
    <x v="0"/>
    <s v="February"/>
    <n v="112.9"/>
    <n v="112.9"/>
    <x v="4"/>
    <n v="104"/>
    <n v="103.5"/>
    <n v="103.1"/>
    <n v="104.9"/>
    <n v="104.1"/>
    <n v="103.8"/>
    <n v="102.3"/>
    <n v="106"/>
    <n v="109"/>
    <x v="4"/>
    <x v="3"/>
    <x v="4"/>
    <x v="2"/>
    <x v="0"/>
    <x v="2"/>
    <x v="3"/>
    <x v="1"/>
    <x v="3"/>
    <x v="3"/>
    <x v="4"/>
    <x v="4"/>
    <n v="104.3"/>
    <n v="104.3"/>
    <n v="104.7"/>
    <x v="1"/>
  </r>
  <r>
    <x v="2"/>
    <x v="0"/>
    <s v="February"/>
    <n v="110.4"/>
    <n v="110.2"/>
    <x v="5"/>
    <n v="104.9"/>
    <n v="105.5"/>
    <n v="103.6"/>
    <n v="103.2"/>
    <n v="105.3"/>
    <n v="105.1"/>
    <n v="102.8"/>
    <n v="105.5"/>
    <n v="108.3"/>
    <x v="5"/>
    <x v="4"/>
    <x v="5"/>
    <x v="4"/>
    <x v="4"/>
    <x v="2"/>
    <x v="4"/>
    <x v="1"/>
    <x v="4"/>
    <x v="4"/>
    <x v="5"/>
    <x v="5"/>
    <n v="104.5"/>
    <n v="104.4"/>
    <n v="105.3"/>
    <x v="1"/>
  </r>
  <r>
    <x v="0"/>
    <x v="0"/>
    <s v="March"/>
    <n v="110.2"/>
    <n v="108.8"/>
    <x v="6"/>
    <n v="105.6"/>
    <n v="106.2"/>
    <n v="105.7"/>
    <n v="101.4"/>
    <n v="105.7"/>
    <n v="105"/>
    <n v="103.3"/>
    <n v="105.6"/>
    <n v="108.2"/>
    <x v="5"/>
    <x v="5"/>
    <x v="6"/>
    <x v="5"/>
    <x v="5"/>
    <x v="0"/>
    <x v="5"/>
    <x v="2"/>
    <x v="3"/>
    <x v="5"/>
    <x v="3"/>
    <x v="6"/>
    <n v="104.3"/>
    <n v="104.6"/>
    <n v="106"/>
    <x v="2"/>
  </r>
  <r>
    <x v="1"/>
    <x v="0"/>
    <s v="March"/>
    <n v="113.9"/>
    <n v="111.4"/>
    <x v="7"/>
    <n v="104.3"/>
    <n v="102.7"/>
    <n v="104.9"/>
    <n v="103.8"/>
    <n v="103.5"/>
    <n v="102.6"/>
    <n v="102.4"/>
    <n v="107"/>
    <n v="109.8"/>
    <x v="6"/>
    <x v="6"/>
    <x v="7"/>
    <x v="4"/>
    <x v="3"/>
    <x v="2"/>
    <x v="4"/>
    <x v="3"/>
    <x v="5"/>
    <x v="6"/>
    <x v="6"/>
    <x v="0"/>
    <n v="104.2"/>
    <n v="104.9"/>
    <n v="105"/>
    <x v="2"/>
  </r>
  <r>
    <x v="2"/>
    <x v="0"/>
    <s v="March"/>
    <n v="111.4"/>
    <n v="109.7"/>
    <x v="8"/>
    <n v="105.1"/>
    <n v="104.9"/>
    <n v="105.3"/>
    <n v="102.2"/>
    <n v="105"/>
    <n v="104.2"/>
    <n v="103"/>
    <n v="106.2"/>
    <n v="108.9"/>
    <x v="7"/>
    <x v="7"/>
    <x v="8"/>
    <x v="6"/>
    <x v="6"/>
    <x v="2"/>
    <x v="5"/>
    <x v="2"/>
    <x v="6"/>
    <x v="7"/>
    <x v="7"/>
    <x v="7"/>
    <n v="104.3"/>
    <n v="104.7"/>
    <n v="105.5"/>
    <x v="2"/>
  </r>
  <r>
    <x v="0"/>
    <x v="0"/>
    <s v="April"/>
    <n v="110.2"/>
    <n v="109.5"/>
    <x v="9"/>
    <n v="106.3"/>
    <n v="105.7"/>
    <n v="108.3"/>
    <n v="103.4"/>
    <n v="105.7"/>
    <n v="104.2"/>
    <n v="103.2"/>
    <n v="106.5"/>
    <n v="108.8"/>
    <x v="8"/>
    <x v="8"/>
    <x v="9"/>
    <x v="7"/>
    <x v="7"/>
    <x v="0"/>
    <x v="6"/>
    <x v="4"/>
    <x v="7"/>
    <x v="3"/>
    <x v="8"/>
    <x v="8"/>
    <n v="102.7"/>
    <n v="104.6"/>
    <n v="106.4"/>
    <x v="3"/>
  </r>
  <r>
    <x v="1"/>
    <x v="0"/>
    <s v="April"/>
    <n v="114.6"/>
    <n v="113.4"/>
    <x v="10"/>
    <n v="104.7"/>
    <n v="102.1"/>
    <n v="109.5"/>
    <n v="109.7"/>
    <n v="104.6"/>
    <n v="102"/>
    <n v="103.5"/>
    <n v="108.2"/>
    <n v="110.6"/>
    <x v="9"/>
    <x v="9"/>
    <x v="10"/>
    <x v="8"/>
    <x v="8"/>
    <x v="3"/>
    <x v="7"/>
    <x v="5"/>
    <x v="8"/>
    <x v="8"/>
    <x v="3"/>
    <x v="9"/>
    <n v="103.2"/>
    <n v="105.1"/>
    <n v="105.7"/>
    <x v="3"/>
  </r>
  <r>
    <x v="2"/>
    <x v="0"/>
    <s v="April"/>
    <n v="111.6"/>
    <n v="110.9"/>
    <x v="11"/>
    <n v="105.7"/>
    <n v="104.4"/>
    <n v="108.9"/>
    <n v="105.5"/>
    <n v="105.3"/>
    <n v="103.5"/>
    <n v="103.3"/>
    <n v="107.2"/>
    <n v="109.6"/>
    <x v="10"/>
    <x v="10"/>
    <x v="11"/>
    <x v="9"/>
    <x v="9"/>
    <x v="3"/>
    <x v="6"/>
    <x v="6"/>
    <x v="9"/>
    <x v="9"/>
    <x v="9"/>
    <x v="10"/>
    <n v="102.9"/>
    <n v="104.8"/>
    <n v="106.1"/>
    <x v="3"/>
  </r>
  <r>
    <x v="0"/>
    <x v="0"/>
    <s v="May"/>
    <n v="110.9"/>
    <n v="109.8"/>
    <x v="12"/>
    <n v="107.5"/>
    <n v="105.3"/>
    <n v="108.1"/>
    <n v="107.3"/>
    <n v="106.1"/>
    <n v="103.7"/>
    <n v="104"/>
    <n v="107.4"/>
    <n v="109.9"/>
    <x v="11"/>
    <x v="11"/>
    <x v="12"/>
    <x v="10"/>
    <x v="10"/>
    <x v="0"/>
    <x v="8"/>
    <x v="7"/>
    <x v="8"/>
    <x v="10"/>
    <x v="10"/>
    <x v="11"/>
    <n v="102.1"/>
    <n v="104.8"/>
    <n v="107.2"/>
    <x v="4"/>
  </r>
  <r>
    <x v="1"/>
    <x v="0"/>
    <s v="May"/>
    <n v="115.4"/>
    <n v="114.2"/>
    <x v="13"/>
    <n v="105.5"/>
    <n v="101.5"/>
    <n v="110.6"/>
    <n v="123.7"/>
    <n v="105.2"/>
    <n v="101.9"/>
    <n v="105"/>
    <n v="109.1"/>
    <n v="111.3"/>
    <x v="12"/>
    <x v="12"/>
    <x v="13"/>
    <x v="11"/>
    <x v="11"/>
    <x v="3"/>
    <x v="9"/>
    <x v="8"/>
    <x v="10"/>
    <x v="2"/>
    <x v="11"/>
    <x v="12"/>
    <n v="102.6"/>
    <n v="104.9"/>
    <n v="106.6"/>
    <x v="4"/>
  </r>
  <r>
    <x v="2"/>
    <x v="0"/>
    <s v="May"/>
    <n v="112.3"/>
    <n v="111.3"/>
    <x v="14"/>
    <n v="106.8"/>
    <n v="103.9"/>
    <n v="109.3"/>
    <n v="112.9"/>
    <n v="105.8"/>
    <n v="103.1"/>
    <n v="104.3"/>
    <n v="108.1"/>
    <n v="110.5"/>
    <x v="13"/>
    <x v="13"/>
    <x v="14"/>
    <x v="7"/>
    <x v="12"/>
    <x v="3"/>
    <x v="10"/>
    <x v="9"/>
    <x v="11"/>
    <x v="11"/>
    <x v="12"/>
    <x v="13"/>
    <n v="102.3"/>
    <n v="104.8"/>
    <n v="106.9"/>
    <x v="4"/>
  </r>
  <r>
    <x v="0"/>
    <x v="0"/>
    <s v="June"/>
    <n v="112.3"/>
    <n v="112.1"/>
    <x v="0"/>
    <n v="108.3"/>
    <n v="105.9"/>
    <n v="109.2"/>
    <n v="118"/>
    <n v="106.8"/>
    <n v="104.1"/>
    <n v="105.4"/>
    <n v="108.2"/>
    <n v="111"/>
    <x v="14"/>
    <x v="14"/>
    <x v="15"/>
    <x v="12"/>
    <x v="13"/>
    <x v="0"/>
    <x v="11"/>
    <x v="10"/>
    <x v="12"/>
    <x v="8"/>
    <x v="13"/>
    <x v="14"/>
    <n v="102.5"/>
    <n v="105.5"/>
    <n v="108.9"/>
    <x v="5"/>
  </r>
  <r>
    <x v="1"/>
    <x v="0"/>
    <s v="June"/>
    <n v="117"/>
    <n v="120.1"/>
    <x v="15"/>
    <n v="107.3"/>
    <n v="101.3"/>
    <n v="112.4"/>
    <n v="143.6"/>
    <n v="105.4"/>
    <n v="101.4"/>
    <n v="106.4"/>
    <n v="110"/>
    <n v="112.2"/>
    <x v="15"/>
    <x v="15"/>
    <x v="16"/>
    <x v="13"/>
    <x v="14"/>
    <x v="4"/>
    <x v="12"/>
    <x v="11"/>
    <x v="13"/>
    <x v="12"/>
    <x v="14"/>
    <x v="15"/>
    <n v="103.3"/>
    <n v="106.1"/>
    <n v="109.7"/>
    <x v="5"/>
  </r>
  <r>
    <x v="2"/>
    <x v="0"/>
    <s v="June"/>
    <n v="113.8"/>
    <n v="114.9"/>
    <x v="16"/>
    <n v="107.9"/>
    <n v="104.2"/>
    <n v="110.7"/>
    <n v="126.7"/>
    <n v="106.3"/>
    <n v="103.2"/>
    <n v="105.7"/>
    <n v="109"/>
    <n v="111.6"/>
    <x v="16"/>
    <x v="16"/>
    <x v="17"/>
    <x v="14"/>
    <x v="15"/>
    <x v="4"/>
    <x v="13"/>
    <x v="12"/>
    <x v="14"/>
    <x v="7"/>
    <x v="15"/>
    <x v="16"/>
    <n v="102.8"/>
    <n v="105.8"/>
    <n v="109.3"/>
    <x v="5"/>
  </r>
  <r>
    <x v="0"/>
    <x v="0"/>
    <s v="July"/>
    <n v="113.4"/>
    <n v="114.9"/>
    <x v="17"/>
    <n v="109.3"/>
    <n v="106.2"/>
    <n v="110.3"/>
    <n v="129.19999999999999"/>
    <n v="107.1"/>
    <n v="104.3"/>
    <n v="106.4"/>
    <n v="109.1"/>
    <n v="112.1"/>
    <x v="17"/>
    <x v="12"/>
    <x v="18"/>
    <x v="15"/>
    <x v="16"/>
    <x v="0"/>
    <x v="14"/>
    <x v="13"/>
    <x v="15"/>
    <x v="13"/>
    <x v="16"/>
    <x v="17"/>
    <n v="102.5"/>
    <n v="106.5"/>
    <n v="110.7"/>
    <x v="6"/>
  </r>
  <r>
    <x v="1"/>
    <x v="0"/>
    <s v="July"/>
    <n v="117.8"/>
    <n v="119.2"/>
    <x v="18"/>
    <n v="108.3"/>
    <n v="101.1"/>
    <n v="113.2"/>
    <n v="160.9"/>
    <n v="105.1"/>
    <n v="101.3"/>
    <n v="107.5"/>
    <n v="110.4"/>
    <n v="113.1"/>
    <x v="18"/>
    <x v="17"/>
    <x v="19"/>
    <x v="16"/>
    <x v="13"/>
    <x v="5"/>
    <x v="15"/>
    <x v="14"/>
    <x v="16"/>
    <x v="14"/>
    <x v="17"/>
    <x v="18"/>
    <n v="103.2"/>
    <n v="107.3"/>
    <n v="111.4"/>
    <x v="6"/>
  </r>
  <r>
    <x v="2"/>
    <x v="0"/>
    <s v="July"/>
    <n v="114.8"/>
    <n v="116.4"/>
    <x v="19"/>
    <n v="108.9"/>
    <n v="104.3"/>
    <n v="111.7"/>
    <n v="140"/>
    <n v="106.4"/>
    <n v="103.3"/>
    <n v="106.8"/>
    <n v="109.6"/>
    <n v="112.6"/>
    <x v="19"/>
    <x v="18"/>
    <x v="20"/>
    <x v="12"/>
    <x v="17"/>
    <x v="5"/>
    <x v="16"/>
    <x v="15"/>
    <x v="17"/>
    <x v="15"/>
    <x v="18"/>
    <x v="19"/>
    <n v="102.8"/>
    <n v="106.9"/>
    <n v="111"/>
    <x v="6"/>
  </r>
  <r>
    <x v="0"/>
    <x v="0"/>
    <s v="August"/>
    <n v="114.3"/>
    <n v="115.4"/>
    <x v="20"/>
    <n v="110"/>
    <n v="106.4"/>
    <n v="110.8"/>
    <n v="138.9"/>
    <n v="107.4"/>
    <n v="104.1"/>
    <n v="106.9"/>
    <n v="109.7"/>
    <n v="112.6"/>
    <x v="20"/>
    <x v="19"/>
    <x v="21"/>
    <x v="17"/>
    <x v="18"/>
    <x v="0"/>
    <x v="17"/>
    <x v="16"/>
    <x v="18"/>
    <x v="16"/>
    <x v="19"/>
    <x v="20"/>
    <n v="105"/>
    <n v="107.5"/>
    <n v="112.1"/>
    <x v="7"/>
  </r>
  <r>
    <x v="1"/>
    <x v="0"/>
    <s v="August"/>
    <n v="118.3"/>
    <n v="120.4"/>
    <x v="21"/>
    <n v="108.9"/>
    <n v="101.1"/>
    <n v="108.7"/>
    <n v="177"/>
    <n v="104.7"/>
    <n v="101"/>
    <n v="108.5"/>
    <n v="110.9"/>
    <n v="114.3"/>
    <x v="21"/>
    <x v="20"/>
    <x v="22"/>
    <x v="18"/>
    <x v="19"/>
    <x v="6"/>
    <x v="18"/>
    <x v="16"/>
    <x v="19"/>
    <x v="17"/>
    <x v="20"/>
    <x v="21"/>
    <n v="106"/>
    <n v="108.3"/>
    <n v="112.7"/>
    <x v="7"/>
  </r>
  <r>
    <x v="2"/>
    <x v="0"/>
    <s v="August"/>
    <n v="115.6"/>
    <n v="117.2"/>
    <x v="22"/>
    <n v="109.6"/>
    <n v="104.5"/>
    <n v="109.8"/>
    <n v="151.80000000000001"/>
    <n v="106.5"/>
    <n v="103.1"/>
    <n v="107.4"/>
    <n v="110.2"/>
    <n v="113.4"/>
    <x v="22"/>
    <x v="21"/>
    <x v="23"/>
    <x v="19"/>
    <x v="20"/>
    <x v="6"/>
    <x v="19"/>
    <x v="16"/>
    <x v="18"/>
    <x v="18"/>
    <x v="21"/>
    <x v="22"/>
    <n v="105.4"/>
    <n v="107.9"/>
    <n v="112.4"/>
    <x v="7"/>
  </r>
  <r>
    <x v="0"/>
    <x v="0"/>
    <s v="September"/>
    <n v="115.4"/>
    <n v="115.7"/>
    <x v="22"/>
    <n v="111"/>
    <n v="107.4"/>
    <n v="110.9"/>
    <n v="154"/>
    <n v="108.1"/>
    <n v="104.2"/>
    <n v="107.9"/>
    <n v="110.4"/>
    <n v="114"/>
    <x v="23"/>
    <x v="17"/>
    <x v="24"/>
    <x v="20"/>
    <x v="21"/>
    <x v="0"/>
    <x v="20"/>
    <x v="17"/>
    <x v="20"/>
    <x v="19"/>
    <x v="22"/>
    <x v="23"/>
    <n v="106.7"/>
    <n v="108.7"/>
    <n v="114.2"/>
    <x v="8"/>
  </r>
  <r>
    <x v="1"/>
    <x v="0"/>
    <s v="September"/>
    <n v="118.6"/>
    <n v="119.1"/>
    <x v="7"/>
    <n v="109.6"/>
    <n v="101.7"/>
    <n v="103.2"/>
    <n v="174.3"/>
    <n v="105.1"/>
    <n v="100.8"/>
    <n v="109.1"/>
    <n v="111.1"/>
    <n v="115.4"/>
    <x v="24"/>
    <x v="22"/>
    <x v="25"/>
    <x v="21"/>
    <x v="18"/>
    <x v="7"/>
    <x v="14"/>
    <x v="17"/>
    <x v="21"/>
    <x v="20"/>
    <x v="23"/>
    <x v="24"/>
    <n v="106.9"/>
    <n v="109.4"/>
    <n v="113.2"/>
    <x v="8"/>
  </r>
  <r>
    <x v="2"/>
    <x v="0"/>
    <s v="September"/>
    <n v="116.4"/>
    <n v="116.9"/>
    <x v="23"/>
    <n v="110.5"/>
    <n v="105.3"/>
    <n v="107.3"/>
    <n v="160.9"/>
    <n v="107.1"/>
    <n v="103.1"/>
    <n v="108.3"/>
    <n v="110.7"/>
    <n v="114.6"/>
    <x v="25"/>
    <x v="23"/>
    <x v="26"/>
    <x v="22"/>
    <x v="22"/>
    <x v="7"/>
    <x v="21"/>
    <x v="17"/>
    <x v="22"/>
    <x v="21"/>
    <x v="24"/>
    <x v="25"/>
    <n v="106.8"/>
    <n v="109"/>
    <n v="113.7"/>
    <x v="8"/>
  </r>
  <r>
    <x v="0"/>
    <x v="0"/>
    <s v="October"/>
    <n v="116.3"/>
    <n v="115.4"/>
    <x v="24"/>
    <n v="111.7"/>
    <n v="107.7"/>
    <n v="113.2"/>
    <n v="164.9"/>
    <n v="108.3"/>
    <n v="103.9"/>
    <n v="108.2"/>
    <n v="111.1"/>
    <n v="114.9"/>
    <x v="26"/>
    <x v="24"/>
    <x v="27"/>
    <x v="23"/>
    <x v="23"/>
    <x v="0"/>
    <x v="22"/>
    <x v="18"/>
    <x v="23"/>
    <x v="19"/>
    <x v="25"/>
    <x v="26"/>
    <n v="107.5"/>
    <n v="109.1"/>
    <n v="115.5"/>
    <x v="9"/>
  </r>
  <r>
    <x v="1"/>
    <x v="0"/>
    <s v="October"/>
    <n v="118.9"/>
    <n v="118.1"/>
    <x v="25"/>
    <n v="110.4"/>
    <n v="102.3"/>
    <n v="106.2"/>
    <n v="183.5"/>
    <n v="105.3"/>
    <n v="100.2"/>
    <n v="109.6"/>
    <n v="111.4"/>
    <n v="116"/>
    <x v="27"/>
    <x v="25"/>
    <x v="28"/>
    <x v="24"/>
    <x v="24"/>
    <x v="8"/>
    <x v="19"/>
    <x v="19"/>
    <x v="24"/>
    <x v="22"/>
    <x v="26"/>
    <x v="27"/>
    <n v="107.3"/>
    <n v="109.4"/>
    <n v="114"/>
    <x v="9"/>
  </r>
  <r>
    <x v="2"/>
    <x v="0"/>
    <s v="October"/>
    <n v="117.1"/>
    <n v="116.3"/>
    <x v="26"/>
    <n v="111.2"/>
    <n v="105.7"/>
    <n v="109.9"/>
    <n v="171.2"/>
    <n v="107.3"/>
    <n v="102.7"/>
    <n v="108.7"/>
    <n v="111.2"/>
    <n v="115.4"/>
    <x v="28"/>
    <x v="26"/>
    <x v="29"/>
    <x v="25"/>
    <x v="25"/>
    <x v="8"/>
    <x v="23"/>
    <x v="20"/>
    <x v="25"/>
    <x v="23"/>
    <x v="27"/>
    <x v="21"/>
    <n v="107.4"/>
    <n v="109.2"/>
    <n v="114.8"/>
    <x v="9"/>
  </r>
  <r>
    <x v="0"/>
    <x v="0"/>
    <s v="November "/>
    <n v="117.3"/>
    <n v="114.9"/>
    <x v="27"/>
    <n v="112.8"/>
    <n v="108.9"/>
    <n v="116.6"/>
    <n v="178.1"/>
    <n v="109.1"/>
    <n v="103.6"/>
    <n v="109"/>
    <n v="111.8"/>
    <n v="116"/>
    <x v="29"/>
    <x v="27"/>
    <x v="30"/>
    <x v="26"/>
    <x v="26"/>
    <x v="0"/>
    <x v="24"/>
    <x v="21"/>
    <x v="26"/>
    <x v="24"/>
    <x v="28"/>
    <x v="28"/>
    <n v="108.2"/>
    <n v="109.8"/>
    <n v="117.4"/>
    <x v="10"/>
  </r>
  <r>
    <x v="1"/>
    <x v="0"/>
    <s v="November"/>
    <n v="119.8"/>
    <n v="116.3"/>
    <x v="28"/>
    <n v="112"/>
    <n v="103.2"/>
    <n v="110"/>
    <n v="192.8"/>
    <n v="106.3"/>
    <n v="99.5"/>
    <n v="110.3"/>
    <n v="111.8"/>
    <n v="117.1"/>
    <x v="30"/>
    <x v="28"/>
    <x v="31"/>
    <x v="27"/>
    <x v="27"/>
    <x v="9"/>
    <x v="25"/>
    <x v="22"/>
    <x v="25"/>
    <x v="23"/>
    <x v="29"/>
    <x v="27"/>
    <n v="107.9"/>
    <n v="109.6"/>
    <n v="115"/>
    <x v="10"/>
  </r>
  <r>
    <x v="2"/>
    <x v="0"/>
    <s v="November"/>
    <n v="118.1"/>
    <n v="115.4"/>
    <x v="29"/>
    <n v="112.5"/>
    <n v="106.8"/>
    <n v="113.5"/>
    <n v="183.1"/>
    <n v="108.2"/>
    <n v="102.2"/>
    <n v="109.4"/>
    <n v="111.8"/>
    <n v="116.5"/>
    <x v="31"/>
    <x v="29"/>
    <x v="32"/>
    <x v="28"/>
    <x v="28"/>
    <x v="9"/>
    <x v="22"/>
    <x v="23"/>
    <x v="27"/>
    <x v="23"/>
    <x v="30"/>
    <x v="24"/>
    <n v="108.1"/>
    <n v="109.7"/>
    <n v="116.3"/>
    <x v="10"/>
  </r>
  <r>
    <x v="0"/>
    <x v="0"/>
    <s v="December"/>
    <n v="118.4"/>
    <n v="115.9"/>
    <x v="30"/>
    <n v="113.8"/>
    <n v="109.5"/>
    <n v="115.5"/>
    <n v="145.69999999999999"/>
    <n v="109.5"/>
    <n v="102.9"/>
    <n v="109.8"/>
    <n v="112.1"/>
    <n v="116.8"/>
    <x v="32"/>
    <x v="30"/>
    <x v="33"/>
    <x v="29"/>
    <x v="29"/>
    <x v="0"/>
    <x v="26"/>
    <x v="24"/>
    <x v="28"/>
    <x v="21"/>
    <x v="31"/>
    <x v="29"/>
    <n v="108.1"/>
    <n v="110.1"/>
    <n v="115.5"/>
    <x v="11"/>
  </r>
  <r>
    <x v="1"/>
    <x v="0"/>
    <s v="December"/>
    <n v="120.5"/>
    <n v="118.1"/>
    <x v="31"/>
    <n v="112.8"/>
    <n v="103.4"/>
    <n v="110.7"/>
    <n v="144.80000000000001"/>
    <n v="107.1"/>
    <n v="98.6"/>
    <n v="111.9"/>
    <n v="112.1"/>
    <n v="118.1"/>
    <x v="23"/>
    <x v="31"/>
    <x v="32"/>
    <x v="30"/>
    <x v="30"/>
    <x v="10"/>
    <x v="27"/>
    <x v="21"/>
    <x v="29"/>
    <x v="22"/>
    <x v="32"/>
    <x v="30"/>
    <n v="107.7"/>
    <n v="109.8"/>
    <n v="113.3"/>
    <x v="11"/>
  </r>
  <r>
    <x v="2"/>
    <x v="0"/>
    <s v="December"/>
    <n v="119.1"/>
    <n v="116.7"/>
    <x v="32"/>
    <n v="113.4"/>
    <n v="107.3"/>
    <n v="113.3"/>
    <n v="145.4"/>
    <n v="108.7"/>
    <n v="101.5"/>
    <n v="110.5"/>
    <n v="112.1"/>
    <n v="117.4"/>
    <x v="33"/>
    <x v="32"/>
    <x v="34"/>
    <x v="31"/>
    <x v="31"/>
    <x v="10"/>
    <x v="28"/>
    <x v="25"/>
    <x v="26"/>
    <x v="25"/>
    <x v="33"/>
    <x v="31"/>
    <n v="107.9"/>
    <n v="110"/>
    <n v="114.5"/>
    <x v="11"/>
  </r>
  <r>
    <x v="0"/>
    <x v="1"/>
    <s v="January"/>
    <n v="118.9"/>
    <n v="117.1"/>
    <x v="33"/>
    <n v="114.4"/>
    <n v="109"/>
    <n v="115.5"/>
    <n v="123.9"/>
    <n v="109.6"/>
    <n v="101.8"/>
    <n v="110.2"/>
    <n v="112.4"/>
    <n v="117.3"/>
    <x v="34"/>
    <x v="32"/>
    <x v="35"/>
    <x v="32"/>
    <x v="32"/>
    <x v="0"/>
    <x v="29"/>
    <x v="26"/>
    <x v="30"/>
    <x v="26"/>
    <x v="34"/>
    <x v="32"/>
    <n v="108.3"/>
    <n v="110.6"/>
    <n v="114.2"/>
    <x v="12"/>
  </r>
  <r>
    <x v="1"/>
    <x v="1"/>
    <s v="January"/>
    <n v="121.2"/>
    <n v="122"/>
    <x v="34"/>
    <n v="113.6"/>
    <n v="102.9"/>
    <n v="112.1"/>
    <n v="118.9"/>
    <n v="107.5"/>
    <n v="96.9"/>
    <n v="112.7"/>
    <n v="112.1"/>
    <n v="119"/>
    <x v="35"/>
    <x v="33"/>
    <x v="36"/>
    <x v="33"/>
    <x v="33"/>
    <x v="11"/>
    <x v="30"/>
    <x v="27"/>
    <x v="26"/>
    <x v="27"/>
    <x v="35"/>
    <x v="31"/>
    <n v="108"/>
    <n v="110.5"/>
    <n v="112.9"/>
    <x v="12"/>
  </r>
  <r>
    <x v="2"/>
    <x v="1"/>
    <s v="January"/>
    <n v="119.6"/>
    <n v="118.8"/>
    <x v="35"/>
    <n v="114.1"/>
    <n v="106.8"/>
    <n v="113.9"/>
    <n v="122.2"/>
    <n v="108.9"/>
    <n v="100.2"/>
    <n v="111"/>
    <n v="112.3"/>
    <n v="118.1"/>
    <x v="36"/>
    <x v="34"/>
    <x v="33"/>
    <x v="34"/>
    <x v="34"/>
    <x v="11"/>
    <x v="31"/>
    <x v="28"/>
    <x v="31"/>
    <x v="28"/>
    <x v="36"/>
    <x v="29"/>
    <n v="108.2"/>
    <n v="110.6"/>
    <n v="113.6"/>
    <x v="12"/>
  </r>
  <r>
    <x v="0"/>
    <x v="1"/>
    <s v="February"/>
    <n v="119.4"/>
    <n v="117.7"/>
    <x v="36"/>
    <n v="115"/>
    <n v="109"/>
    <n v="116.6"/>
    <n v="116"/>
    <n v="109.8"/>
    <n v="101.1"/>
    <n v="110.4"/>
    <n v="112.9"/>
    <n v="117.8"/>
    <x v="37"/>
    <x v="35"/>
    <x v="37"/>
    <x v="32"/>
    <x v="35"/>
    <x v="0"/>
    <x v="32"/>
    <x v="29"/>
    <x v="32"/>
    <x v="27"/>
    <x v="37"/>
    <x v="33"/>
    <n v="108.7"/>
    <n v="110.9"/>
    <n v="114"/>
    <x v="13"/>
  </r>
  <r>
    <x v="1"/>
    <x v="1"/>
    <s v="February"/>
    <n v="121.9"/>
    <n v="122"/>
    <x v="37"/>
    <n v="115.2"/>
    <n v="102.5"/>
    <n v="114.1"/>
    <n v="111.5"/>
    <n v="108.2"/>
    <n v="95.4"/>
    <n v="113.5"/>
    <n v="112.1"/>
    <n v="119.9"/>
    <x v="38"/>
    <x v="36"/>
    <x v="38"/>
    <x v="35"/>
    <x v="36"/>
    <x v="12"/>
    <x v="20"/>
    <x v="26"/>
    <x v="33"/>
    <x v="29"/>
    <x v="38"/>
    <x v="29"/>
    <n v="108.7"/>
    <n v="111"/>
    <n v="113.1"/>
    <x v="13"/>
  </r>
  <r>
    <x v="2"/>
    <x v="1"/>
    <s v="February"/>
    <n v="120.2"/>
    <n v="119.2"/>
    <x v="38"/>
    <n v="115.1"/>
    <n v="106.6"/>
    <n v="115.4"/>
    <n v="114.5"/>
    <n v="109.3"/>
    <n v="99.2"/>
    <n v="111.4"/>
    <n v="112.6"/>
    <n v="118.8"/>
    <x v="37"/>
    <x v="37"/>
    <x v="39"/>
    <x v="36"/>
    <x v="37"/>
    <x v="12"/>
    <x v="33"/>
    <x v="30"/>
    <x v="34"/>
    <x v="30"/>
    <x v="39"/>
    <x v="32"/>
    <n v="108.7"/>
    <n v="110.9"/>
    <n v="113.6"/>
    <x v="13"/>
  </r>
  <r>
    <x v="0"/>
    <x v="1"/>
    <s v="March"/>
    <n v="120.1"/>
    <n v="118.1"/>
    <x v="39"/>
    <n v="116.1"/>
    <n v="109.3"/>
    <n v="119.6"/>
    <n v="117.9"/>
    <n v="110.2"/>
    <n v="101.2"/>
    <n v="110.7"/>
    <n v="113"/>
    <n v="118.3"/>
    <x v="39"/>
    <x v="38"/>
    <x v="40"/>
    <x v="37"/>
    <x v="38"/>
    <x v="0"/>
    <x v="34"/>
    <x v="31"/>
    <x v="35"/>
    <x v="31"/>
    <x v="40"/>
    <x v="34"/>
    <n v="108.9"/>
    <n v="111.3"/>
    <n v="114.6"/>
    <x v="14"/>
  </r>
  <r>
    <x v="1"/>
    <x v="1"/>
    <s v="March"/>
    <n v="122.1"/>
    <n v="121.4"/>
    <x v="40"/>
    <n v="116.2"/>
    <n v="102.8"/>
    <n v="117.7"/>
    <n v="113.3"/>
    <n v="108.9"/>
    <n v="96.3"/>
    <n v="114.1"/>
    <n v="112.2"/>
    <n v="120.5"/>
    <x v="34"/>
    <x v="39"/>
    <x v="33"/>
    <x v="38"/>
    <x v="39"/>
    <x v="13"/>
    <x v="23"/>
    <x v="32"/>
    <x v="36"/>
    <x v="32"/>
    <x v="41"/>
    <x v="32"/>
    <n v="109.2"/>
    <n v="111.4"/>
    <n v="113.7"/>
    <x v="14"/>
  </r>
  <r>
    <x v="2"/>
    <x v="1"/>
    <s v="Marcrh"/>
    <n v="120.7"/>
    <n v="119.3"/>
    <x v="41"/>
    <n v="116.1"/>
    <n v="106.9"/>
    <n v="118.7"/>
    <n v="116.3"/>
    <n v="109.8"/>
    <n v="99.6"/>
    <n v="111.8"/>
    <n v="112.7"/>
    <n v="119.3"/>
    <x v="40"/>
    <x v="40"/>
    <x v="41"/>
    <x v="39"/>
    <x v="40"/>
    <x v="13"/>
    <x v="35"/>
    <x v="33"/>
    <x v="37"/>
    <x v="33"/>
    <x v="42"/>
    <x v="33"/>
    <n v="109"/>
    <n v="111.3"/>
    <n v="114.2"/>
    <x v="15"/>
  </r>
  <r>
    <x v="0"/>
    <x v="1"/>
    <s v="April"/>
    <n v="120.2"/>
    <n v="118.9"/>
    <x v="42"/>
    <n v="117"/>
    <n v="109.7"/>
    <n v="125.5"/>
    <n v="120.5"/>
    <n v="111"/>
    <n v="102.6"/>
    <n v="111.2"/>
    <n v="113.5"/>
    <n v="118.7"/>
    <x v="41"/>
    <x v="41"/>
    <x v="42"/>
    <x v="40"/>
    <x v="41"/>
    <x v="0"/>
    <x v="34"/>
    <x v="34"/>
    <x v="38"/>
    <x v="31"/>
    <x v="43"/>
    <x v="35"/>
    <n v="108.9"/>
    <n v="111.5"/>
    <n v="115.4"/>
    <x v="16"/>
  </r>
  <r>
    <x v="1"/>
    <x v="1"/>
    <s v="April"/>
    <n v="122.5"/>
    <n v="121.7"/>
    <x v="26"/>
    <n v="117"/>
    <n v="103.1"/>
    <n v="126.7"/>
    <n v="121.2"/>
    <n v="111"/>
    <n v="100.3"/>
    <n v="115.3"/>
    <n v="112.7"/>
    <n v="121"/>
    <x v="42"/>
    <x v="42"/>
    <x v="43"/>
    <x v="41"/>
    <x v="42"/>
    <x v="14"/>
    <x v="23"/>
    <x v="31"/>
    <x v="39"/>
    <x v="31"/>
    <x v="44"/>
    <x v="36"/>
    <n v="109.1"/>
    <n v="111.4"/>
    <n v="114.7"/>
    <x v="16"/>
  </r>
  <r>
    <x v="2"/>
    <x v="1"/>
    <s v="April"/>
    <n v="120.9"/>
    <n v="119.9"/>
    <x v="27"/>
    <n v="117"/>
    <n v="107.3"/>
    <n v="126.1"/>
    <n v="120.7"/>
    <n v="111"/>
    <n v="101.8"/>
    <n v="112.6"/>
    <n v="113.2"/>
    <n v="119.8"/>
    <x v="43"/>
    <x v="43"/>
    <x v="44"/>
    <x v="42"/>
    <x v="43"/>
    <x v="14"/>
    <x v="35"/>
    <x v="35"/>
    <x v="40"/>
    <x v="31"/>
    <x v="41"/>
    <x v="37"/>
    <n v="109"/>
    <n v="111.5"/>
    <n v="115.1"/>
    <x v="16"/>
  </r>
  <r>
    <x v="0"/>
    <x v="1"/>
    <s v="May"/>
    <n v="120.3"/>
    <n v="120.2"/>
    <x v="4"/>
    <n v="118"/>
    <n v="110.1"/>
    <n v="126.3"/>
    <n v="123.9"/>
    <n v="111.5"/>
    <n v="103.5"/>
    <n v="111.6"/>
    <n v="114.2"/>
    <n v="119.2"/>
    <x v="42"/>
    <x v="44"/>
    <x v="45"/>
    <x v="43"/>
    <x v="44"/>
    <x v="0"/>
    <x v="34"/>
    <x v="36"/>
    <x v="41"/>
    <x v="33"/>
    <x v="41"/>
    <x v="38"/>
    <n v="108.9"/>
    <n v="111.8"/>
    <n v="116"/>
    <x v="17"/>
  </r>
  <r>
    <x v="1"/>
    <x v="1"/>
    <s v="May"/>
    <n v="122.7"/>
    <n v="124.1"/>
    <x v="43"/>
    <n v="119.1"/>
    <n v="103.5"/>
    <n v="129.19999999999999"/>
    <n v="127"/>
    <n v="112.6"/>
    <n v="101.3"/>
    <n v="117"/>
    <n v="112.9"/>
    <n v="121.7"/>
    <x v="44"/>
    <x v="45"/>
    <x v="41"/>
    <x v="44"/>
    <x v="32"/>
    <x v="15"/>
    <x v="20"/>
    <x v="36"/>
    <x v="37"/>
    <x v="29"/>
    <x v="45"/>
    <x v="39"/>
    <n v="109.3"/>
    <n v="111.7"/>
    <n v="115.6"/>
    <x v="17"/>
  </r>
  <r>
    <x v="2"/>
    <x v="1"/>
    <s v="May"/>
    <n v="121.1"/>
    <n v="121.6"/>
    <x v="44"/>
    <n v="118.4"/>
    <n v="107.7"/>
    <n v="127.7"/>
    <n v="125"/>
    <n v="111.9"/>
    <n v="102.8"/>
    <n v="113.4"/>
    <n v="113.7"/>
    <n v="120.4"/>
    <x v="45"/>
    <x v="46"/>
    <x v="46"/>
    <x v="45"/>
    <x v="45"/>
    <x v="15"/>
    <x v="35"/>
    <x v="36"/>
    <x v="38"/>
    <x v="29"/>
    <x v="44"/>
    <x v="35"/>
    <n v="109.1"/>
    <n v="111.8"/>
    <n v="115.8"/>
    <x v="17"/>
  </r>
  <r>
    <x v="0"/>
    <x v="1"/>
    <s v="June"/>
    <n v="120.7"/>
    <n v="121.6"/>
    <x v="45"/>
    <n v="119.3"/>
    <n v="110.3"/>
    <n v="125.8"/>
    <n v="129.30000000000001"/>
    <n v="112.2"/>
    <n v="103.6"/>
    <n v="112.3"/>
    <n v="114.9"/>
    <n v="120.1"/>
    <x v="46"/>
    <x v="47"/>
    <x v="47"/>
    <x v="46"/>
    <x v="46"/>
    <x v="0"/>
    <x v="36"/>
    <x v="37"/>
    <x v="42"/>
    <x v="34"/>
    <x v="46"/>
    <x v="40"/>
    <n v="108"/>
    <n v="112.3"/>
    <n v="117"/>
    <x v="18"/>
  </r>
  <r>
    <x v="1"/>
    <x v="1"/>
    <s v="June"/>
    <n v="123.1"/>
    <n v="125.9"/>
    <x v="46"/>
    <n v="120.4"/>
    <n v="103.4"/>
    <n v="131.19999999999999"/>
    <n v="137.5"/>
    <n v="112.8"/>
    <n v="101.4"/>
    <n v="118.3"/>
    <n v="113.2"/>
    <n v="122.4"/>
    <x v="47"/>
    <x v="48"/>
    <x v="44"/>
    <x v="34"/>
    <x v="35"/>
    <x v="14"/>
    <x v="37"/>
    <x v="38"/>
    <x v="35"/>
    <x v="35"/>
    <x v="47"/>
    <x v="41"/>
    <n v="108.7"/>
    <n v="112.2"/>
    <n v="116.4"/>
    <x v="18"/>
  </r>
  <r>
    <x v="2"/>
    <x v="1"/>
    <s v="June"/>
    <n v="121.5"/>
    <n v="123.1"/>
    <x v="47"/>
    <n v="119.7"/>
    <n v="107.8"/>
    <n v="128.30000000000001"/>
    <n v="132.1"/>
    <n v="112.4"/>
    <n v="102.9"/>
    <n v="114.3"/>
    <n v="114.2"/>
    <n v="121.2"/>
    <x v="48"/>
    <x v="49"/>
    <x v="48"/>
    <x v="47"/>
    <x v="47"/>
    <x v="14"/>
    <x v="32"/>
    <x v="39"/>
    <x v="43"/>
    <x v="36"/>
    <x v="48"/>
    <x v="42"/>
    <n v="108.3"/>
    <n v="112.3"/>
    <n v="116.7"/>
    <x v="18"/>
  </r>
  <r>
    <x v="0"/>
    <x v="1"/>
    <s v="July"/>
    <n v="121.7"/>
    <n v="122.5"/>
    <x v="48"/>
    <n v="120.6"/>
    <n v="110.4"/>
    <n v="129.1"/>
    <n v="150.1"/>
    <n v="113.2"/>
    <n v="104.8"/>
    <n v="113.3"/>
    <n v="115.6"/>
    <n v="120.9"/>
    <x v="49"/>
    <x v="50"/>
    <x v="49"/>
    <x v="48"/>
    <x v="48"/>
    <x v="0"/>
    <x v="38"/>
    <x v="40"/>
    <x v="44"/>
    <x v="37"/>
    <x v="47"/>
    <x v="43"/>
    <n v="108.8"/>
    <n v="113.1"/>
    <n v="119.5"/>
    <x v="19"/>
  </r>
  <r>
    <x v="1"/>
    <x v="1"/>
    <s v="July"/>
    <n v="123.8"/>
    <n v="126.4"/>
    <x v="49"/>
    <n v="121.6"/>
    <n v="103.5"/>
    <n v="133.69999999999999"/>
    <n v="172.4"/>
    <n v="113.1"/>
    <n v="102.7"/>
    <n v="120"/>
    <n v="113.8"/>
    <n v="123.4"/>
    <x v="50"/>
    <x v="51"/>
    <x v="46"/>
    <x v="49"/>
    <x v="49"/>
    <x v="16"/>
    <x v="22"/>
    <x v="37"/>
    <x v="40"/>
    <x v="38"/>
    <x v="49"/>
    <x v="44"/>
    <n v="109.7"/>
    <n v="113.5"/>
    <n v="118.9"/>
    <x v="19"/>
  </r>
  <r>
    <x v="2"/>
    <x v="1"/>
    <s v="July"/>
    <n v="122.4"/>
    <n v="123.9"/>
    <x v="50"/>
    <n v="121"/>
    <n v="107.9"/>
    <n v="131.19999999999999"/>
    <n v="157.69999999999999"/>
    <n v="113.2"/>
    <n v="104.1"/>
    <n v="115.5"/>
    <n v="114.8"/>
    <n v="122.1"/>
    <x v="51"/>
    <x v="52"/>
    <x v="50"/>
    <x v="50"/>
    <x v="50"/>
    <x v="16"/>
    <x v="39"/>
    <x v="41"/>
    <x v="45"/>
    <x v="39"/>
    <x v="50"/>
    <x v="45"/>
    <n v="109.2"/>
    <n v="113.3"/>
    <n v="119.2"/>
    <x v="19"/>
  </r>
  <r>
    <x v="0"/>
    <x v="1"/>
    <s v="August"/>
    <n v="121.8"/>
    <n v="122.8"/>
    <x v="50"/>
    <n v="121.9"/>
    <n v="110.6"/>
    <n v="129.69999999999999"/>
    <n v="161.1"/>
    <n v="114.1"/>
    <n v="105.1"/>
    <n v="114.6"/>
    <n v="115.8"/>
    <n v="121.7"/>
    <x v="52"/>
    <x v="52"/>
    <x v="51"/>
    <x v="51"/>
    <x v="51"/>
    <x v="0"/>
    <x v="40"/>
    <x v="42"/>
    <x v="46"/>
    <x v="37"/>
    <x v="51"/>
    <x v="46"/>
    <n v="109.4"/>
    <n v="113.5"/>
    <n v="120.7"/>
    <x v="20"/>
  </r>
  <r>
    <x v="1"/>
    <x v="1"/>
    <s v="August"/>
    <n v="124.8"/>
    <n v="127.3"/>
    <x v="51"/>
    <n v="122.2"/>
    <n v="103.6"/>
    <n v="132.69999999999999"/>
    <n v="181.9"/>
    <n v="115.2"/>
    <n v="102.7"/>
    <n v="122.1"/>
    <n v="114.4"/>
    <n v="124.7"/>
    <x v="53"/>
    <x v="53"/>
    <x v="52"/>
    <x v="52"/>
    <x v="52"/>
    <x v="17"/>
    <x v="41"/>
    <x v="43"/>
    <x v="47"/>
    <x v="40"/>
    <x v="52"/>
    <x v="47"/>
    <n v="110.5"/>
    <n v="113.9"/>
    <n v="119.9"/>
    <x v="20"/>
  </r>
  <r>
    <x v="2"/>
    <x v="1"/>
    <s v="August"/>
    <n v="122.7"/>
    <n v="124.4"/>
    <x v="52"/>
    <n v="122"/>
    <n v="108"/>
    <n v="131.1"/>
    <n v="168.2"/>
    <n v="114.5"/>
    <n v="104.3"/>
    <n v="117.1"/>
    <n v="115.2"/>
    <n v="123.1"/>
    <x v="54"/>
    <x v="54"/>
    <x v="53"/>
    <x v="43"/>
    <x v="53"/>
    <x v="17"/>
    <x v="42"/>
    <x v="44"/>
    <x v="48"/>
    <x v="41"/>
    <x v="53"/>
    <x v="48"/>
    <n v="109.9"/>
    <n v="113.7"/>
    <n v="120.3"/>
    <x v="20"/>
  </r>
  <r>
    <x v="0"/>
    <x v="1"/>
    <s v="September"/>
    <n v="122.3"/>
    <n v="122.4"/>
    <x v="50"/>
    <n v="122.7"/>
    <n v="110.4"/>
    <n v="129.80000000000001"/>
    <n v="158.80000000000001"/>
    <n v="115"/>
    <n v="104.7"/>
    <n v="114.9"/>
    <n v="116.5"/>
    <n v="122.6"/>
    <x v="52"/>
    <x v="55"/>
    <x v="54"/>
    <x v="53"/>
    <x v="54"/>
    <x v="0"/>
    <x v="43"/>
    <x v="45"/>
    <x v="49"/>
    <x v="41"/>
    <x v="53"/>
    <x v="49"/>
    <n v="109.1"/>
    <n v="113.7"/>
    <n v="120.9"/>
    <x v="21"/>
  </r>
  <r>
    <x v="1"/>
    <x v="1"/>
    <s v="September"/>
    <n v="124.2"/>
    <n v="125.4"/>
    <x v="53"/>
    <n v="122.7"/>
    <n v="103.5"/>
    <n v="124.5"/>
    <n v="168.6"/>
    <n v="116.9"/>
    <n v="101.9"/>
    <n v="122.9"/>
    <n v="114.8"/>
    <n v="125.2"/>
    <x v="55"/>
    <x v="56"/>
    <x v="55"/>
    <x v="32"/>
    <x v="55"/>
    <x v="18"/>
    <x v="41"/>
    <x v="46"/>
    <x v="43"/>
    <x v="31"/>
    <x v="54"/>
    <x v="50"/>
    <n v="110"/>
    <n v="113.6"/>
    <n v="119.2"/>
    <x v="21"/>
  </r>
  <r>
    <x v="2"/>
    <x v="1"/>
    <s v="September"/>
    <n v="122.9"/>
    <n v="123.5"/>
    <x v="52"/>
    <n v="122.7"/>
    <n v="107.9"/>
    <n v="127.3"/>
    <n v="162.1"/>
    <n v="115.6"/>
    <n v="103.8"/>
    <n v="117.6"/>
    <n v="115.8"/>
    <n v="123.8"/>
    <x v="56"/>
    <x v="57"/>
    <x v="49"/>
    <x v="54"/>
    <x v="56"/>
    <x v="18"/>
    <x v="44"/>
    <x v="47"/>
    <x v="50"/>
    <x v="42"/>
    <x v="55"/>
    <x v="51"/>
    <n v="109.5"/>
    <n v="113.7"/>
    <n v="120.1"/>
    <x v="21"/>
  </r>
  <r>
    <x v="0"/>
    <x v="1"/>
    <s v="October"/>
    <n v="122.6"/>
    <n v="122.5"/>
    <x v="54"/>
    <n v="123.2"/>
    <n v="110.5"/>
    <n v="128.9"/>
    <n v="155.30000000000001"/>
    <n v="115.5"/>
    <n v="104"/>
    <n v="115.3"/>
    <n v="116.8"/>
    <n v="123.2"/>
    <x v="57"/>
    <x v="58"/>
    <x v="56"/>
    <x v="55"/>
    <x v="57"/>
    <x v="0"/>
    <x v="45"/>
    <x v="48"/>
    <x v="51"/>
    <x v="43"/>
    <x v="56"/>
    <x v="52"/>
    <n v="109.3"/>
    <n v="114"/>
    <n v="121"/>
    <x v="22"/>
  </r>
  <r>
    <x v="1"/>
    <x v="1"/>
    <s v="October"/>
    <n v="124.6"/>
    <n v="126.1"/>
    <x v="50"/>
    <n v="123.1"/>
    <n v="103.5"/>
    <n v="123.5"/>
    <n v="159.6"/>
    <n v="117.4"/>
    <n v="101.2"/>
    <n v="123.8"/>
    <n v="115.2"/>
    <n v="125.9"/>
    <x v="56"/>
    <x v="56"/>
    <x v="50"/>
    <x v="37"/>
    <x v="58"/>
    <x v="19"/>
    <x v="46"/>
    <x v="49"/>
    <x v="52"/>
    <x v="44"/>
    <x v="57"/>
    <x v="53"/>
    <n v="110.1"/>
    <n v="113.7"/>
    <n v="119.1"/>
    <x v="22"/>
  </r>
  <r>
    <x v="2"/>
    <x v="1"/>
    <s v="October"/>
    <n v="123.2"/>
    <n v="123.8"/>
    <x v="42"/>
    <n v="123.2"/>
    <n v="107.9"/>
    <n v="126.4"/>
    <n v="156.80000000000001"/>
    <n v="116.1"/>
    <n v="103.1"/>
    <n v="118.1"/>
    <n v="116.1"/>
    <n v="124.5"/>
    <x v="58"/>
    <x v="59"/>
    <x v="57"/>
    <x v="56"/>
    <x v="59"/>
    <x v="19"/>
    <x v="47"/>
    <x v="45"/>
    <x v="53"/>
    <x v="36"/>
    <x v="58"/>
    <x v="54"/>
    <n v="109.6"/>
    <n v="113.9"/>
    <n v="120.1"/>
    <x v="22"/>
  </r>
  <r>
    <x v="0"/>
    <x v="1"/>
    <s v="November"/>
    <n v="122.7"/>
    <n v="122.6"/>
    <x v="55"/>
    <n v="124"/>
    <n v="110.5"/>
    <n v="128.80000000000001"/>
    <n v="152"/>
    <n v="116.2"/>
    <n v="103.3"/>
    <n v="115.8"/>
    <n v="116.8"/>
    <n v="124.5"/>
    <x v="59"/>
    <x v="57"/>
    <x v="58"/>
    <x v="57"/>
    <x v="60"/>
    <x v="0"/>
    <x v="48"/>
    <x v="50"/>
    <x v="54"/>
    <x v="42"/>
    <x v="58"/>
    <x v="55"/>
    <n v="108.8"/>
    <n v="114.1"/>
    <n v="121.1"/>
    <x v="23"/>
  </r>
  <r>
    <x v="1"/>
    <x v="1"/>
    <s v="November"/>
    <n v="124.5"/>
    <n v="125.6"/>
    <x v="56"/>
    <n v="124.6"/>
    <n v="103.2"/>
    <n v="122.2"/>
    <n v="153.19999999999999"/>
    <n v="119.3"/>
    <n v="99.8"/>
    <n v="124.6"/>
    <n v="115.8"/>
    <n v="126.9"/>
    <x v="58"/>
    <x v="60"/>
    <x v="59"/>
    <x v="58"/>
    <x v="61"/>
    <x v="20"/>
    <x v="24"/>
    <x v="51"/>
    <x v="55"/>
    <x v="22"/>
    <x v="59"/>
    <x v="56"/>
    <n v="109.6"/>
    <n v="113.4"/>
    <n v="119"/>
    <x v="23"/>
  </r>
  <r>
    <x v="2"/>
    <x v="1"/>
    <s v="November"/>
    <n v="123.3"/>
    <n v="123.7"/>
    <x v="41"/>
    <n v="124.2"/>
    <n v="107.8"/>
    <n v="125.7"/>
    <n v="152.4"/>
    <n v="117.2"/>
    <n v="102.1"/>
    <n v="118.7"/>
    <n v="116.4"/>
    <n v="125.6"/>
    <x v="57"/>
    <x v="61"/>
    <x v="60"/>
    <x v="59"/>
    <x v="62"/>
    <x v="20"/>
    <x v="49"/>
    <x v="52"/>
    <x v="56"/>
    <x v="27"/>
    <x v="60"/>
    <x v="57"/>
    <n v="109.1"/>
    <n v="113.8"/>
    <n v="120.1"/>
    <x v="23"/>
  </r>
  <r>
    <x v="0"/>
    <x v="1"/>
    <s v="December"/>
    <n v="122.4"/>
    <n v="122.4"/>
    <x v="57"/>
    <n v="124.2"/>
    <n v="110.2"/>
    <n v="128.6"/>
    <n v="140.30000000000001"/>
    <n v="116.3"/>
    <n v="102"/>
    <n v="116"/>
    <n v="117.3"/>
    <n v="124.8"/>
    <x v="49"/>
    <x v="62"/>
    <x v="61"/>
    <x v="60"/>
    <x v="63"/>
    <x v="0"/>
    <x v="50"/>
    <x v="53"/>
    <x v="57"/>
    <x v="35"/>
    <x v="58"/>
    <x v="58"/>
    <n v="109.4"/>
    <n v="114.2"/>
    <n v="120.3"/>
    <x v="24"/>
  </r>
  <r>
    <x v="1"/>
    <x v="1"/>
    <s v="December"/>
    <n v="124"/>
    <n v="124.7"/>
    <x v="58"/>
    <n v="124.9"/>
    <n v="103"/>
    <n v="122.3"/>
    <n v="141"/>
    <n v="120.1"/>
    <n v="97.8"/>
    <n v="125.4"/>
    <n v="116.1"/>
    <n v="127.6"/>
    <x v="60"/>
    <x v="63"/>
    <x v="49"/>
    <x v="61"/>
    <x v="64"/>
    <x v="21"/>
    <x v="29"/>
    <x v="54"/>
    <x v="58"/>
    <x v="45"/>
    <x v="61"/>
    <x v="59"/>
    <n v="110.4"/>
    <n v="113.4"/>
    <n v="118.4"/>
    <x v="24"/>
  </r>
  <r>
    <x v="2"/>
    <x v="1"/>
    <s v="December"/>
    <n v="122.9"/>
    <n v="123.2"/>
    <x v="32"/>
    <n v="124.5"/>
    <n v="107.6"/>
    <n v="125.7"/>
    <n v="140.5"/>
    <n v="117.6"/>
    <n v="100.6"/>
    <n v="119.1"/>
    <n v="116.8"/>
    <n v="126.1"/>
    <x v="61"/>
    <x v="53"/>
    <x v="62"/>
    <x v="62"/>
    <x v="65"/>
    <x v="21"/>
    <x v="51"/>
    <x v="48"/>
    <x v="59"/>
    <x v="46"/>
    <x v="62"/>
    <x v="60"/>
    <n v="109.8"/>
    <n v="113.8"/>
    <n v="119.4"/>
    <x v="24"/>
  </r>
  <r>
    <x v="0"/>
    <x v="2"/>
    <s v="January"/>
    <n v="123.1"/>
    <n v="123.1"/>
    <x v="59"/>
    <n v="124.9"/>
    <n v="111"/>
    <n v="130.4"/>
    <n v="132.30000000000001"/>
    <n v="117.2"/>
    <n v="100.5"/>
    <n v="117.2"/>
    <n v="117.9"/>
    <n v="125.6"/>
    <x v="62"/>
    <x v="64"/>
    <x v="63"/>
    <x v="63"/>
    <x v="66"/>
    <x v="0"/>
    <x v="52"/>
    <x v="55"/>
    <x v="60"/>
    <x v="44"/>
    <x v="59"/>
    <x v="61"/>
    <n v="110.2"/>
    <n v="114.5"/>
    <n v="120.3"/>
    <x v="25"/>
  </r>
  <r>
    <x v="1"/>
    <x v="2"/>
    <s v="January"/>
    <n v="124"/>
    <n v="125.5"/>
    <x v="60"/>
    <n v="125.2"/>
    <n v="104.3"/>
    <n v="121.3"/>
    <n v="134.4"/>
    <n v="122.9"/>
    <n v="96.1"/>
    <n v="126.6"/>
    <n v="116.5"/>
    <n v="128"/>
    <x v="63"/>
    <x v="65"/>
    <x v="64"/>
    <x v="40"/>
    <x v="67"/>
    <x v="22"/>
    <x v="34"/>
    <x v="56"/>
    <x v="50"/>
    <x v="47"/>
    <x v="63"/>
    <x v="62"/>
    <n v="111.4"/>
    <n v="113.4"/>
    <n v="118.5"/>
    <x v="25"/>
  </r>
  <r>
    <x v="2"/>
    <x v="2"/>
    <s v="January"/>
    <n v="123.4"/>
    <n v="123.9"/>
    <x v="61"/>
    <n v="125"/>
    <n v="108.5"/>
    <n v="126.2"/>
    <n v="133"/>
    <n v="119.1"/>
    <n v="99"/>
    <n v="120.3"/>
    <n v="117.3"/>
    <n v="126.7"/>
    <x v="64"/>
    <x v="66"/>
    <x v="65"/>
    <x v="64"/>
    <x v="68"/>
    <x v="22"/>
    <x v="53"/>
    <x v="50"/>
    <x v="61"/>
    <x v="48"/>
    <x v="61"/>
    <x v="63"/>
    <n v="110.7"/>
    <n v="114"/>
    <n v="119.5"/>
    <x v="25"/>
  </r>
  <r>
    <x v="0"/>
    <x v="2"/>
    <s v="February"/>
    <n v="123.4"/>
    <n v="124.4"/>
    <x v="59"/>
    <n v="125.8"/>
    <n v="111.5"/>
    <n v="129.4"/>
    <n v="128.19999999999999"/>
    <n v="118.8"/>
    <n v="100"/>
    <n v="118.6"/>
    <n v="118.8"/>
    <n v="126.8"/>
    <x v="62"/>
    <x v="67"/>
    <x v="66"/>
    <x v="65"/>
    <x v="69"/>
    <x v="0"/>
    <x v="54"/>
    <x v="57"/>
    <x v="62"/>
    <x v="49"/>
    <x v="64"/>
    <x v="64"/>
    <n v="110.8"/>
    <n v="115"/>
    <n v="120.6"/>
    <x v="26"/>
  </r>
  <r>
    <x v="1"/>
    <x v="2"/>
    <s v="February"/>
    <n v="124.3"/>
    <n v="126.5"/>
    <x v="62"/>
    <n v="125.6"/>
    <n v="104.9"/>
    <n v="121.6"/>
    <n v="131.80000000000001"/>
    <n v="125.1"/>
    <n v="95"/>
    <n v="127.7"/>
    <n v="116.8"/>
    <n v="128.6"/>
    <x v="65"/>
    <x v="68"/>
    <x v="67"/>
    <x v="66"/>
    <x v="70"/>
    <x v="23"/>
    <x v="42"/>
    <x v="58"/>
    <x v="63"/>
    <x v="13"/>
    <x v="65"/>
    <x v="65"/>
    <n v="111.7"/>
    <n v="113.2"/>
    <n v="118.7"/>
    <x v="26"/>
  </r>
  <r>
    <x v="2"/>
    <x v="2"/>
    <s v="February"/>
    <n v="123.7"/>
    <n v="125.1"/>
    <x v="63"/>
    <n v="125.7"/>
    <n v="109.1"/>
    <n v="125.8"/>
    <n v="129.4"/>
    <n v="120.9"/>
    <n v="98.3"/>
    <n v="121.6"/>
    <n v="118"/>
    <n v="127.6"/>
    <x v="64"/>
    <x v="69"/>
    <x v="61"/>
    <x v="67"/>
    <x v="63"/>
    <x v="23"/>
    <x v="55"/>
    <x v="59"/>
    <x v="64"/>
    <x v="50"/>
    <x v="65"/>
    <x v="63"/>
    <n v="111.2"/>
    <n v="114.1"/>
    <n v="119.7"/>
    <x v="26"/>
  </r>
  <r>
    <x v="0"/>
    <x v="2"/>
    <s v="March"/>
    <n v="123.3"/>
    <n v="124.7"/>
    <x v="64"/>
    <n v="126"/>
    <n v="111.8"/>
    <n v="130.9"/>
    <n v="128"/>
    <n v="119.9"/>
    <n v="98.9"/>
    <n v="119.4"/>
    <n v="118.9"/>
    <n v="127.7"/>
    <x v="64"/>
    <x v="70"/>
    <x v="68"/>
    <x v="68"/>
    <x v="71"/>
    <x v="0"/>
    <x v="56"/>
    <x v="60"/>
    <x v="65"/>
    <x v="32"/>
    <x v="66"/>
    <x v="66"/>
    <n v="110.8"/>
    <n v="115.5"/>
    <n v="121.1"/>
    <x v="27"/>
  </r>
  <r>
    <x v="1"/>
    <x v="2"/>
    <s v="March"/>
    <n v="124"/>
    <n v="126.7"/>
    <x v="65"/>
    <n v="125.9"/>
    <n v="104.8"/>
    <n v="123.8"/>
    <n v="131.4"/>
    <n v="127.2"/>
    <n v="93.2"/>
    <n v="127.4"/>
    <n v="117"/>
    <n v="129.19999999999999"/>
    <x v="66"/>
    <x v="71"/>
    <x v="54"/>
    <x v="69"/>
    <x v="72"/>
    <x v="24"/>
    <x v="36"/>
    <x v="61"/>
    <x v="53"/>
    <x v="51"/>
    <x v="67"/>
    <x v="67"/>
    <n v="111.3"/>
    <n v="113.8"/>
    <n v="119.1"/>
    <x v="27"/>
  </r>
  <r>
    <x v="2"/>
    <x v="2"/>
    <s v="March"/>
    <n v="123.5"/>
    <n v="125.4"/>
    <x v="66"/>
    <n v="126"/>
    <n v="109.2"/>
    <n v="127.6"/>
    <n v="129.19999999999999"/>
    <n v="122.4"/>
    <n v="97"/>
    <n v="122.1"/>
    <n v="118.1"/>
    <n v="128.4"/>
    <x v="67"/>
    <x v="60"/>
    <x v="69"/>
    <x v="70"/>
    <x v="73"/>
    <x v="24"/>
    <x v="57"/>
    <x v="62"/>
    <x v="66"/>
    <x v="21"/>
    <x v="67"/>
    <x v="68"/>
    <n v="111"/>
    <n v="114.7"/>
    <n v="120.2"/>
    <x v="27"/>
  </r>
  <r>
    <x v="0"/>
    <x v="2"/>
    <s v="April"/>
    <n v="123.3"/>
    <n v="125.5"/>
    <x v="67"/>
    <n v="126.8"/>
    <n v="111.9"/>
    <n v="134.19999999999999"/>
    <n v="127.5"/>
    <n v="121.5"/>
    <n v="97.8"/>
    <n v="119.8"/>
    <n v="119.4"/>
    <n v="128.69999999999999"/>
    <x v="61"/>
    <x v="72"/>
    <x v="70"/>
    <x v="71"/>
    <x v="74"/>
    <x v="0"/>
    <x v="58"/>
    <x v="63"/>
    <x v="67"/>
    <x v="52"/>
    <x v="68"/>
    <x v="69"/>
    <n v="111.6"/>
    <n v="116"/>
    <n v="121.5"/>
    <x v="28"/>
  </r>
  <r>
    <x v="1"/>
    <x v="2"/>
    <s v="April"/>
    <n v="123.8"/>
    <n v="128.19999999999999"/>
    <x v="2"/>
    <n v="126.3"/>
    <n v="104.5"/>
    <n v="130.6"/>
    <n v="130.80000000000001"/>
    <n v="131.30000000000001"/>
    <n v="91.6"/>
    <n v="127.7"/>
    <n v="117.2"/>
    <n v="129.5"/>
    <x v="68"/>
    <x v="73"/>
    <x v="60"/>
    <x v="54"/>
    <x v="54"/>
    <x v="25"/>
    <x v="47"/>
    <x v="64"/>
    <x v="68"/>
    <x v="51"/>
    <x v="69"/>
    <x v="70"/>
    <n v="111.8"/>
    <n v="114.2"/>
    <n v="119.7"/>
    <x v="28"/>
  </r>
  <r>
    <x v="2"/>
    <x v="2"/>
    <s v="April"/>
    <n v="123.5"/>
    <n v="126.4"/>
    <x v="68"/>
    <n v="126.6"/>
    <n v="109.2"/>
    <n v="132.5"/>
    <n v="128.6"/>
    <n v="124.8"/>
    <n v="95.7"/>
    <n v="122.4"/>
    <n v="118.5"/>
    <n v="129.1"/>
    <x v="60"/>
    <x v="74"/>
    <x v="71"/>
    <x v="72"/>
    <x v="75"/>
    <x v="25"/>
    <x v="59"/>
    <x v="65"/>
    <x v="69"/>
    <x v="46"/>
    <x v="70"/>
    <x v="71"/>
    <n v="111.7"/>
    <n v="115.1"/>
    <n v="120.7"/>
    <x v="28"/>
  </r>
  <r>
    <x v="0"/>
    <x v="2"/>
    <s v="May"/>
    <n v="123.5"/>
    <n v="127.1"/>
    <x v="52"/>
    <n v="127.7"/>
    <n v="112.5"/>
    <n v="134.1"/>
    <n v="128.5"/>
    <n v="124.3"/>
    <n v="97.6"/>
    <n v="120.7"/>
    <n v="120.2"/>
    <n v="129.80000000000001"/>
    <x v="69"/>
    <x v="75"/>
    <x v="72"/>
    <x v="73"/>
    <x v="76"/>
    <x v="0"/>
    <x v="60"/>
    <x v="66"/>
    <x v="70"/>
    <x v="53"/>
    <x v="71"/>
    <x v="72"/>
    <n v="112.3"/>
    <n v="116.9"/>
    <n v="122.4"/>
    <x v="29"/>
  </r>
  <r>
    <x v="1"/>
    <x v="2"/>
    <s v="May"/>
    <n v="123.8"/>
    <n v="129.69999999999999"/>
    <x v="69"/>
    <n v="126.6"/>
    <n v="105.2"/>
    <n v="130.80000000000001"/>
    <n v="135.6"/>
    <n v="142.6"/>
    <n v="90.8"/>
    <n v="128.80000000000001"/>
    <n v="117.7"/>
    <n v="129.9"/>
    <x v="70"/>
    <x v="76"/>
    <x v="73"/>
    <x v="74"/>
    <x v="62"/>
    <x v="26"/>
    <x v="61"/>
    <x v="59"/>
    <x v="71"/>
    <x v="27"/>
    <x v="72"/>
    <x v="73"/>
    <n v="112.4"/>
    <n v="115.2"/>
    <n v="120.7"/>
    <x v="29"/>
  </r>
  <r>
    <x v="2"/>
    <x v="2"/>
    <s v="May"/>
    <n v="123.6"/>
    <n v="128"/>
    <x v="70"/>
    <n v="127.3"/>
    <n v="109.8"/>
    <n v="132.6"/>
    <n v="130.9"/>
    <n v="130.5"/>
    <n v="95.3"/>
    <n v="123.4"/>
    <n v="119.2"/>
    <n v="129.80000000000001"/>
    <x v="71"/>
    <x v="77"/>
    <x v="66"/>
    <x v="75"/>
    <x v="77"/>
    <x v="26"/>
    <x v="62"/>
    <x v="60"/>
    <x v="62"/>
    <x v="42"/>
    <x v="73"/>
    <x v="74"/>
    <n v="112.3"/>
    <n v="116.1"/>
    <n v="121.6"/>
    <x v="29"/>
  </r>
  <r>
    <x v="0"/>
    <x v="2"/>
    <s v="June"/>
    <n v="124.1"/>
    <n v="130.4"/>
    <x v="59"/>
    <n v="128.69999999999999"/>
    <n v="114.1"/>
    <n v="133.19999999999999"/>
    <n v="135.19999999999999"/>
    <n v="131.9"/>
    <n v="96.3"/>
    <n v="123"/>
    <n v="121.1"/>
    <n v="131.19999999999999"/>
    <x v="54"/>
    <x v="78"/>
    <x v="74"/>
    <x v="76"/>
    <x v="78"/>
    <x v="0"/>
    <x v="63"/>
    <x v="67"/>
    <x v="72"/>
    <x v="54"/>
    <x v="74"/>
    <x v="73"/>
    <n v="113"/>
    <n v="117.9"/>
    <n v="124.1"/>
    <x v="30"/>
  </r>
  <r>
    <x v="1"/>
    <x v="2"/>
    <s v="June"/>
    <n v="123.6"/>
    <n v="134.4"/>
    <x v="71"/>
    <n v="127.3"/>
    <n v="106"/>
    <n v="132.30000000000001"/>
    <n v="146.69999999999999"/>
    <n v="148.1"/>
    <n v="89.8"/>
    <n v="130.5"/>
    <n v="118"/>
    <n v="130.5"/>
    <x v="72"/>
    <x v="79"/>
    <x v="75"/>
    <x v="77"/>
    <x v="57"/>
    <x v="27"/>
    <x v="64"/>
    <x v="62"/>
    <x v="73"/>
    <x v="55"/>
    <x v="68"/>
    <x v="75"/>
    <n v="112.5"/>
    <n v="116"/>
    <n v="121.7"/>
    <x v="30"/>
  </r>
  <r>
    <x v="2"/>
    <x v="2"/>
    <s v="June"/>
    <n v="123.9"/>
    <n v="131.80000000000001"/>
    <x v="72"/>
    <n v="128.19999999999999"/>
    <n v="111.1"/>
    <n v="132.80000000000001"/>
    <n v="139.1"/>
    <n v="137.4"/>
    <n v="94.1"/>
    <n v="125.5"/>
    <n v="119.8"/>
    <n v="130.9"/>
    <x v="73"/>
    <x v="80"/>
    <x v="70"/>
    <x v="78"/>
    <x v="79"/>
    <x v="27"/>
    <x v="65"/>
    <x v="68"/>
    <x v="74"/>
    <x v="56"/>
    <x v="75"/>
    <x v="76"/>
    <n v="112.8"/>
    <n v="117"/>
    <n v="123"/>
    <x v="30"/>
  </r>
  <r>
    <x v="0"/>
    <x v="2"/>
    <s v="July"/>
    <n v="124"/>
    <n v="131.5"/>
    <x v="73"/>
    <n v="128.69999999999999"/>
    <n v="113.5"/>
    <n v="133.30000000000001"/>
    <n v="140.80000000000001"/>
    <n v="133.80000000000001"/>
    <n v="94.1"/>
    <n v="123.4"/>
    <n v="121"/>
    <n v="131.69999999999999"/>
    <x v="74"/>
    <x v="81"/>
    <x v="76"/>
    <x v="79"/>
    <x v="80"/>
    <x v="0"/>
    <x v="66"/>
    <x v="69"/>
    <x v="75"/>
    <x v="57"/>
    <x v="76"/>
    <x v="77"/>
    <n v="112.7"/>
    <n v="118.1"/>
    <n v="124.7"/>
    <x v="31"/>
  </r>
  <r>
    <x v="1"/>
    <x v="2"/>
    <s v="July"/>
    <n v="123.2"/>
    <n v="134.30000000000001"/>
    <x v="62"/>
    <n v="127.7"/>
    <n v="106.3"/>
    <n v="132.80000000000001"/>
    <n v="153.5"/>
    <n v="149.5"/>
    <n v="85.7"/>
    <n v="131.5"/>
    <n v="118.3"/>
    <n v="131.1"/>
    <x v="75"/>
    <x v="82"/>
    <x v="77"/>
    <x v="80"/>
    <x v="81"/>
    <x v="28"/>
    <x v="38"/>
    <x v="70"/>
    <x v="76"/>
    <x v="35"/>
    <x v="77"/>
    <x v="78"/>
    <n v="111.7"/>
    <n v="116.3"/>
    <n v="122.4"/>
    <x v="31"/>
  </r>
  <r>
    <x v="2"/>
    <x v="2"/>
    <s v="July"/>
    <n v="123.7"/>
    <n v="132.5"/>
    <x v="41"/>
    <n v="128.30000000000001"/>
    <n v="110.9"/>
    <n v="133.1"/>
    <n v="145.1"/>
    <n v="139.1"/>
    <n v="91.3"/>
    <n v="126.1"/>
    <n v="119.9"/>
    <n v="131.4"/>
    <x v="76"/>
    <x v="83"/>
    <x v="78"/>
    <x v="81"/>
    <x v="82"/>
    <x v="28"/>
    <x v="67"/>
    <x v="71"/>
    <x v="77"/>
    <x v="58"/>
    <x v="78"/>
    <x v="79"/>
    <n v="112.3"/>
    <n v="117.2"/>
    <n v="123.6"/>
    <x v="31"/>
  </r>
  <r>
    <x v="0"/>
    <x v="2"/>
    <s v="August"/>
    <n v="124.7"/>
    <n v="131.30000000000001"/>
    <x v="74"/>
    <n v="128.80000000000001"/>
    <n v="114"/>
    <n v="134.19999999999999"/>
    <n v="153.6"/>
    <n v="137.9"/>
    <n v="93.1"/>
    <n v="123.9"/>
    <n v="121.5"/>
    <n v="132.5"/>
    <x v="77"/>
    <x v="73"/>
    <x v="79"/>
    <x v="82"/>
    <x v="83"/>
    <x v="0"/>
    <x v="68"/>
    <x v="72"/>
    <x v="78"/>
    <x v="59"/>
    <x v="79"/>
    <x v="80"/>
    <n v="112.5"/>
    <n v="118.2"/>
    <n v="126.1"/>
    <x v="32"/>
  </r>
  <r>
    <x v="1"/>
    <x v="2"/>
    <s v="August"/>
    <n v="123.1"/>
    <n v="131.69999999999999"/>
    <x v="42"/>
    <n v="128"/>
    <n v="106.8"/>
    <n v="130.1"/>
    <n v="165.5"/>
    <n v="156"/>
    <n v="85.3"/>
    <n v="132.69999999999999"/>
    <n v="118.8"/>
    <n v="131.69999999999999"/>
    <x v="78"/>
    <x v="84"/>
    <x v="80"/>
    <x v="83"/>
    <x v="60"/>
    <x v="29"/>
    <x v="38"/>
    <x v="73"/>
    <x v="60"/>
    <x v="21"/>
    <x v="78"/>
    <x v="81"/>
    <n v="112"/>
    <n v="116.2"/>
    <n v="123.2"/>
    <x v="32"/>
  </r>
  <r>
    <x v="2"/>
    <x v="2"/>
    <s v="August"/>
    <n v="124.2"/>
    <n v="131.4"/>
    <x v="75"/>
    <n v="128.5"/>
    <n v="111.4"/>
    <n v="132.30000000000001"/>
    <n v="157.6"/>
    <n v="144"/>
    <n v="90.5"/>
    <n v="126.8"/>
    <n v="120.4"/>
    <n v="132.1"/>
    <x v="79"/>
    <x v="85"/>
    <x v="81"/>
    <x v="68"/>
    <x v="84"/>
    <x v="29"/>
    <x v="56"/>
    <x v="74"/>
    <x v="70"/>
    <x v="55"/>
    <x v="80"/>
    <x v="82"/>
    <n v="112.3"/>
    <n v="117.2"/>
    <n v="124.8"/>
    <x v="32"/>
  </r>
  <r>
    <x v="0"/>
    <x v="2"/>
    <s v="September"/>
    <n v="125.1"/>
    <n v="131.1"/>
    <x v="39"/>
    <n v="129.19999999999999"/>
    <n v="114.7"/>
    <n v="132.30000000000001"/>
    <n v="158.9"/>
    <n v="142.1"/>
    <n v="92.5"/>
    <n v="125.4"/>
    <n v="121.9"/>
    <n v="132.69999999999999"/>
    <x v="80"/>
    <x v="86"/>
    <x v="82"/>
    <x v="84"/>
    <x v="85"/>
    <x v="0"/>
    <x v="69"/>
    <x v="75"/>
    <x v="79"/>
    <x v="60"/>
    <x v="81"/>
    <x v="83"/>
    <n v="113.7"/>
    <n v="118.8"/>
    <n v="127"/>
    <x v="33"/>
  </r>
  <r>
    <x v="1"/>
    <x v="2"/>
    <s v="September"/>
    <n v="123.4"/>
    <n v="129"/>
    <x v="76"/>
    <n v="128.30000000000001"/>
    <n v="107"/>
    <n v="124"/>
    <n v="168.5"/>
    <n v="165.4"/>
    <n v="86.3"/>
    <n v="134.4"/>
    <n v="119.1"/>
    <n v="132.30000000000001"/>
    <x v="81"/>
    <x v="87"/>
    <x v="83"/>
    <x v="62"/>
    <x v="86"/>
    <x v="30"/>
    <x v="64"/>
    <x v="76"/>
    <x v="69"/>
    <x v="61"/>
    <x v="82"/>
    <x v="84"/>
    <n v="112.9"/>
    <n v="116.2"/>
    <n v="123.5"/>
    <x v="33"/>
  </r>
  <r>
    <x v="2"/>
    <x v="2"/>
    <s v="September"/>
    <n v="124.6"/>
    <n v="130.4"/>
    <x v="29"/>
    <n v="128.9"/>
    <n v="111.9"/>
    <n v="128.4"/>
    <n v="162.19999999999999"/>
    <n v="150"/>
    <n v="90.4"/>
    <n v="128.4"/>
    <n v="120.7"/>
    <n v="132.5"/>
    <x v="82"/>
    <x v="88"/>
    <x v="84"/>
    <x v="85"/>
    <x v="87"/>
    <x v="30"/>
    <x v="70"/>
    <x v="77"/>
    <x v="80"/>
    <x v="29"/>
    <x v="83"/>
    <x v="85"/>
    <n v="113.4"/>
    <n v="117.5"/>
    <n v="125.4"/>
    <x v="33"/>
  </r>
  <r>
    <x v="0"/>
    <x v="2"/>
    <s v="October"/>
    <n v="125.6"/>
    <n v="130.4"/>
    <x v="77"/>
    <n v="129.4"/>
    <n v="115.8"/>
    <n v="133.19999999999999"/>
    <n v="157.69999999999999"/>
    <n v="154.19999999999999"/>
    <n v="93.7"/>
    <n v="126.6"/>
    <n v="122.3"/>
    <n v="133.1"/>
    <x v="83"/>
    <x v="89"/>
    <x v="85"/>
    <x v="86"/>
    <x v="88"/>
    <x v="0"/>
    <x v="71"/>
    <x v="78"/>
    <x v="81"/>
    <x v="60"/>
    <x v="84"/>
    <x v="82"/>
    <n v="114.2"/>
    <n v="119.2"/>
    <n v="127.7"/>
    <x v="34"/>
  </r>
  <r>
    <x v="1"/>
    <x v="2"/>
    <s v="October"/>
    <n v="123.6"/>
    <n v="128.6"/>
    <x v="44"/>
    <n v="128.5"/>
    <n v="109"/>
    <n v="124.1"/>
    <n v="165.8"/>
    <n v="187.2"/>
    <n v="89.4"/>
    <n v="135.80000000000001"/>
    <n v="119.4"/>
    <n v="132.9"/>
    <x v="84"/>
    <x v="90"/>
    <x v="63"/>
    <x v="51"/>
    <x v="89"/>
    <x v="31"/>
    <x v="61"/>
    <x v="79"/>
    <x v="62"/>
    <x v="19"/>
    <x v="85"/>
    <x v="84"/>
    <n v="113.5"/>
    <n v="116.5"/>
    <n v="124.2"/>
    <x v="34"/>
  </r>
  <r>
    <x v="2"/>
    <x v="2"/>
    <s v="October"/>
    <n v="125"/>
    <n v="129.80000000000001"/>
    <x v="64"/>
    <n v="129.1"/>
    <n v="113.3"/>
    <n v="129"/>
    <n v="160.4"/>
    <n v="165.3"/>
    <n v="92.3"/>
    <n v="129.69999999999999"/>
    <n v="121.1"/>
    <n v="133"/>
    <x v="85"/>
    <x v="91"/>
    <x v="86"/>
    <x v="87"/>
    <x v="90"/>
    <x v="31"/>
    <x v="72"/>
    <x v="69"/>
    <x v="72"/>
    <x v="33"/>
    <x v="86"/>
    <x v="86"/>
    <n v="113.9"/>
    <n v="117.9"/>
    <n v="126.1"/>
    <x v="34"/>
  </r>
  <r>
    <x v="0"/>
    <x v="2"/>
    <s v="November"/>
    <n v="126.1"/>
    <n v="130.6"/>
    <x v="78"/>
    <n v="129.5"/>
    <n v="117.8"/>
    <n v="132.1"/>
    <n v="155.19999999999999"/>
    <n v="160.80000000000001"/>
    <n v="94.5"/>
    <n v="128.30000000000001"/>
    <n v="123.1"/>
    <n v="134.19999999999999"/>
    <x v="86"/>
    <x v="92"/>
    <x v="87"/>
    <x v="88"/>
    <x v="91"/>
    <x v="0"/>
    <x v="73"/>
    <x v="80"/>
    <x v="82"/>
    <x v="62"/>
    <x v="87"/>
    <x v="87"/>
    <n v="114.2"/>
    <n v="119.6"/>
    <n v="128.30000000000001"/>
    <x v="35"/>
  </r>
  <r>
    <x v="1"/>
    <x v="2"/>
    <s v="November"/>
    <n v="124"/>
    <n v="129.80000000000001"/>
    <x v="40"/>
    <n v="128.6"/>
    <n v="110"/>
    <n v="123.7"/>
    <n v="164.6"/>
    <n v="191.6"/>
    <n v="90.8"/>
    <n v="137.1"/>
    <n v="119.8"/>
    <n v="133.69999999999999"/>
    <x v="87"/>
    <x v="93"/>
    <x v="88"/>
    <x v="64"/>
    <x v="92"/>
    <x v="32"/>
    <x v="64"/>
    <x v="81"/>
    <x v="83"/>
    <x v="19"/>
    <x v="74"/>
    <x v="88"/>
    <n v="113.3"/>
    <n v="116.6"/>
    <n v="124.6"/>
    <x v="35"/>
  </r>
  <r>
    <x v="2"/>
    <x v="2"/>
    <s v="November"/>
    <n v="125.4"/>
    <n v="130.30000000000001"/>
    <x v="72"/>
    <n v="129.19999999999999"/>
    <n v="114.9"/>
    <n v="128.19999999999999"/>
    <n v="158.4"/>
    <n v="171.2"/>
    <n v="93.3"/>
    <n v="131.19999999999999"/>
    <n v="121.7"/>
    <n v="134"/>
    <x v="88"/>
    <x v="94"/>
    <x v="89"/>
    <x v="89"/>
    <x v="93"/>
    <x v="32"/>
    <x v="74"/>
    <x v="82"/>
    <x v="84"/>
    <x v="35"/>
    <x v="88"/>
    <x v="89"/>
    <n v="113.8"/>
    <n v="118.1"/>
    <n v="126.6"/>
    <x v="35"/>
  </r>
  <r>
    <x v="0"/>
    <x v="2"/>
    <s v="December"/>
    <n v="126.3"/>
    <n v="131.30000000000001"/>
    <x v="79"/>
    <n v="129.80000000000001"/>
    <n v="118.3"/>
    <n v="131.6"/>
    <n v="145.5"/>
    <n v="162.1"/>
    <n v="95.4"/>
    <n v="128.9"/>
    <n v="123.3"/>
    <n v="135.1"/>
    <x v="89"/>
    <x v="82"/>
    <x v="90"/>
    <x v="90"/>
    <x v="94"/>
    <x v="0"/>
    <x v="75"/>
    <x v="83"/>
    <x v="85"/>
    <x v="62"/>
    <x v="89"/>
    <x v="90"/>
    <n v="114.1"/>
    <n v="119.8"/>
    <n v="127.9"/>
    <x v="36"/>
  </r>
  <r>
    <x v="1"/>
    <x v="2"/>
    <s v="December"/>
    <n v="124.3"/>
    <n v="131.69999999999999"/>
    <x v="80"/>
    <n v="128.6"/>
    <n v="110"/>
    <n v="120.8"/>
    <n v="149"/>
    <n v="190.1"/>
    <n v="92.7"/>
    <n v="138.6"/>
    <n v="120.2"/>
    <n v="134.19999999999999"/>
    <x v="81"/>
    <x v="95"/>
    <x v="66"/>
    <x v="91"/>
    <x v="95"/>
    <x v="31"/>
    <x v="76"/>
    <x v="81"/>
    <x v="67"/>
    <x v="19"/>
    <x v="90"/>
    <x v="88"/>
    <n v="113.2"/>
    <n v="116.7"/>
    <n v="124"/>
    <x v="36"/>
  </r>
  <r>
    <x v="2"/>
    <x v="2"/>
    <s v="December"/>
    <n v="125.7"/>
    <n v="131.4"/>
    <x v="81"/>
    <n v="129.4"/>
    <n v="115.3"/>
    <n v="126.6"/>
    <n v="146.69999999999999"/>
    <n v="171.5"/>
    <n v="94.5"/>
    <n v="132.1"/>
    <n v="122"/>
    <n v="134.69999999999999"/>
    <x v="89"/>
    <x v="96"/>
    <x v="91"/>
    <x v="92"/>
    <x v="83"/>
    <x v="31"/>
    <x v="77"/>
    <x v="84"/>
    <x v="79"/>
    <x v="35"/>
    <x v="81"/>
    <x v="81"/>
    <n v="113.7"/>
    <n v="118.3"/>
    <n v="126.1"/>
    <x v="36"/>
  </r>
  <r>
    <x v="0"/>
    <x v="3"/>
    <s v="January"/>
    <n v="126.8"/>
    <n v="133.19999999999999"/>
    <x v="82"/>
    <n v="130.30000000000001"/>
    <n v="118.9"/>
    <n v="131.6"/>
    <n v="140.1"/>
    <n v="163.80000000000001"/>
    <n v="97.7"/>
    <n v="129.6"/>
    <n v="124.3"/>
    <n v="135.9"/>
    <x v="89"/>
    <x v="94"/>
    <x v="92"/>
    <x v="93"/>
    <x v="96"/>
    <x v="0"/>
    <x v="78"/>
    <x v="85"/>
    <x v="86"/>
    <x v="59"/>
    <x v="91"/>
    <x v="81"/>
    <n v="114.9"/>
    <n v="120.1"/>
    <n v="128.1"/>
    <x v="37"/>
  </r>
  <r>
    <x v="1"/>
    <x v="3"/>
    <s v="January"/>
    <n v="124.7"/>
    <n v="135.9"/>
    <x v="83"/>
    <n v="129.19999999999999"/>
    <n v="109.7"/>
    <n v="119"/>
    <n v="144.1"/>
    <n v="184.2"/>
    <n v="96.7"/>
    <n v="139.5"/>
    <n v="120.5"/>
    <n v="134.69999999999999"/>
    <x v="82"/>
    <x v="97"/>
    <x v="93"/>
    <x v="94"/>
    <x v="97"/>
    <x v="33"/>
    <x v="79"/>
    <x v="86"/>
    <x v="87"/>
    <x v="63"/>
    <x v="79"/>
    <x v="91"/>
    <n v="114"/>
    <n v="116.8"/>
    <n v="124.2"/>
    <x v="37"/>
  </r>
  <r>
    <x v="2"/>
    <x v="3"/>
    <s v="January"/>
    <n v="126.1"/>
    <n v="134.1"/>
    <x v="84"/>
    <n v="129.9"/>
    <n v="115.5"/>
    <n v="125.7"/>
    <n v="141.5"/>
    <n v="170.7"/>
    <n v="97.4"/>
    <n v="132.9"/>
    <n v="122.7"/>
    <n v="135.30000000000001"/>
    <x v="90"/>
    <x v="98"/>
    <x v="94"/>
    <x v="76"/>
    <x v="98"/>
    <x v="33"/>
    <x v="80"/>
    <x v="87"/>
    <x v="81"/>
    <x v="30"/>
    <x v="92"/>
    <x v="89"/>
    <n v="114.5"/>
    <n v="118.5"/>
    <n v="126.3"/>
    <x v="37"/>
  </r>
  <r>
    <x v="0"/>
    <x v="3"/>
    <s v="February"/>
    <n v="127.1"/>
    <n v="133.69999999999999"/>
    <x v="85"/>
    <n v="130.69999999999999"/>
    <n v="118.5"/>
    <n v="130.4"/>
    <n v="130.9"/>
    <n v="162.80000000000001"/>
    <n v="98.7"/>
    <n v="130.6"/>
    <n v="124.8"/>
    <n v="136.4"/>
    <x v="79"/>
    <x v="99"/>
    <x v="95"/>
    <x v="95"/>
    <x v="99"/>
    <x v="0"/>
    <x v="81"/>
    <x v="88"/>
    <x v="88"/>
    <x v="64"/>
    <x v="93"/>
    <x v="92"/>
    <n v="116.8"/>
    <n v="120.9"/>
    <n v="127.9"/>
    <x v="38"/>
  </r>
  <r>
    <x v="1"/>
    <x v="3"/>
    <s v="February"/>
    <n v="124.8"/>
    <n v="135.1"/>
    <x v="86"/>
    <n v="129.6"/>
    <n v="108.4"/>
    <n v="118.6"/>
    <n v="129.19999999999999"/>
    <n v="176.4"/>
    <n v="99.1"/>
    <n v="139.69999999999999"/>
    <n v="120.6"/>
    <n v="135.19999999999999"/>
    <x v="91"/>
    <x v="100"/>
    <x v="96"/>
    <x v="67"/>
    <x v="100"/>
    <x v="34"/>
    <x v="76"/>
    <x v="89"/>
    <x v="89"/>
    <x v="61"/>
    <x v="94"/>
    <x v="89"/>
    <n v="116.2"/>
    <n v="117.2"/>
    <n v="123.8"/>
    <x v="38"/>
  </r>
  <r>
    <x v="2"/>
    <x v="3"/>
    <s v="February"/>
    <n v="126.4"/>
    <n v="134.19999999999999"/>
    <x v="87"/>
    <n v="130.30000000000001"/>
    <n v="114.8"/>
    <n v="124.9"/>
    <n v="130.30000000000001"/>
    <n v="167.4"/>
    <n v="98.8"/>
    <n v="133.6"/>
    <n v="123"/>
    <n v="135.80000000000001"/>
    <x v="92"/>
    <x v="101"/>
    <x v="97"/>
    <x v="96"/>
    <x v="101"/>
    <x v="34"/>
    <x v="82"/>
    <x v="90"/>
    <x v="90"/>
    <x v="33"/>
    <x v="95"/>
    <x v="88"/>
    <n v="116.6"/>
    <n v="119.1"/>
    <n v="126"/>
    <x v="38"/>
  </r>
  <r>
    <x v="0"/>
    <x v="3"/>
    <s v="March"/>
    <n v="127.3"/>
    <n v="134.4"/>
    <x v="88"/>
    <n v="130.5"/>
    <n v="118.3"/>
    <n v="131.69999999999999"/>
    <n v="130.69999999999999"/>
    <n v="161.19999999999999"/>
    <n v="100.4"/>
    <n v="130.80000000000001"/>
    <n v="124.9"/>
    <n v="137"/>
    <x v="93"/>
    <x v="102"/>
    <x v="98"/>
    <x v="97"/>
    <x v="102"/>
    <x v="0"/>
    <x v="83"/>
    <x v="91"/>
    <x v="91"/>
    <x v="59"/>
    <x v="96"/>
    <x v="93"/>
    <n v="117.4"/>
    <n v="121.1"/>
    <n v="128"/>
    <x v="39"/>
  </r>
  <r>
    <x v="1"/>
    <x v="3"/>
    <s v="March"/>
    <n v="124.8"/>
    <n v="136.30000000000001"/>
    <x v="89"/>
    <n v="129.69999999999999"/>
    <n v="107.9"/>
    <n v="119.9"/>
    <n v="128.1"/>
    <n v="170.3"/>
    <n v="101.8"/>
    <n v="140.1"/>
    <n v="120.7"/>
    <n v="135.4"/>
    <x v="53"/>
    <x v="103"/>
    <x v="70"/>
    <x v="55"/>
    <x v="71"/>
    <x v="35"/>
    <x v="84"/>
    <x v="92"/>
    <x v="92"/>
    <x v="65"/>
    <x v="97"/>
    <x v="91"/>
    <n v="117.1"/>
    <n v="117.3"/>
    <n v="123.8"/>
    <x v="39"/>
  </r>
  <r>
    <x v="2"/>
    <x v="3"/>
    <s v="March"/>
    <n v="126.5"/>
    <n v="135.1"/>
    <x v="90"/>
    <n v="130.19999999999999"/>
    <n v="114.5"/>
    <n v="126.2"/>
    <n v="129.80000000000001"/>
    <n v="164.3"/>
    <n v="100.9"/>
    <n v="133.9"/>
    <n v="123.1"/>
    <n v="136.30000000000001"/>
    <x v="77"/>
    <x v="104"/>
    <x v="99"/>
    <x v="98"/>
    <x v="103"/>
    <x v="35"/>
    <x v="85"/>
    <x v="78"/>
    <x v="93"/>
    <x v="49"/>
    <x v="98"/>
    <x v="94"/>
    <n v="117.3"/>
    <n v="119.3"/>
    <n v="126"/>
    <x v="39"/>
  </r>
  <r>
    <x v="0"/>
    <x v="3"/>
    <s v="April"/>
    <n v="127.4"/>
    <n v="135.4"/>
    <x v="91"/>
    <n v="131.30000000000001"/>
    <n v="118.2"/>
    <n v="138.1"/>
    <n v="134.1"/>
    <n v="162.69999999999999"/>
    <n v="105"/>
    <n v="131.4"/>
    <n v="125.4"/>
    <n v="137.4"/>
    <x v="83"/>
    <x v="105"/>
    <x v="100"/>
    <x v="99"/>
    <x v="104"/>
    <x v="0"/>
    <x v="83"/>
    <x v="93"/>
    <x v="94"/>
    <x v="66"/>
    <x v="99"/>
    <x v="95"/>
    <n v="118.4"/>
    <n v="121.7"/>
    <n v="129"/>
    <x v="40"/>
  </r>
  <r>
    <x v="1"/>
    <x v="3"/>
    <s v="April"/>
    <n v="124.9"/>
    <n v="139.30000000000001"/>
    <x v="55"/>
    <n v="130.19999999999999"/>
    <n v="108.9"/>
    <n v="131.1"/>
    <n v="136.80000000000001"/>
    <n v="176.9"/>
    <n v="109.1"/>
    <n v="140.4"/>
    <n v="121.1"/>
    <n v="135.9"/>
    <x v="83"/>
    <x v="106"/>
    <x v="101"/>
    <x v="57"/>
    <x v="105"/>
    <x v="36"/>
    <x v="86"/>
    <x v="67"/>
    <x v="95"/>
    <x v="67"/>
    <x v="100"/>
    <x v="96"/>
    <n v="117.6"/>
    <n v="118.2"/>
    <n v="125.3"/>
    <x v="40"/>
  </r>
  <r>
    <x v="2"/>
    <x v="3"/>
    <s v="April"/>
    <n v="126.6"/>
    <n v="136.80000000000001"/>
    <x v="73"/>
    <n v="130.9"/>
    <n v="114.8"/>
    <n v="134.80000000000001"/>
    <n v="135"/>
    <n v="167.5"/>
    <n v="106.4"/>
    <n v="134.4"/>
    <n v="123.6"/>
    <n v="136.69999999999999"/>
    <x v="83"/>
    <x v="107"/>
    <x v="102"/>
    <x v="100"/>
    <x v="106"/>
    <x v="36"/>
    <x v="87"/>
    <x v="94"/>
    <x v="96"/>
    <x v="68"/>
    <x v="101"/>
    <x v="97"/>
    <n v="118.1"/>
    <n v="120"/>
    <n v="127.3"/>
    <x v="40"/>
  </r>
  <r>
    <x v="0"/>
    <x v="3"/>
    <s v="May"/>
    <n v="127.6"/>
    <n v="137.5"/>
    <x v="92"/>
    <n v="132.4"/>
    <n v="118.2"/>
    <n v="138.1"/>
    <n v="141.80000000000001"/>
    <n v="166"/>
    <n v="107.5"/>
    <n v="132.19999999999999"/>
    <n v="126.1"/>
    <n v="138.30000000000001"/>
    <x v="94"/>
    <x v="108"/>
    <x v="103"/>
    <x v="101"/>
    <x v="107"/>
    <x v="0"/>
    <x v="88"/>
    <x v="95"/>
    <x v="97"/>
    <x v="69"/>
    <x v="102"/>
    <x v="98"/>
    <n v="119.7"/>
    <n v="122.5"/>
    <n v="130.30000000000001"/>
    <x v="41"/>
  </r>
  <r>
    <x v="1"/>
    <x v="3"/>
    <s v="May"/>
    <n v="125"/>
    <n v="142.1"/>
    <x v="93"/>
    <n v="130.4"/>
    <n v="109.6"/>
    <n v="133.5"/>
    <n v="151.4"/>
    <n v="182.8"/>
    <n v="111.1"/>
    <n v="141.5"/>
    <n v="121.5"/>
    <n v="136.30000000000001"/>
    <x v="95"/>
    <x v="109"/>
    <x v="81"/>
    <x v="102"/>
    <x v="108"/>
    <x v="37"/>
    <x v="89"/>
    <x v="96"/>
    <x v="98"/>
    <x v="28"/>
    <x v="92"/>
    <x v="99"/>
    <n v="118.5"/>
    <n v="118.7"/>
    <n v="126.6"/>
    <x v="41"/>
  </r>
  <r>
    <x v="2"/>
    <x v="3"/>
    <s v="May"/>
    <n v="126.8"/>
    <n v="139.1"/>
    <x v="94"/>
    <n v="131.69999999999999"/>
    <n v="115"/>
    <n v="136"/>
    <n v="145.1"/>
    <n v="171.7"/>
    <n v="108.7"/>
    <n v="135.30000000000001"/>
    <n v="124.2"/>
    <n v="137.4"/>
    <x v="96"/>
    <x v="110"/>
    <x v="104"/>
    <x v="84"/>
    <x v="109"/>
    <x v="37"/>
    <x v="80"/>
    <x v="83"/>
    <x v="86"/>
    <x v="41"/>
    <x v="103"/>
    <x v="100"/>
    <n v="119.2"/>
    <n v="120.7"/>
    <n v="128.6"/>
    <x v="41"/>
  </r>
  <r>
    <x v="0"/>
    <x v="3"/>
    <s v="June"/>
    <n v="128.6"/>
    <n v="138.6"/>
    <x v="60"/>
    <n v="133.6"/>
    <n v="118.6"/>
    <n v="137.4"/>
    <n v="152.5"/>
    <n v="169.2"/>
    <n v="108.8"/>
    <n v="133.1"/>
    <n v="126.4"/>
    <n v="139.19999999999999"/>
    <x v="97"/>
    <x v="111"/>
    <x v="105"/>
    <x v="103"/>
    <x v="110"/>
    <x v="0"/>
    <x v="90"/>
    <x v="97"/>
    <x v="99"/>
    <x v="70"/>
    <x v="104"/>
    <x v="101"/>
    <n v="119.9"/>
    <n v="123.3"/>
    <n v="131.9"/>
    <x v="42"/>
  </r>
  <r>
    <x v="1"/>
    <x v="3"/>
    <s v="June"/>
    <n v="125.9"/>
    <n v="143.9"/>
    <x v="95"/>
    <n v="131"/>
    <n v="110.2"/>
    <n v="135.5"/>
    <n v="173.7"/>
    <n v="184.4"/>
    <n v="112"/>
    <n v="142.80000000000001"/>
    <n v="121.6"/>
    <n v="136.9"/>
    <x v="98"/>
    <x v="112"/>
    <x v="106"/>
    <x v="104"/>
    <x v="84"/>
    <x v="38"/>
    <x v="49"/>
    <x v="96"/>
    <x v="100"/>
    <x v="71"/>
    <x v="105"/>
    <x v="102"/>
    <n v="118.8"/>
    <n v="119.6"/>
    <n v="128.1"/>
    <x v="42"/>
  </r>
  <r>
    <x v="2"/>
    <x v="3"/>
    <s v="June"/>
    <n v="127.7"/>
    <n v="140.5"/>
    <x v="96"/>
    <n v="132.6"/>
    <n v="115.5"/>
    <n v="136.5"/>
    <n v="159.69999999999999"/>
    <n v="174.3"/>
    <n v="109.9"/>
    <n v="136.30000000000001"/>
    <n v="124.4"/>
    <n v="138.1"/>
    <x v="99"/>
    <x v="113"/>
    <x v="107"/>
    <x v="105"/>
    <x v="111"/>
    <x v="38"/>
    <x v="91"/>
    <x v="98"/>
    <x v="101"/>
    <x v="54"/>
    <x v="106"/>
    <x v="103"/>
    <n v="119.4"/>
    <n v="121.5"/>
    <n v="130.1"/>
    <x v="42"/>
  </r>
  <r>
    <x v="0"/>
    <x v="3"/>
    <s v="July"/>
    <n v="129.30000000000001"/>
    <n v="139.5"/>
    <x v="97"/>
    <n v="134.5"/>
    <n v="119.5"/>
    <n v="138.5"/>
    <n v="158.19999999999999"/>
    <n v="171.8"/>
    <n v="110.3"/>
    <n v="134.30000000000001"/>
    <n v="127.3"/>
    <n v="139.9"/>
    <x v="100"/>
    <x v="114"/>
    <x v="108"/>
    <x v="106"/>
    <x v="112"/>
    <x v="0"/>
    <x v="92"/>
    <x v="99"/>
    <x v="102"/>
    <x v="72"/>
    <x v="107"/>
    <x v="104"/>
    <n v="120.9"/>
    <n v="123.8"/>
    <n v="133"/>
    <x v="43"/>
  </r>
  <r>
    <x v="1"/>
    <x v="3"/>
    <s v="July"/>
    <n v="126.8"/>
    <n v="144.19999999999999"/>
    <x v="98"/>
    <n v="131.80000000000001"/>
    <n v="111"/>
    <n v="137"/>
    <n v="179.5"/>
    <n v="188.4"/>
    <n v="113.3"/>
    <n v="143.9"/>
    <n v="121.7"/>
    <n v="137.5"/>
    <x v="101"/>
    <x v="115"/>
    <x v="84"/>
    <x v="104"/>
    <x v="113"/>
    <x v="39"/>
    <x v="49"/>
    <x v="100"/>
    <x v="84"/>
    <x v="55"/>
    <x v="95"/>
    <x v="104"/>
    <n v="120"/>
    <n v="119.9"/>
    <n v="129"/>
    <x v="43"/>
  </r>
  <r>
    <x v="2"/>
    <x v="3"/>
    <s v="July"/>
    <n v="128.5"/>
    <n v="141.19999999999999"/>
    <x v="99"/>
    <n v="133.5"/>
    <n v="116.4"/>
    <n v="137.80000000000001"/>
    <n v="165.4"/>
    <n v="177.4"/>
    <n v="111.3"/>
    <n v="137.5"/>
    <n v="125"/>
    <n v="138.80000000000001"/>
    <x v="102"/>
    <x v="116"/>
    <x v="109"/>
    <x v="107"/>
    <x v="114"/>
    <x v="39"/>
    <x v="93"/>
    <x v="101"/>
    <x v="103"/>
    <x v="64"/>
    <x v="108"/>
    <x v="104"/>
    <n v="120.5"/>
    <n v="121.9"/>
    <n v="131.1"/>
    <x v="43"/>
  </r>
  <r>
    <x v="0"/>
    <x v="3"/>
    <s v="August"/>
    <n v="130.1"/>
    <n v="138.80000000000001"/>
    <x v="86"/>
    <n v="135.30000000000001"/>
    <n v="119.9"/>
    <n v="140.19999999999999"/>
    <n v="156.9"/>
    <n v="172.2"/>
    <n v="112.1"/>
    <n v="134.9"/>
    <n v="128.1"/>
    <n v="140.69999999999999"/>
    <x v="103"/>
    <x v="117"/>
    <x v="110"/>
    <x v="108"/>
    <x v="115"/>
    <x v="0"/>
    <x v="94"/>
    <x v="102"/>
    <x v="104"/>
    <x v="73"/>
    <x v="109"/>
    <x v="105"/>
    <n v="122"/>
    <n v="124.2"/>
    <n v="133.5"/>
    <x v="44"/>
  </r>
  <r>
    <x v="1"/>
    <x v="3"/>
    <s v="August"/>
    <n v="127.6"/>
    <n v="140.30000000000001"/>
    <x v="100"/>
    <n v="132.19999999999999"/>
    <n v="111.8"/>
    <n v="135.80000000000001"/>
    <n v="163.5"/>
    <n v="182.3"/>
    <n v="114.6"/>
    <n v="144.6"/>
    <n v="121.9"/>
    <n v="138.1"/>
    <x v="100"/>
    <x v="118"/>
    <x v="111"/>
    <x v="109"/>
    <x v="116"/>
    <x v="40"/>
    <x v="47"/>
    <x v="103"/>
    <x v="105"/>
    <x v="20"/>
    <x v="98"/>
    <x v="106"/>
    <n v="120.9"/>
    <n v="119.9"/>
    <n v="128.4"/>
    <x v="44"/>
  </r>
  <r>
    <x v="2"/>
    <x v="3"/>
    <s v="August"/>
    <n v="129.30000000000001"/>
    <n v="139.30000000000001"/>
    <x v="101"/>
    <n v="134.1"/>
    <n v="116.9"/>
    <n v="138.1"/>
    <n v="159.1"/>
    <n v="175.6"/>
    <n v="112.9"/>
    <n v="138.1"/>
    <n v="125.5"/>
    <n v="139.5"/>
    <x v="104"/>
    <x v="119"/>
    <x v="112"/>
    <x v="88"/>
    <x v="117"/>
    <x v="40"/>
    <x v="95"/>
    <x v="104"/>
    <x v="91"/>
    <x v="39"/>
    <x v="110"/>
    <x v="107"/>
    <n v="121.5"/>
    <n v="122.1"/>
    <n v="131.1"/>
    <x v="44"/>
  </r>
  <r>
    <x v="0"/>
    <x v="3"/>
    <s v="September"/>
    <n v="130.80000000000001"/>
    <n v="138.19999999999999"/>
    <x v="102"/>
    <n v="135.5"/>
    <n v="120.2"/>
    <n v="139.19999999999999"/>
    <n v="149.5"/>
    <n v="170.4"/>
    <n v="113.1"/>
    <n v="135.80000000000001"/>
    <n v="128.80000000000001"/>
    <n v="141.5"/>
    <x v="105"/>
    <x v="120"/>
    <x v="113"/>
    <x v="110"/>
    <x v="118"/>
    <x v="0"/>
    <x v="96"/>
    <x v="105"/>
    <x v="106"/>
    <x v="74"/>
    <x v="111"/>
    <x v="108"/>
    <n v="122.8"/>
    <n v="124.9"/>
    <n v="133.4"/>
    <x v="45"/>
  </r>
  <r>
    <x v="1"/>
    <x v="3"/>
    <s v="September"/>
    <n v="128.1"/>
    <n v="137.69999999999999"/>
    <x v="103"/>
    <n v="132.6"/>
    <n v="111.9"/>
    <n v="132.5"/>
    <n v="152.9"/>
    <n v="173.6"/>
    <n v="115.1"/>
    <n v="144.80000000000001"/>
    <n v="122.1"/>
    <n v="138.80000000000001"/>
    <x v="106"/>
    <x v="121"/>
    <x v="114"/>
    <x v="63"/>
    <x v="119"/>
    <x v="41"/>
    <x v="84"/>
    <x v="106"/>
    <x v="79"/>
    <x v="36"/>
    <x v="112"/>
    <x v="109"/>
    <n v="121.2"/>
    <n v="120.5"/>
    <n v="128"/>
    <x v="45"/>
  </r>
  <r>
    <x v="2"/>
    <x v="3"/>
    <s v="September"/>
    <n v="129.9"/>
    <n v="138"/>
    <x v="102"/>
    <n v="134.4"/>
    <n v="117.2"/>
    <n v="136.1"/>
    <n v="150.69999999999999"/>
    <n v="171.5"/>
    <n v="113.8"/>
    <n v="138.80000000000001"/>
    <n v="126"/>
    <n v="140.19999999999999"/>
    <x v="107"/>
    <x v="122"/>
    <x v="115"/>
    <x v="111"/>
    <x v="102"/>
    <x v="41"/>
    <x v="97"/>
    <x v="107"/>
    <x v="107"/>
    <x v="75"/>
    <x v="113"/>
    <x v="110"/>
    <n v="122.1"/>
    <n v="122.8"/>
    <n v="130.9"/>
    <x v="45"/>
  </r>
  <r>
    <x v="0"/>
    <x v="3"/>
    <s v="October"/>
    <n v="131.30000000000001"/>
    <n v="137.6"/>
    <x v="104"/>
    <n v="136"/>
    <n v="120.8"/>
    <n v="138.4"/>
    <n v="149.19999999999999"/>
    <n v="170.2"/>
    <n v="113.4"/>
    <n v="136.30000000000001"/>
    <n v="128.69999999999999"/>
    <n v="142.4"/>
    <x v="108"/>
    <x v="123"/>
    <x v="116"/>
    <x v="112"/>
    <x v="120"/>
    <x v="0"/>
    <x v="98"/>
    <x v="108"/>
    <x v="108"/>
    <x v="76"/>
    <x v="114"/>
    <x v="111"/>
    <n v="123"/>
    <n v="125.7"/>
    <n v="133.80000000000001"/>
    <x v="46"/>
  </r>
  <r>
    <x v="1"/>
    <x v="3"/>
    <s v="October"/>
    <n v="128.69999999999999"/>
    <n v="138.4"/>
    <x v="86"/>
    <n v="132.69999999999999"/>
    <n v="112.5"/>
    <n v="130.4"/>
    <n v="155.1"/>
    <n v="175.7"/>
    <n v="115.4"/>
    <n v="145.30000000000001"/>
    <n v="122.5"/>
    <n v="139.6"/>
    <x v="109"/>
    <x v="124"/>
    <x v="117"/>
    <x v="113"/>
    <x v="78"/>
    <x v="42"/>
    <x v="99"/>
    <x v="75"/>
    <x v="109"/>
    <x v="41"/>
    <x v="115"/>
    <x v="105"/>
    <n v="120.8"/>
    <n v="120.9"/>
    <n v="128.6"/>
    <x v="46"/>
  </r>
  <r>
    <x v="2"/>
    <x v="3"/>
    <s v="October"/>
    <n v="130.5"/>
    <n v="137.9"/>
    <x v="105"/>
    <n v="134.80000000000001"/>
    <n v="117.8"/>
    <n v="134.69999999999999"/>
    <n v="151.19999999999999"/>
    <n v="172.1"/>
    <n v="114.1"/>
    <n v="139.30000000000001"/>
    <n v="126.1"/>
    <n v="141.1"/>
    <x v="110"/>
    <x v="125"/>
    <x v="118"/>
    <x v="114"/>
    <x v="121"/>
    <x v="42"/>
    <x v="100"/>
    <x v="109"/>
    <x v="110"/>
    <x v="77"/>
    <x v="116"/>
    <x v="112"/>
    <n v="122.1"/>
    <n v="123.4"/>
    <n v="131.4"/>
    <x v="46"/>
  </r>
  <r>
    <x v="0"/>
    <x v="3"/>
    <s v="November"/>
    <n v="132"/>
    <n v="137.4"/>
    <x v="103"/>
    <n v="136.19999999999999"/>
    <n v="121.1"/>
    <n v="136.9"/>
    <n v="141.80000000000001"/>
    <n v="170"/>
    <n v="113.4"/>
    <n v="136.80000000000001"/>
    <n v="128.69999999999999"/>
    <n v="143.1"/>
    <x v="107"/>
    <x v="126"/>
    <x v="119"/>
    <x v="115"/>
    <x v="122"/>
    <x v="0"/>
    <x v="101"/>
    <x v="110"/>
    <x v="111"/>
    <x v="78"/>
    <x v="117"/>
    <x v="113"/>
    <n v="123.5"/>
    <n v="126.1"/>
    <n v="133.6"/>
    <x v="47"/>
  </r>
  <r>
    <x v="1"/>
    <x v="3"/>
    <s v="November"/>
    <n v="130.19999999999999"/>
    <n v="138.5"/>
    <x v="106"/>
    <n v="132.9"/>
    <n v="112.6"/>
    <n v="130.80000000000001"/>
    <n v="142"/>
    <n v="174.9"/>
    <n v="115.6"/>
    <n v="145.4"/>
    <n v="122.7"/>
    <n v="140.30000000000001"/>
    <x v="111"/>
    <x v="124"/>
    <x v="120"/>
    <x v="116"/>
    <x v="123"/>
    <x v="43"/>
    <x v="102"/>
    <x v="111"/>
    <x v="112"/>
    <x v="79"/>
    <x v="106"/>
    <x v="114"/>
    <n v="121.3"/>
    <n v="121.3"/>
    <n v="128.5"/>
    <x v="47"/>
  </r>
  <r>
    <x v="2"/>
    <x v="3"/>
    <s v="November"/>
    <n v="131.4"/>
    <n v="137.80000000000001"/>
    <x v="83"/>
    <n v="135"/>
    <n v="118"/>
    <n v="134.1"/>
    <n v="141.9"/>
    <n v="171.7"/>
    <n v="114.1"/>
    <n v="139.69999999999999"/>
    <n v="126.2"/>
    <n v="141.80000000000001"/>
    <x v="112"/>
    <x v="127"/>
    <x v="121"/>
    <x v="117"/>
    <x v="124"/>
    <x v="43"/>
    <x v="103"/>
    <x v="112"/>
    <x v="113"/>
    <x v="80"/>
    <x v="118"/>
    <x v="115"/>
    <n v="122.6"/>
    <n v="123.8"/>
    <n v="131.19999999999999"/>
    <x v="47"/>
  </r>
  <r>
    <x v="0"/>
    <x v="3"/>
    <s v="December"/>
    <n v="132.6"/>
    <n v="137.30000000000001"/>
    <x v="101"/>
    <n v="136.30000000000001"/>
    <n v="121.6"/>
    <n v="135.6"/>
    <n v="127.5"/>
    <n v="167.9"/>
    <n v="113.8"/>
    <n v="137.5"/>
    <n v="129.1"/>
    <n v="143.6"/>
    <x v="113"/>
    <x v="128"/>
    <x v="122"/>
    <x v="118"/>
    <x v="125"/>
    <x v="0"/>
    <x v="104"/>
    <x v="113"/>
    <x v="114"/>
    <x v="81"/>
    <x v="119"/>
    <x v="116"/>
    <n v="121.9"/>
    <n v="126.3"/>
    <n v="132.80000000000001"/>
    <x v="48"/>
  </r>
  <r>
    <x v="1"/>
    <x v="3"/>
    <s v="December"/>
    <n v="131.6"/>
    <n v="138.19999999999999"/>
    <x v="107"/>
    <n v="133.1"/>
    <n v="113.5"/>
    <n v="129.30000000000001"/>
    <n v="121.1"/>
    <n v="170.3"/>
    <n v="115.5"/>
    <n v="145.5"/>
    <n v="123.1"/>
    <n v="140.9"/>
    <x v="114"/>
    <x v="129"/>
    <x v="123"/>
    <x v="119"/>
    <x v="126"/>
    <x v="44"/>
    <x v="105"/>
    <x v="114"/>
    <x v="115"/>
    <x v="82"/>
    <x v="120"/>
    <x v="117"/>
    <n v="119.9"/>
    <n v="121.4"/>
    <n v="127.6"/>
    <x v="48"/>
  </r>
  <r>
    <x v="2"/>
    <x v="3"/>
    <s v="December"/>
    <n v="132.30000000000001"/>
    <n v="137.6"/>
    <x v="108"/>
    <n v="135.1"/>
    <n v="118.6"/>
    <n v="132.69999999999999"/>
    <n v="125.3"/>
    <n v="168.7"/>
    <n v="114.4"/>
    <n v="140.19999999999999"/>
    <n v="126.6"/>
    <n v="142.30000000000001"/>
    <x v="96"/>
    <x v="130"/>
    <x v="105"/>
    <x v="95"/>
    <x v="127"/>
    <x v="44"/>
    <x v="106"/>
    <x v="115"/>
    <x v="116"/>
    <x v="73"/>
    <x v="121"/>
    <x v="118"/>
    <n v="121.1"/>
    <n v="123.9"/>
    <n v="130.4"/>
    <x v="48"/>
  </r>
  <r>
    <x v="0"/>
    <x v="4"/>
    <s v="January"/>
    <n v="133.1"/>
    <n v="137.80000000000001"/>
    <x v="109"/>
    <n v="136.69999999999999"/>
    <n v="122"/>
    <n v="136"/>
    <n v="119.8"/>
    <n v="161.69999999999999"/>
    <n v="114.8"/>
    <n v="136.9"/>
    <n v="129"/>
    <n v="143.9"/>
    <x v="115"/>
    <x v="130"/>
    <x v="124"/>
    <x v="120"/>
    <x v="128"/>
    <x v="0"/>
    <x v="107"/>
    <x v="116"/>
    <x v="117"/>
    <x v="83"/>
    <x v="122"/>
    <x v="119"/>
    <n v="122.3"/>
    <n v="126.6"/>
    <n v="132.4"/>
    <x v="49"/>
  </r>
  <r>
    <x v="1"/>
    <x v="4"/>
    <s v="January"/>
    <n v="132.19999999999999"/>
    <n v="138.9"/>
    <x v="110"/>
    <n v="133.1"/>
    <n v="114"/>
    <n v="129.6"/>
    <n v="118.7"/>
    <n v="155.1"/>
    <n v="117.3"/>
    <n v="144.9"/>
    <n v="123.2"/>
    <n v="141.6"/>
    <x v="116"/>
    <x v="131"/>
    <x v="125"/>
    <x v="81"/>
    <x v="83"/>
    <x v="45"/>
    <x v="108"/>
    <x v="78"/>
    <x v="82"/>
    <x v="77"/>
    <x v="123"/>
    <x v="112"/>
    <n v="120.9"/>
    <n v="122.1"/>
    <n v="127.8"/>
    <x v="49"/>
  </r>
  <r>
    <x v="2"/>
    <x v="4"/>
    <s v="January"/>
    <n v="132.80000000000001"/>
    <n v="138.19999999999999"/>
    <x v="111"/>
    <n v="135.4"/>
    <n v="119.1"/>
    <n v="133"/>
    <n v="119.4"/>
    <n v="159.5"/>
    <n v="115.6"/>
    <n v="139.6"/>
    <n v="126.6"/>
    <n v="142.80000000000001"/>
    <x v="117"/>
    <x v="132"/>
    <x v="126"/>
    <x v="97"/>
    <x v="110"/>
    <x v="45"/>
    <x v="109"/>
    <x v="117"/>
    <x v="118"/>
    <x v="74"/>
    <x v="121"/>
    <x v="120"/>
    <n v="121.7"/>
    <n v="124.4"/>
    <n v="130.30000000000001"/>
    <x v="49"/>
  </r>
  <r>
    <x v="0"/>
    <x v="4"/>
    <s v="February"/>
    <n v="133.30000000000001"/>
    <n v="138.30000000000001"/>
    <x v="112"/>
    <n v="137.19999999999999"/>
    <n v="122.1"/>
    <n v="138.69999999999999"/>
    <n v="119.1"/>
    <n v="156.9"/>
    <n v="116.2"/>
    <n v="136"/>
    <n v="129.4"/>
    <n v="144.4"/>
    <x v="94"/>
    <x v="133"/>
    <x v="127"/>
    <x v="120"/>
    <x v="129"/>
    <x v="0"/>
    <x v="110"/>
    <x v="118"/>
    <x v="119"/>
    <x v="84"/>
    <x v="124"/>
    <x v="121"/>
    <n v="123.2"/>
    <n v="127"/>
    <n v="132.6"/>
    <x v="50"/>
  </r>
  <r>
    <x v="1"/>
    <x v="4"/>
    <s v="February"/>
    <n v="132.80000000000001"/>
    <n v="139.80000000000001"/>
    <x v="112"/>
    <n v="133.5"/>
    <n v="114.3"/>
    <n v="131.4"/>
    <n v="120.2"/>
    <n v="143.1"/>
    <n v="119.5"/>
    <n v="144"/>
    <n v="123.4"/>
    <n v="141.9"/>
    <x v="85"/>
    <x v="134"/>
    <x v="128"/>
    <x v="121"/>
    <x v="130"/>
    <x v="46"/>
    <x v="62"/>
    <x v="119"/>
    <x v="93"/>
    <x v="85"/>
    <x v="125"/>
    <x v="112"/>
    <n v="121.7"/>
    <n v="122.4"/>
    <n v="128.19999999999999"/>
    <x v="50"/>
  </r>
  <r>
    <x v="2"/>
    <x v="4"/>
    <s v="February"/>
    <n v="133.1"/>
    <n v="138.80000000000001"/>
    <x v="112"/>
    <n v="135.80000000000001"/>
    <n v="119.2"/>
    <n v="135.30000000000001"/>
    <n v="119.5"/>
    <n v="152.19999999999999"/>
    <n v="117.3"/>
    <n v="138.69999999999999"/>
    <n v="126.9"/>
    <n v="143.19999999999999"/>
    <x v="118"/>
    <x v="135"/>
    <x v="129"/>
    <x v="122"/>
    <x v="131"/>
    <x v="46"/>
    <x v="111"/>
    <x v="120"/>
    <x v="120"/>
    <x v="86"/>
    <x v="126"/>
    <x v="122"/>
    <n v="122.6"/>
    <n v="124.8"/>
    <n v="130.6"/>
    <x v="50"/>
  </r>
  <r>
    <x v="0"/>
    <x v="4"/>
    <s v="March"/>
    <n v="133.6"/>
    <n v="138.80000000000001"/>
    <x v="113"/>
    <n v="137.19999999999999"/>
    <n v="121.6"/>
    <n v="139.69999999999999"/>
    <n v="119.7"/>
    <n v="148"/>
    <n v="116.9"/>
    <n v="135.6"/>
    <n v="129.80000000000001"/>
    <n v="145.4"/>
    <x v="119"/>
    <x v="136"/>
    <x v="130"/>
    <x v="123"/>
    <x v="132"/>
    <x v="0"/>
    <x v="112"/>
    <x v="121"/>
    <x v="121"/>
    <x v="87"/>
    <x v="127"/>
    <x v="123"/>
    <n v="123.3"/>
    <n v="127.4"/>
    <n v="132.80000000000001"/>
    <x v="51"/>
  </r>
  <r>
    <x v="1"/>
    <x v="4"/>
    <s v="March"/>
    <n v="132.69999999999999"/>
    <n v="139.4"/>
    <x v="114"/>
    <n v="134.9"/>
    <n v="114"/>
    <n v="136.80000000000001"/>
    <n v="122.2"/>
    <n v="135.80000000000001"/>
    <n v="120.3"/>
    <n v="142.6"/>
    <n v="123.6"/>
    <n v="142.4"/>
    <x v="84"/>
    <x v="137"/>
    <x v="131"/>
    <x v="124"/>
    <x v="133"/>
    <x v="47"/>
    <x v="72"/>
    <x v="80"/>
    <x v="85"/>
    <x v="88"/>
    <x v="108"/>
    <x v="115"/>
    <n v="121.7"/>
    <n v="122.6"/>
    <n v="128.69999999999999"/>
    <x v="51"/>
  </r>
  <r>
    <x v="2"/>
    <x v="4"/>
    <s v="March"/>
    <n v="133.30000000000001"/>
    <n v="139"/>
    <x v="84"/>
    <n v="136.30000000000001"/>
    <n v="118.8"/>
    <n v="138.30000000000001"/>
    <n v="120.5"/>
    <n v="143.9"/>
    <n v="118"/>
    <n v="137.9"/>
    <n v="127.2"/>
    <n v="144"/>
    <x v="117"/>
    <x v="138"/>
    <x v="132"/>
    <x v="99"/>
    <x v="134"/>
    <x v="47"/>
    <x v="94"/>
    <x v="122"/>
    <x v="106"/>
    <x v="89"/>
    <x v="128"/>
    <x v="124"/>
    <n v="122.6"/>
    <n v="125.1"/>
    <n v="130.9"/>
    <x v="51"/>
  </r>
  <r>
    <x v="0"/>
    <x v="4"/>
    <s v="April"/>
    <n v="133.19999999999999"/>
    <n v="138.69999999999999"/>
    <x v="80"/>
    <n v="137.69999999999999"/>
    <n v="121.3"/>
    <n v="141.80000000000001"/>
    <n v="121.5"/>
    <n v="144.5"/>
    <n v="117.4"/>
    <n v="134.1"/>
    <n v="130"/>
    <n v="145.5"/>
    <x v="120"/>
    <x v="135"/>
    <x v="133"/>
    <x v="125"/>
    <x v="135"/>
    <x v="0"/>
    <x v="113"/>
    <x v="123"/>
    <x v="122"/>
    <x v="90"/>
    <x v="127"/>
    <x v="125"/>
    <n v="123.7"/>
    <n v="127.5"/>
    <n v="132.9"/>
    <x v="52"/>
  </r>
  <r>
    <x v="1"/>
    <x v="4"/>
    <s v="April"/>
    <n v="132.69999999999999"/>
    <n v="140.6"/>
    <x v="37"/>
    <n v="136.30000000000001"/>
    <n v="113.5"/>
    <n v="137.69999999999999"/>
    <n v="127.1"/>
    <n v="133.80000000000001"/>
    <n v="120.8"/>
    <n v="141.30000000000001"/>
    <n v="123.8"/>
    <n v="142.6"/>
    <x v="119"/>
    <x v="139"/>
    <x v="134"/>
    <x v="126"/>
    <x v="136"/>
    <x v="48"/>
    <x v="114"/>
    <x v="83"/>
    <x v="123"/>
    <x v="75"/>
    <x v="129"/>
    <x v="126"/>
    <n v="122.2"/>
    <n v="122.5"/>
    <n v="129.1"/>
    <x v="52"/>
  </r>
  <r>
    <x v="2"/>
    <x v="4"/>
    <s v="April"/>
    <n v="133"/>
    <n v="139.4"/>
    <x v="115"/>
    <n v="137.19999999999999"/>
    <n v="118.4"/>
    <n v="139.9"/>
    <n v="123.4"/>
    <n v="140.9"/>
    <n v="118.5"/>
    <n v="136.5"/>
    <n v="127.4"/>
    <n v="144.19999999999999"/>
    <x v="120"/>
    <x v="140"/>
    <x v="135"/>
    <x v="101"/>
    <x v="137"/>
    <x v="48"/>
    <x v="98"/>
    <x v="124"/>
    <x v="124"/>
    <x v="91"/>
    <x v="130"/>
    <x v="127"/>
    <n v="123.1"/>
    <n v="125.1"/>
    <n v="131.1"/>
    <x v="52"/>
  </r>
  <r>
    <x v="0"/>
    <x v="4"/>
    <s v="May"/>
    <n v="133.1"/>
    <n v="140.30000000000001"/>
    <x v="116"/>
    <n v="138.19999999999999"/>
    <n v="120.8"/>
    <n v="140.19999999999999"/>
    <n v="123.8"/>
    <n v="141.80000000000001"/>
    <n v="118.6"/>
    <n v="134"/>
    <n v="130.30000000000001"/>
    <n v="145.80000000000001"/>
    <x v="121"/>
    <x v="141"/>
    <x v="136"/>
    <x v="127"/>
    <x v="138"/>
    <x v="0"/>
    <x v="113"/>
    <x v="125"/>
    <x v="125"/>
    <x v="92"/>
    <x v="131"/>
    <x v="128"/>
    <n v="123.7"/>
    <n v="127.9"/>
    <n v="133.30000000000001"/>
    <x v="53"/>
  </r>
  <r>
    <x v="1"/>
    <x v="4"/>
    <s v="May"/>
    <n v="132.6"/>
    <n v="144.1"/>
    <x v="117"/>
    <n v="136.80000000000001"/>
    <n v="113.4"/>
    <n v="135.19999999999999"/>
    <n v="129.19999999999999"/>
    <n v="131.5"/>
    <n v="121"/>
    <n v="139.9"/>
    <n v="123.8"/>
    <n v="142.9"/>
    <x v="94"/>
    <x v="142"/>
    <x v="137"/>
    <x v="128"/>
    <x v="101"/>
    <x v="49"/>
    <x v="67"/>
    <x v="126"/>
    <x v="126"/>
    <x v="75"/>
    <x v="132"/>
    <x v="124"/>
    <n v="122"/>
    <n v="122.6"/>
    <n v="129.30000000000001"/>
    <x v="53"/>
  </r>
  <r>
    <x v="2"/>
    <x v="4"/>
    <s v="May"/>
    <n v="132.9"/>
    <n v="141.6"/>
    <x v="58"/>
    <n v="137.69999999999999"/>
    <n v="118.1"/>
    <n v="137.9"/>
    <n v="125.6"/>
    <n v="138.30000000000001"/>
    <n v="119.4"/>
    <n v="136"/>
    <n v="127.6"/>
    <n v="144.5"/>
    <x v="115"/>
    <x v="143"/>
    <x v="138"/>
    <x v="129"/>
    <x v="139"/>
    <x v="49"/>
    <x v="115"/>
    <x v="127"/>
    <x v="127"/>
    <x v="93"/>
    <x v="111"/>
    <x v="129"/>
    <n v="123"/>
    <n v="125.3"/>
    <n v="131.4"/>
    <x v="53"/>
  </r>
  <r>
    <x v="0"/>
    <x v="4"/>
    <s v="June"/>
    <n v="133.5"/>
    <n v="143.69999999999999"/>
    <x v="118"/>
    <n v="138.6"/>
    <n v="120.9"/>
    <n v="140.9"/>
    <n v="128.80000000000001"/>
    <n v="140.19999999999999"/>
    <n v="118.9"/>
    <n v="133.5"/>
    <n v="130.4"/>
    <n v="146.5"/>
    <x v="122"/>
    <x v="144"/>
    <x v="139"/>
    <x v="130"/>
    <x v="140"/>
    <x v="0"/>
    <x v="116"/>
    <x v="128"/>
    <x v="128"/>
    <x v="92"/>
    <x v="133"/>
    <x v="130"/>
    <n v="124.1"/>
    <n v="128.1"/>
    <n v="133.9"/>
    <x v="54"/>
  </r>
  <r>
    <x v="1"/>
    <x v="4"/>
    <s v="June"/>
    <n v="132.9"/>
    <n v="148.69999999999999"/>
    <x v="96"/>
    <n v="137.30000000000001"/>
    <n v="113.5"/>
    <n v="137.19999999999999"/>
    <n v="142.19999999999999"/>
    <n v="128.19999999999999"/>
    <n v="120.9"/>
    <n v="138.80000000000001"/>
    <n v="124.2"/>
    <n v="143.1"/>
    <x v="106"/>
    <x v="145"/>
    <x v="137"/>
    <x v="128"/>
    <x v="101"/>
    <x v="50"/>
    <x v="117"/>
    <x v="129"/>
    <x v="129"/>
    <x v="64"/>
    <x v="113"/>
    <x v="131"/>
    <n v="122.5"/>
    <n v="122.7"/>
    <n v="129.9"/>
    <x v="54"/>
  </r>
  <r>
    <x v="2"/>
    <x v="4"/>
    <s v="June"/>
    <n v="133.30000000000001"/>
    <n v="145.5"/>
    <x v="119"/>
    <n v="138.1"/>
    <n v="118.2"/>
    <n v="139.19999999999999"/>
    <n v="133.30000000000001"/>
    <n v="136.19999999999999"/>
    <n v="119.6"/>
    <n v="135.30000000000001"/>
    <n v="127.8"/>
    <n v="144.9"/>
    <x v="111"/>
    <x v="146"/>
    <x v="113"/>
    <x v="131"/>
    <x v="141"/>
    <x v="50"/>
    <x v="118"/>
    <x v="130"/>
    <x v="130"/>
    <x v="94"/>
    <x v="134"/>
    <x v="132"/>
    <n v="123.4"/>
    <n v="125.5"/>
    <n v="132"/>
    <x v="54"/>
  </r>
  <r>
    <x v="0"/>
    <x v="4"/>
    <s v="July"/>
    <n v="134"/>
    <n v="144.19999999999999"/>
    <x v="120"/>
    <n v="139"/>
    <n v="120.9"/>
    <n v="143.9"/>
    <n v="151.5"/>
    <n v="138.1"/>
    <n v="120"/>
    <n v="133.9"/>
    <n v="131.4"/>
    <n v="147.69999999999999"/>
    <x v="123"/>
    <x v="147"/>
    <x v="140"/>
    <x v="132"/>
    <x v="142"/>
    <x v="0"/>
    <x v="119"/>
    <x v="131"/>
    <x v="131"/>
    <x v="83"/>
    <x v="135"/>
    <x v="133"/>
    <n v="124.4"/>
    <n v="128.6"/>
    <n v="136.19999999999999"/>
    <x v="55"/>
  </r>
  <r>
    <x v="1"/>
    <x v="4"/>
    <s v="July"/>
    <n v="132.80000000000001"/>
    <n v="148.4"/>
    <x v="121"/>
    <n v="137.69999999999999"/>
    <n v="113.4"/>
    <n v="139.4"/>
    <n v="175.1"/>
    <n v="124.7"/>
    <n v="121.5"/>
    <n v="137.80000000000001"/>
    <n v="124.4"/>
    <n v="143.69999999999999"/>
    <x v="101"/>
    <x v="148"/>
    <x v="141"/>
    <x v="133"/>
    <x v="143"/>
    <x v="51"/>
    <x v="120"/>
    <x v="132"/>
    <x v="132"/>
    <x v="37"/>
    <x v="116"/>
    <x v="134"/>
    <n v="122.4"/>
    <n v="123"/>
    <n v="131.80000000000001"/>
    <x v="55"/>
  </r>
  <r>
    <x v="2"/>
    <x v="4"/>
    <s v="July"/>
    <n v="133.6"/>
    <n v="145.69999999999999"/>
    <x v="97"/>
    <n v="138.5"/>
    <n v="118.1"/>
    <n v="141.80000000000001"/>
    <n v="159.5"/>
    <n v="133.6"/>
    <n v="120.5"/>
    <n v="135.19999999999999"/>
    <n v="128.5"/>
    <n v="145.80000000000001"/>
    <x v="124"/>
    <x v="149"/>
    <x v="142"/>
    <x v="134"/>
    <x v="144"/>
    <x v="51"/>
    <x v="115"/>
    <x v="133"/>
    <x v="133"/>
    <x v="73"/>
    <x v="136"/>
    <x v="135"/>
    <n v="123.6"/>
    <n v="125.9"/>
    <n v="134.19999999999999"/>
    <x v="55"/>
  </r>
  <r>
    <x v="0"/>
    <x v="4"/>
    <s v="August"/>
    <n v="134.80000000000001"/>
    <n v="143.1"/>
    <x v="122"/>
    <n v="139.4"/>
    <n v="120.5"/>
    <n v="148"/>
    <n v="162.9"/>
    <n v="137.4"/>
    <n v="120.8"/>
    <n v="134.69999999999999"/>
    <n v="131.6"/>
    <n v="148.69999999999999"/>
    <x v="125"/>
    <x v="150"/>
    <x v="143"/>
    <x v="135"/>
    <x v="145"/>
    <x v="0"/>
    <x v="121"/>
    <x v="134"/>
    <x v="134"/>
    <x v="95"/>
    <x v="137"/>
    <x v="136"/>
    <n v="125.4"/>
    <n v="129.69999999999999"/>
    <n v="137.80000000000001"/>
    <x v="56"/>
  </r>
  <r>
    <x v="1"/>
    <x v="4"/>
    <s v="August"/>
    <n v="133.19999999999999"/>
    <n v="143.9"/>
    <x v="96"/>
    <n v="138.30000000000001"/>
    <n v="114.1"/>
    <n v="142.69999999999999"/>
    <n v="179.8"/>
    <n v="123.5"/>
    <n v="122.1"/>
    <n v="137.5"/>
    <n v="124.6"/>
    <n v="144.5"/>
    <x v="126"/>
    <x v="151"/>
    <x v="144"/>
    <x v="136"/>
    <x v="109"/>
    <x v="52"/>
    <x v="122"/>
    <x v="91"/>
    <x v="135"/>
    <x v="96"/>
    <x v="104"/>
    <x v="125"/>
    <n v="123.3"/>
    <n v="123.8"/>
    <n v="132.69999999999999"/>
    <x v="56"/>
  </r>
  <r>
    <x v="2"/>
    <x v="4"/>
    <s v="August"/>
    <n v="134.30000000000001"/>
    <n v="143.4"/>
    <x v="112"/>
    <n v="139"/>
    <n v="118.1"/>
    <n v="145.5"/>
    <n v="168.6"/>
    <n v="132.69999999999999"/>
    <n v="121.2"/>
    <n v="135.6"/>
    <n v="128.69999999999999"/>
    <n v="146.80000000000001"/>
    <x v="125"/>
    <x v="152"/>
    <x v="145"/>
    <x v="108"/>
    <x v="146"/>
    <x v="52"/>
    <x v="98"/>
    <x v="135"/>
    <x v="136"/>
    <x v="97"/>
    <x v="119"/>
    <x v="137"/>
    <n v="124.5"/>
    <n v="126.8"/>
    <n v="135.4"/>
    <x v="56"/>
  </r>
  <r>
    <x v="0"/>
    <x v="4"/>
    <s v="September"/>
    <n v="135.19999999999999"/>
    <n v="142"/>
    <x v="102"/>
    <n v="140.19999999999999"/>
    <n v="120.7"/>
    <n v="147.80000000000001"/>
    <n v="154.5"/>
    <n v="137.1"/>
    <n v="121"/>
    <n v="134.69999999999999"/>
    <n v="131.69999999999999"/>
    <n v="149.30000000000001"/>
    <x v="127"/>
    <x v="152"/>
    <x v="146"/>
    <x v="137"/>
    <x v="147"/>
    <x v="0"/>
    <x v="123"/>
    <x v="136"/>
    <x v="137"/>
    <x v="98"/>
    <x v="138"/>
    <x v="138"/>
    <n v="126.7"/>
    <n v="130.30000000000001"/>
    <n v="137.6"/>
    <x v="57"/>
  </r>
  <r>
    <x v="1"/>
    <x v="4"/>
    <s v="September"/>
    <n v="133.6"/>
    <n v="143"/>
    <x v="123"/>
    <n v="138.69999999999999"/>
    <n v="114.5"/>
    <n v="137.5"/>
    <n v="160.69999999999999"/>
    <n v="124.5"/>
    <n v="122.4"/>
    <n v="137.30000000000001"/>
    <n v="124.8"/>
    <n v="145"/>
    <x v="103"/>
    <x v="153"/>
    <x v="147"/>
    <x v="138"/>
    <x v="111"/>
    <x v="53"/>
    <x v="56"/>
    <x v="137"/>
    <x v="110"/>
    <x v="80"/>
    <x v="139"/>
    <x v="139"/>
    <n v="124.4"/>
    <n v="124.5"/>
    <n v="132.4"/>
    <x v="57"/>
  </r>
  <r>
    <x v="2"/>
    <x v="4"/>
    <s v="September"/>
    <n v="134.69999999999999"/>
    <n v="142.4"/>
    <x v="105"/>
    <n v="139.6"/>
    <n v="118.4"/>
    <n v="143"/>
    <n v="156.6"/>
    <n v="132.9"/>
    <n v="121.5"/>
    <n v="135.6"/>
    <n v="128.80000000000001"/>
    <n v="147.30000000000001"/>
    <x v="124"/>
    <x v="154"/>
    <x v="148"/>
    <x v="139"/>
    <x v="128"/>
    <x v="53"/>
    <x v="124"/>
    <x v="138"/>
    <x v="121"/>
    <x v="99"/>
    <x v="140"/>
    <x v="140"/>
    <n v="125.7"/>
    <n v="127.5"/>
    <n v="135.19999999999999"/>
    <x v="57"/>
  </r>
  <r>
    <x v="0"/>
    <x v="4"/>
    <s v="October"/>
    <n v="135.9"/>
    <n v="141.9"/>
    <x v="124"/>
    <n v="141.5"/>
    <n v="121.4"/>
    <n v="146.69999999999999"/>
    <n v="157.1"/>
    <n v="136.4"/>
    <n v="121.4"/>
    <n v="135.6"/>
    <n v="131.30000000000001"/>
    <n v="150.30000000000001"/>
    <x v="128"/>
    <x v="148"/>
    <x v="149"/>
    <x v="140"/>
    <x v="148"/>
    <x v="0"/>
    <x v="125"/>
    <x v="139"/>
    <x v="138"/>
    <x v="100"/>
    <x v="141"/>
    <x v="141"/>
    <n v="127.4"/>
    <n v="130.69999999999999"/>
    <n v="138.30000000000001"/>
    <x v="58"/>
  </r>
  <r>
    <x v="1"/>
    <x v="4"/>
    <s v="October"/>
    <n v="133.9"/>
    <n v="142.80000000000001"/>
    <x v="125"/>
    <n v="139.1"/>
    <n v="114.9"/>
    <n v="135.6"/>
    <n v="173.2"/>
    <n v="124.1"/>
    <n v="122.6"/>
    <n v="137.80000000000001"/>
    <n v="125.1"/>
    <n v="145.5"/>
    <x v="129"/>
    <x v="155"/>
    <x v="150"/>
    <x v="141"/>
    <x v="96"/>
    <x v="54"/>
    <x v="63"/>
    <x v="140"/>
    <x v="139"/>
    <x v="101"/>
    <x v="142"/>
    <x v="128"/>
    <n v="124.6"/>
    <n v="124.5"/>
    <n v="133.5"/>
    <x v="58"/>
  </r>
  <r>
    <x v="2"/>
    <x v="4"/>
    <s v="October"/>
    <n v="135.30000000000001"/>
    <n v="142.19999999999999"/>
    <x v="126"/>
    <n v="140.6"/>
    <n v="119"/>
    <n v="141.5"/>
    <n v="162.6"/>
    <n v="132.30000000000001"/>
    <n v="121.8"/>
    <n v="136.30000000000001"/>
    <n v="128.69999999999999"/>
    <n v="148.1"/>
    <x v="130"/>
    <x v="156"/>
    <x v="151"/>
    <x v="142"/>
    <x v="132"/>
    <x v="54"/>
    <x v="126"/>
    <x v="118"/>
    <x v="128"/>
    <x v="76"/>
    <x v="143"/>
    <x v="142"/>
    <n v="126.2"/>
    <n v="127.7"/>
    <n v="136.1"/>
    <x v="58"/>
  </r>
  <r>
    <x v="0"/>
    <x v="4"/>
    <s v="November"/>
    <n v="136.30000000000001"/>
    <n v="142.5"/>
    <x v="127"/>
    <n v="141.5"/>
    <n v="121.6"/>
    <n v="147.30000000000001"/>
    <n v="168"/>
    <n v="135.80000000000001"/>
    <n v="122.5"/>
    <n v="136"/>
    <n v="131.9"/>
    <n v="151.4"/>
    <x v="131"/>
    <x v="151"/>
    <x v="152"/>
    <x v="143"/>
    <x v="149"/>
    <x v="0"/>
    <x v="127"/>
    <x v="141"/>
    <x v="140"/>
    <x v="102"/>
    <x v="144"/>
    <x v="143"/>
    <n v="128.1"/>
    <n v="131.69999999999999"/>
    <n v="140"/>
    <x v="59"/>
  </r>
  <r>
    <x v="1"/>
    <x v="4"/>
    <s v="November"/>
    <n v="134.30000000000001"/>
    <n v="142.1"/>
    <x v="128"/>
    <n v="139.5"/>
    <n v="115.2"/>
    <n v="136.4"/>
    <n v="185.2"/>
    <n v="122.2"/>
    <n v="123.9"/>
    <n v="138.30000000000001"/>
    <n v="125.4"/>
    <n v="146"/>
    <x v="132"/>
    <x v="157"/>
    <x v="100"/>
    <x v="144"/>
    <x v="150"/>
    <x v="55"/>
    <x v="75"/>
    <x v="142"/>
    <x v="120"/>
    <x v="103"/>
    <x v="130"/>
    <x v="144"/>
    <n v="124.9"/>
    <n v="124.9"/>
    <n v="134.80000000000001"/>
    <x v="59"/>
  </r>
  <r>
    <x v="2"/>
    <x v="4"/>
    <s v="November"/>
    <n v="135.69999999999999"/>
    <n v="142.4"/>
    <x v="129"/>
    <n v="140.80000000000001"/>
    <n v="119.2"/>
    <n v="142.19999999999999"/>
    <n v="173.8"/>
    <n v="131.19999999999999"/>
    <n v="123"/>
    <n v="136.80000000000001"/>
    <n v="129.19999999999999"/>
    <n v="148.9"/>
    <x v="133"/>
    <x v="158"/>
    <x v="153"/>
    <x v="145"/>
    <x v="138"/>
    <x v="55"/>
    <x v="119"/>
    <x v="143"/>
    <x v="141"/>
    <x v="99"/>
    <x v="145"/>
    <x v="133"/>
    <n v="126.8"/>
    <n v="128.4"/>
    <n v="137.6"/>
    <x v="59"/>
  </r>
  <r>
    <x v="0"/>
    <x v="4"/>
    <s v="December"/>
    <n v="136.4"/>
    <n v="143.69999999999999"/>
    <x v="130"/>
    <n v="141.9"/>
    <n v="123.1"/>
    <n v="147.19999999999999"/>
    <n v="161"/>
    <n v="133.80000000000001"/>
    <n v="121.9"/>
    <n v="135.80000000000001"/>
    <n v="131.1"/>
    <n v="151.4"/>
    <x v="132"/>
    <x v="158"/>
    <x v="154"/>
    <x v="146"/>
    <x v="151"/>
    <x v="0"/>
    <x v="128"/>
    <x v="144"/>
    <x v="142"/>
    <x v="104"/>
    <x v="146"/>
    <x v="145"/>
    <n v="127.8"/>
    <n v="131.9"/>
    <n v="139.80000000000001"/>
    <x v="60"/>
  </r>
  <r>
    <x v="1"/>
    <x v="4"/>
    <s v="December"/>
    <n v="134.4"/>
    <n v="142.6"/>
    <x v="131"/>
    <n v="139.5"/>
    <n v="115.9"/>
    <n v="135"/>
    <n v="163.19999999999999"/>
    <n v="119.8"/>
    <n v="120.7"/>
    <n v="139.69999999999999"/>
    <n v="125.7"/>
    <n v="146.30000000000001"/>
    <x v="134"/>
    <x v="159"/>
    <x v="155"/>
    <x v="147"/>
    <x v="152"/>
    <x v="56"/>
    <x v="109"/>
    <x v="97"/>
    <x v="143"/>
    <x v="103"/>
    <x v="147"/>
    <x v="146"/>
    <n v="124.6"/>
    <n v="125.1"/>
    <n v="134.1"/>
    <x v="60"/>
  </r>
  <r>
    <x v="2"/>
    <x v="4"/>
    <s v="December"/>
    <n v="135.80000000000001"/>
    <n v="143.30000000000001"/>
    <x v="132"/>
    <n v="141"/>
    <n v="120.5"/>
    <n v="141.5"/>
    <n v="161.69999999999999"/>
    <n v="129.1"/>
    <n v="121.5"/>
    <n v="137.1"/>
    <n v="128.80000000000001"/>
    <n v="149"/>
    <x v="126"/>
    <x v="160"/>
    <x v="139"/>
    <x v="148"/>
    <x v="153"/>
    <x v="56"/>
    <x v="129"/>
    <x v="145"/>
    <x v="144"/>
    <x v="105"/>
    <x v="148"/>
    <x v="147"/>
    <n v="126.5"/>
    <n v="128.6"/>
    <n v="137.19999999999999"/>
    <x v="60"/>
  </r>
  <r>
    <x v="0"/>
    <x v="5"/>
    <s v="January"/>
    <n v="136.6"/>
    <n v="144.4"/>
    <x v="133"/>
    <n v="142"/>
    <n v="123.2"/>
    <n v="147.9"/>
    <n v="152.1"/>
    <n v="131.80000000000001"/>
    <n v="119.5"/>
    <n v="136"/>
    <n v="131.19999999999999"/>
    <n v="151.80000000000001"/>
    <x v="128"/>
    <x v="153"/>
    <x v="156"/>
    <x v="149"/>
    <x v="154"/>
    <x v="0"/>
    <x v="130"/>
    <x v="146"/>
    <x v="145"/>
    <x v="106"/>
    <x v="149"/>
    <x v="148"/>
    <n v="128.6"/>
    <n v="132.30000000000001"/>
    <n v="139.30000000000001"/>
    <x v="61"/>
  </r>
  <r>
    <x v="1"/>
    <x v="5"/>
    <s v="January"/>
    <n v="134.6"/>
    <n v="143.69999999999999"/>
    <x v="134"/>
    <n v="139.6"/>
    <n v="116.4"/>
    <n v="133.80000000000001"/>
    <n v="150.5"/>
    <n v="118.4"/>
    <n v="117.3"/>
    <n v="140.5"/>
    <n v="125.9"/>
    <n v="146.80000000000001"/>
    <x v="105"/>
    <x v="161"/>
    <x v="157"/>
    <x v="150"/>
    <x v="104"/>
    <x v="57"/>
    <x v="131"/>
    <x v="147"/>
    <x v="146"/>
    <x v="70"/>
    <x v="150"/>
    <x v="149"/>
    <n v="125.5"/>
    <n v="125.8"/>
    <n v="134.1"/>
    <x v="61"/>
  </r>
  <r>
    <x v="2"/>
    <x v="5"/>
    <s v="January"/>
    <n v="136"/>
    <n v="144.19999999999999"/>
    <x v="135"/>
    <n v="141.1"/>
    <n v="120.7"/>
    <n v="141.30000000000001"/>
    <n v="151.6"/>
    <n v="127.3"/>
    <n v="118.8"/>
    <n v="137.5"/>
    <n v="129"/>
    <n v="149.5"/>
    <x v="135"/>
    <x v="162"/>
    <x v="158"/>
    <x v="151"/>
    <x v="140"/>
    <x v="57"/>
    <x v="129"/>
    <x v="125"/>
    <x v="147"/>
    <x v="107"/>
    <x v="151"/>
    <x v="150"/>
    <n v="127.3"/>
    <n v="129.1"/>
    <n v="136.9"/>
    <x v="61"/>
  </r>
  <r>
    <x v="0"/>
    <x v="5"/>
    <s v="February"/>
    <n v="136.4"/>
    <n v="143.69999999999999"/>
    <x v="136"/>
    <n v="141.5"/>
    <n v="122.9"/>
    <n v="149.4"/>
    <n v="142.4"/>
    <n v="130.19999999999999"/>
    <n v="117.9"/>
    <n v="135.6"/>
    <n v="130.5"/>
    <n v="151.69999999999999"/>
    <x v="136"/>
    <x v="163"/>
    <x v="159"/>
    <x v="152"/>
    <x v="155"/>
    <x v="0"/>
    <x v="132"/>
    <x v="148"/>
    <x v="148"/>
    <x v="108"/>
    <x v="149"/>
    <x v="143"/>
    <n v="128.80000000000001"/>
    <n v="132.5"/>
    <n v="138.5"/>
    <x v="62"/>
  </r>
  <r>
    <x v="1"/>
    <x v="5"/>
    <s v="February"/>
    <n v="134.80000000000001"/>
    <n v="143"/>
    <x v="137"/>
    <n v="139.9"/>
    <n v="116.2"/>
    <n v="135.5"/>
    <n v="136.9"/>
    <n v="117"/>
    <n v="115.4"/>
    <n v="140.69999999999999"/>
    <n v="125.9"/>
    <n v="147.1"/>
    <x v="137"/>
    <x v="164"/>
    <x v="105"/>
    <x v="98"/>
    <x v="156"/>
    <x v="58"/>
    <x v="131"/>
    <x v="149"/>
    <x v="149"/>
    <x v="86"/>
    <x v="114"/>
    <x v="151"/>
    <n v="126.2"/>
    <n v="126.5"/>
    <n v="134"/>
    <x v="62"/>
  </r>
  <r>
    <x v="2"/>
    <x v="5"/>
    <s v="February"/>
    <n v="135.9"/>
    <n v="143.5"/>
    <x v="138"/>
    <n v="140.9"/>
    <n v="120.4"/>
    <n v="142.9"/>
    <n v="140.5"/>
    <n v="125.8"/>
    <n v="117.1"/>
    <n v="137.30000000000001"/>
    <n v="128.6"/>
    <n v="149.6"/>
    <x v="100"/>
    <x v="165"/>
    <x v="160"/>
    <x v="153"/>
    <x v="157"/>
    <x v="58"/>
    <x v="133"/>
    <x v="128"/>
    <x v="150"/>
    <x v="109"/>
    <x v="152"/>
    <x v="150"/>
    <n v="127.7"/>
    <n v="129.6"/>
    <n v="136.4"/>
    <x v="62"/>
  </r>
  <r>
    <x v="0"/>
    <x v="5"/>
    <s v="March"/>
    <n v="136.80000000000001"/>
    <n v="143.80000000000001"/>
    <x v="139"/>
    <n v="142"/>
    <n v="123.2"/>
    <n v="152.9"/>
    <n v="138"/>
    <n v="129.30000000000001"/>
    <n v="117.1"/>
    <n v="136.30000000000001"/>
    <n v="131.19999999999999"/>
    <n v="152.80000000000001"/>
    <x v="138"/>
    <x v="166"/>
    <x v="161"/>
    <x v="154"/>
    <x v="158"/>
    <x v="0"/>
    <x v="128"/>
    <x v="148"/>
    <x v="151"/>
    <x v="110"/>
    <x v="153"/>
    <x v="152"/>
    <n v="129.30000000000001"/>
    <n v="133.30000000000001"/>
    <n v="138.69999999999999"/>
    <x v="63"/>
  </r>
  <r>
    <x v="1"/>
    <x v="5"/>
    <s v="March"/>
    <n v="135"/>
    <n v="143.1"/>
    <x v="140"/>
    <n v="139.9"/>
    <n v="116.5"/>
    <n v="138.5"/>
    <n v="128"/>
    <n v="115.5"/>
    <n v="114.2"/>
    <n v="140.69999999999999"/>
    <n v="126.2"/>
    <n v="147.6"/>
    <x v="139"/>
    <x v="167"/>
    <x v="162"/>
    <x v="155"/>
    <x v="159"/>
    <x v="59"/>
    <x v="134"/>
    <x v="150"/>
    <x v="152"/>
    <x v="76"/>
    <x v="154"/>
    <x v="153"/>
    <n v="126.7"/>
    <n v="127.1"/>
    <n v="134"/>
    <x v="63"/>
  </r>
  <r>
    <x v="2"/>
    <x v="5"/>
    <s v="March"/>
    <n v="136.19999999999999"/>
    <n v="143.6"/>
    <x v="141"/>
    <n v="141.19999999999999"/>
    <n v="120.7"/>
    <n v="146.19999999999999"/>
    <n v="134.6"/>
    <n v="124.6"/>
    <n v="116.1"/>
    <n v="137.80000000000001"/>
    <n v="129.1"/>
    <n v="150.4"/>
    <x v="105"/>
    <x v="168"/>
    <x v="140"/>
    <x v="123"/>
    <x v="160"/>
    <x v="59"/>
    <x v="135"/>
    <x v="151"/>
    <x v="153"/>
    <x v="100"/>
    <x v="155"/>
    <x v="154"/>
    <n v="128.19999999999999"/>
    <n v="130.30000000000001"/>
    <n v="136.5"/>
    <x v="63"/>
  </r>
  <r>
    <x v="0"/>
    <x v="5"/>
    <s v="April"/>
    <n v="137.1"/>
    <n v="144.5"/>
    <x v="142"/>
    <n v="142.4"/>
    <n v="123.5"/>
    <n v="156.4"/>
    <n v="135.1"/>
    <n v="128.4"/>
    <n v="115.2"/>
    <n v="137.19999999999999"/>
    <n v="131.9"/>
    <n v="153.80000000000001"/>
    <x v="138"/>
    <x v="169"/>
    <x v="163"/>
    <x v="156"/>
    <x v="161"/>
    <x v="0"/>
    <x v="136"/>
    <x v="152"/>
    <x v="154"/>
    <x v="111"/>
    <x v="156"/>
    <x v="155"/>
    <n v="130.4"/>
    <n v="134.19999999999999"/>
    <n v="139.1"/>
    <x v="64"/>
  </r>
  <r>
    <x v="1"/>
    <x v="5"/>
    <s v="April"/>
    <n v="135"/>
    <n v="144.30000000000001"/>
    <x v="143"/>
    <n v="140.30000000000001"/>
    <n v="116.6"/>
    <n v="150.1"/>
    <n v="127.6"/>
    <n v="114"/>
    <n v="110.6"/>
    <n v="140.19999999999999"/>
    <n v="126.5"/>
    <n v="148.30000000000001"/>
    <x v="106"/>
    <x v="170"/>
    <x v="110"/>
    <x v="157"/>
    <x v="162"/>
    <x v="60"/>
    <x v="137"/>
    <x v="108"/>
    <x v="128"/>
    <x v="112"/>
    <x v="157"/>
    <x v="156"/>
    <n v="127.6"/>
    <n v="128.19999999999999"/>
    <n v="134.80000000000001"/>
    <x v="64"/>
  </r>
  <r>
    <x v="2"/>
    <x v="5"/>
    <s v="April"/>
    <n v="136.4"/>
    <n v="144.4"/>
    <x v="144"/>
    <n v="141.6"/>
    <n v="121"/>
    <n v="153.5"/>
    <n v="132.6"/>
    <n v="123.5"/>
    <n v="113.7"/>
    <n v="138.19999999999999"/>
    <n v="129.6"/>
    <n v="151.19999999999999"/>
    <x v="140"/>
    <x v="171"/>
    <x v="143"/>
    <x v="158"/>
    <x v="163"/>
    <x v="60"/>
    <x v="135"/>
    <x v="153"/>
    <x v="155"/>
    <x v="113"/>
    <x v="158"/>
    <x v="157"/>
    <n v="129.19999999999999"/>
    <n v="131.30000000000001"/>
    <n v="137.1"/>
    <x v="64"/>
  </r>
  <r>
    <x v="0"/>
    <x v="5"/>
    <s v="May"/>
    <n v="137.4"/>
    <n v="145.69999999999999"/>
    <x v="140"/>
    <n v="142.9"/>
    <n v="123.6"/>
    <n v="157.5"/>
    <n v="137.80000000000001"/>
    <n v="127.2"/>
    <n v="111.8"/>
    <n v="137.4"/>
    <n v="132.19999999999999"/>
    <n v="154.30000000000001"/>
    <x v="141"/>
    <x v="159"/>
    <x v="164"/>
    <x v="159"/>
    <x v="164"/>
    <x v="0"/>
    <x v="138"/>
    <x v="154"/>
    <x v="156"/>
    <x v="114"/>
    <x v="159"/>
    <x v="158"/>
    <n v="131.19999999999999"/>
    <n v="135.1"/>
    <n v="139.80000000000001"/>
    <x v="65"/>
  </r>
  <r>
    <x v="1"/>
    <x v="5"/>
    <s v="May"/>
    <n v="135"/>
    <n v="148.19999999999999"/>
    <x v="102"/>
    <n v="140.69999999999999"/>
    <n v="116.4"/>
    <n v="151.30000000000001"/>
    <n v="131.4"/>
    <n v="112.8"/>
    <n v="105.3"/>
    <n v="139.6"/>
    <n v="126.6"/>
    <n v="148.69999999999999"/>
    <x v="142"/>
    <x v="172"/>
    <x v="165"/>
    <x v="160"/>
    <x v="137"/>
    <x v="61"/>
    <x v="139"/>
    <x v="155"/>
    <x v="157"/>
    <x v="87"/>
    <x v="160"/>
    <x v="159"/>
    <n v="128.1"/>
    <n v="128.9"/>
    <n v="135.4"/>
    <x v="65"/>
  </r>
  <r>
    <x v="2"/>
    <x v="5"/>
    <s v="May"/>
    <n v="136.6"/>
    <n v="146.6"/>
    <x v="145"/>
    <n v="142.1"/>
    <n v="121"/>
    <n v="154.6"/>
    <n v="135.6"/>
    <n v="122.3"/>
    <n v="109.6"/>
    <n v="138.1"/>
    <n v="129.9"/>
    <n v="151.69999999999999"/>
    <x v="143"/>
    <x v="173"/>
    <x v="166"/>
    <x v="161"/>
    <x v="165"/>
    <x v="61"/>
    <x v="140"/>
    <x v="156"/>
    <x v="145"/>
    <x v="115"/>
    <x v="161"/>
    <x v="160"/>
    <n v="129.9"/>
    <n v="132.1"/>
    <n v="137.80000000000001"/>
    <x v="65"/>
  </r>
  <r>
    <x v="0"/>
    <x v="5"/>
    <s v="June"/>
    <n v="137.6"/>
    <n v="148.1"/>
    <x v="146"/>
    <n v="143.19999999999999"/>
    <n v="124"/>
    <n v="154.1"/>
    <n v="143.5"/>
    <n v="126"/>
    <n v="112.4"/>
    <n v="137.6"/>
    <n v="132.80000000000001"/>
    <n v="154.30000000000001"/>
    <x v="144"/>
    <x v="174"/>
    <x v="167"/>
    <x v="162"/>
    <x v="166"/>
    <x v="0"/>
    <x v="141"/>
    <x v="157"/>
    <x v="156"/>
    <x v="116"/>
    <x v="162"/>
    <x v="161"/>
    <n v="131.4"/>
    <n v="135.6"/>
    <n v="140.5"/>
    <x v="66"/>
  </r>
  <r>
    <x v="1"/>
    <x v="5"/>
    <s v="June"/>
    <n v="135.30000000000001"/>
    <n v="149.69999999999999"/>
    <x v="144"/>
    <n v="140.80000000000001"/>
    <n v="116.6"/>
    <n v="152.19999999999999"/>
    <n v="144"/>
    <n v="112.3"/>
    <n v="108.4"/>
    <n v="140"/>
    <n v="126.7"/>
    <n v="149"/>
    <x v="102"/>
    <x v="175"/>
    <x v="168"/>
    <x v="163"/>
    <x v="167"/>
    <x v="62"/>
    <x v="142"/>
    <x v="158"/>
    <x v="141"/>
    <x v="117"/>
    <x v="163"/>
    <x v="162"/>
    <n v="128.19999999999999"/>
    <n v="129.5"/>
    <n v="136.19999999999999"/>
    <x v="66"/>
  </r>
  <r>
    <x v="2"/>
    <x v="5"/>
    <s v="June"/>
    <n v="136.9"/>
    <n v="148.69999999999999"/>
    <x v="147"/>
    <n v="142.30000000000001"/>
    <n v="121.3"/>
    <n v="153.19999999999999"/>
    <n v="143.69999999999999"/>
    <n v="121.4"/>
    <n v="111.1"/>
    <n v="138.4"/>
    <n v="130.30000000000001"/>
    <n v="151.80000000000001"/>
    <x v="145"/>
    <x v="176"/>
    <x v="169"/>
    <x v="132"/>
    <x v="147"/>
    <x v="62"/>
    <x v="125"/>
    <x v="136"/>
    <x v="148"/>
    <x v="118"/>
    <x v="164"/>
    <x v="163"/>
    <n v="130.1"/>
    <n v="132.6"/>
    <n v="138.5"/>
    <x v="66"/>
  </r>
  <r>
    <x v="0"/>
    <x v="5"/>
    <s v="July"/>
    <n v="138.4"/>
    <n v="149.30000000000001"/>
    <x v="148"/>
    <n v="143.4"/>
    <n v="124.1"/>
    <n v="153.30000000000001"/>
    <n v="154.19999999999999"/>
    <n v="126.4"/>
    <n v="114.3"/>
    <n v="138.19999999999999"/>
    <n v="132.80000000000001"/>
    <n v="154.80000000000001"/>
    <x v="146"/>
    <x v="169"/>
    <x v="170"/>
    <x v="164"/>
    <x v="168"/>
    <x v="0"/>
    <x v="143"/>
    <x v="159"/>
    <x v="158"/>
    <x v="119"/>
    <x v="165"/>
    <x v="164"/>
    <n v="131.4"/>
    <n v="136"/>
    <n v="141.80000000000001"/>
    <x v="67"/>
  </r>
  <r>
    <x v="1"/>
    <x v="5"/>
    <s v="July"/>
    <n v="135.6"/>
    <n v="148.6"/>
    <x v="149"/>
    <n v="141"/>
    <n v="116.7"/>
    <n v="149.69999999999999"/>
    <n v="159.19999999999999"/>
    <n v="112.6"/>
    <n v="111.8"/>
    <n v="140.30000000000001"/>
    <n v="126.8"/>
    <n v="149.4"/>
    <x v="147"/>
    <x v="177"/>
    <x v="116"/>
    <x v="93"/>
    <x v="169"/>
    <x v="63"/>
    <x v="144"/>
    <x v="118"/>
    <x v="159"/>
    <x v="120"/>
    <x v="148"/>
    <x v="165"/>
    <n v="128.19999999999999"/>
    <n v="130.19999999999999"/>
    <n v="137.5"/>
    <x v="67"/>
  </r>
  <r>
    <x v="2"/>
    <x v="5"/>
    <s v="July"/>
    <n v="137.5"/>
    <n v="149.1"/>
    <x v="150"/>
    <n v="142.5"/>
    <n v="121.4"/>
    <n v="151.6"/>
    <n v="155.9"/>
    <n v="121.7"/>
    <n v="113.5"/>
    <n v="138.9"/>
    <n v="130.30000000000001"/>
    <n v="152.30000000000001"/>
    <x v="148"/>
    <x v="178"/>
    <x v="171"/>
    <x v="165"/>
    <x v="170"/>
    <x v="63"/>
    <x v="145"/>
    <x v="160"/>
    <x v="160"/>
    <x v="121"/>
    <x v="166"/>
    <x v="166"/>
    <n v="130.1"/>
    <n v="133.19999999999999"/>
    <n v="139.80000000000001"/>
    <x v="67"/>
  </r>
  <r>
    <x v="0"/>
    <x v="5"/>
    <s v="August"/>
    <n v="139.19999999999999"/>
    <n v="148.80000000000001"/>
    <x v="149"/>
    <n v="143.5"/>
    <n v="125"/>
    <n v="154.4"/>
    <n v="156.30000000000001"/>
    <n v="126.8"/>
    <n v="115.4"/>
    <n v="138.6"/>
    <n v="133.80000000000001"/>
    <n v="155.19999999999999"/>
    <x v="149"/>
    <x v="179"/>
    <x v="172"/>
    <x v="166"/>
    <x v="171"/>
    <x v="0"/>
    <x v="146"/>
    <x v="161"/>
    <x v="161"/>
    <x v="122"/>
    <x v="167"/>
    <x v="167"/>
    <n v="131.30000000000001"/>
    <n v="136.6"/>
    <n v="142.5"/>
    <x v="68"/>
  </r>
  <r>
    <x v="1"/>
    <x v="5"/>
    <s v="August"/>
    <n v="136.5"/>
    <n v="146.4"/>
    <x v="98"/>
    <n v="141.19999999999999"/>
    <n v="117.4"/>
    <n v="146.30000000000001"/>
    <n v="157.30000000000001"/>
    <n v="113.6"/>
    <n v="113.3"/>
    <n v="141.1"/>
    <n v="127.4"/>
    <n v="150.4"/>
    <x v="130"/>
    <x v="180"/>
    <x v="173"/>
    <x v="167"/>
    <x v="144"/>
    <x v="64"/>
    <x v="98"/>
    <x v="143"/>
    <x v="162"/>
    <x v="123"/>
    <x v="133"/>
    <x v="168"/>
    <n v="128.30000000000001"/>
    <n v="131"/>
    <n v="138"/>
    <x v="68"/>
  </r>
  <r>
    <x v="2"/>
    <x v="5"/>
    <s v="August"/>
    <n v="138.30000000000001"/>
    <n v="148"/>
    <x v="151"/>
    <n v="142.6"/>
    <n v="122.2"/>
    <n v="150.6"/>
    <n v="156.6"/>
    <n v="122.4"/>
    <n v="114.7"/>
    <n v="139.4"/>
    <n v="131.1"/>
    <n v="153"/>
    <x v="150"/>
    <x v="173"/>
    <x v="174"/>
    <x v="168"/>
    <x v="172"/>
    <x v="64"/>
    <x v="147"/>
    <x v="141"/>
    <x v="163"/>
    <x v="124"/>
    <x v="168"/>
    <x v="169"/>
    <n v="130.1"/>
    <n v="133.9"/>
    <n v="140.4"/>
    <x v="68"/>
  </r>
  <r>
    <x v="0"/>
    <x v="5"/>
    <s v="September"/>
    <n v="139.4"/>
    <n v="147.19999999999999"/>
    <x v="98"/>
    <n v="143.69999999999999"/>
    <n v="124.6"/>
    <n v="150.1"/>
    <n v="149.4"/>
    <n v="125.4"/>
    <n v="114.4"/>
    <n v="138.69999999999999"/>
    <n v="133.1"/>
    <n v="155.9"/>
    <x v="151"/>
    <x v="161"/>
    <x v="172"/>
    <x v="169"/>
    <x v="171"/>
    <x v="0"/>
    <x v="148"/>
    <x v="162"/>
    <x v="164"/>
    <x v="125"/>
    <x v="169"/>
    <x v="170"/>
    <n v="132"/>
    <n v="137.4"/>
    <n v="142.1"/>
    <x v="69"/>
  </r>
  <r>
    <x v="1"/>
    <x v="5"/>
    <s v="September"/>
    <n v="137"/>
    <n v="143.1"/>
    <x v="152"/>
    <n v="141.5"/>
    <n v="117.8"/>
    <n v="140"/>
    <n v="151.30000000000001"/>
    <n v="113.5"/>
    <n v="112.3"/>
    <n v="141.19999999999999"/>
    <n v="127.7"/>
    <n v="151.30000000000001"/>
    <x v="152"/>
    <x v="181"/>
    <x v="175"/>
    <x v="117"/>
    <x v="173"/>
    <x v="65"/>
    <x v="149"/>
    <x v="125"/>
    <x v="165"/>
    <x v="126"/>
    <x v="170"/>
    <x v="171"/>
    <n v="129.30000000000001"/>
    <n v="131.9"/>
    <n v="138.1"/>
    <x v="69"/>
  </r>
  <r>
    <x v="2"/>
    <x v="5"/>
    <s v="September"/>
    <n v="138.6"/>
    <n v="145.80000000000001"/>
    <x v="153"/>
    <n v="142.9"/>
    <n v="122.1"/>
    <n v="145.4"/>
    <n v="150"/>
    <n v="121.4"/>
    <n v="113.7"/>
    <n v="139.5"/>
    <n v="130.80000000000001"/>
    <n v="153.80000000000001"/>
    <x v="128"/>
    <x v="170"/>
    <x v="176"/>
    <x v="170"/>
    <x v="174"/>
    <x v="65"/>
    <x v="130"/>
    <x v="163"/>
    <x v="156"/>
    <x v="127"/>
    <x v="171"/>
    <x v="172"/>
    <n v="130.9"/>
    <n v="134.69999999999999"/>
    <n v="140.19999999999999"/>
    <x v="69"/>
  </r>
  <r>
    <x v="0"/>
    <x v="5"/>
    <s v="October"/>
    <n v="139.30000000000001"/>
    <n v="147.6"/>
    <x v="154"/>
    <n v="141.9"/>
    <n v="123.5"/>
    <n v="144.5"/>
    <n v="147.6"/>
    <n v="121.4"/>
    <n v="112.3"/>
    <n v="139.5"/>
    <n v="134.6"/>
    <n v="155.19999999999999"/>
    <x v="153"/>
    <x v="182"/>
    <x v="177"/>
    <x v="171"/>
    <x v="164"/>
    <x v="0"/>
    <x v="150"/>
    <x v="164"/>
    <x v="166"/>
    <x v="128"/>
    <x v="172"/>
    <x v="173"/>
    <n v="134.4"/>
    <n v="139.80000000000001"/>
    <n v="142.19999999999999"/>
    <x v="70"/>
  </r>
  <r>
    <x v="1"/>
    <x v="5"/>
    <s v="October"/>
    <n v="137.6"/>
    <n v="144.9"/>
    <x v="155"/>
    <n v="141.5"/>
    <n v="118"/>
    <n v="139.5"/>
    <n v="153"/>
    <n v="113.2"/>
    <n v="112.8"/>
    <n v="141.1"/>
    <n v="127.6"/>
    <n v="152"/>
    <x v="145"/>
    <x v="183"/>
    <x v="178"/>
    <x v="95"/>
    <x v="125"/>
    <x v="66"/>
    <x v="151"/>
    <x v="165"/>
    <x v="148"/>
    <x v="108"/>
    <x v="173"/>
    <x v="174"/>
    <n v="130.4"/>
    <n v="132.5"/>
    <n v="138.9"/>
    <x v="70"/>
  </r>
  <r>
    <x v="2"/>
    <x v="5"/>
    <s v="October"/>
    <n v="137.4"/>
    <n v="149.5"/>
    <x v="156"/>
    <n v="141.9"/>
    <n v="121.1"/>
    <n v="142.5"/>
    <n v="146.69999999999999"/>
    <n v="119.1"/>
    <n v="111.9"/>
    <n v="141"/>
    <n v="133.6"/>
    <n v="154.5"/>
    <x v="129"/>
    <x v="184"/>
    <x v="154"/>
    <x v="135"/>
    <x v="175"/>
    <x v="67"/>
    <x v="152"/>
    <x v="157"/>
    <x v="167"/>
    <x v="129"/>
    <x v="174"/>
    <x v="175"/>
    <n v="132"/>
    <n v="136.30000000000001"/>
    <n v="140.80000000000001"/>
    <x v="70"/>
  </r>
  <r>
    <x v="0"/>
    <x v="5"/>
    <s v="November"/>
    <n v="137.1"/>
    <n v="150.80000000000001"/>
    <x v="146"/>
    <n v="141.9"/>
    <n v="122.8"/>
    <n v="143.9"/>
    <n v="147.5"/>
    <n v="121"/>
    <n v="111.6"/>
    <n v="140.6"/>
    <n v="137.5"/>
    <n v="156.1"/>
    <x v="144"/>
    <x v="185"/>
    <x v="179"/>
    <x v="172"/>
    <x v="176"/>
    <x v="0"/>
    <x v="153"/>
    <x v="166"/>
    <x v="168"/>
    <x v="130"/>
    <x v="175"/>
    <x v="176"/>
    <n v="133.1"/>
    <n v="140.1"/>
    <n v="142.4"/>
    <x v="71"/>
  </r>
  <r>
    <x v="1"/>
    <x v="5"/>
    <s v="November"/>
    <n v="138.1"/>
    <n v="146.30000000000001"/>
    <x v="157"/>
    <n v="141.6"/>
    <n v="118.1"/>
    <n v="141.5"/>
    <n v="145.19999999999999"/>
    <n v="115.3"/>
    <n v="112.5"/>
    <n v="141.4"/>
    <n v="128"/>
    <n v="152.6"/>
    <x v="141"/>
    <x v="186"/>
    <x v="133"/>
    <x v="97"/>
    <x v="177"/>
    <x v="67"/>
    <x v="133"/>
    <x v="167"/>
    <x v="169"/>
    <x v="98"/>
    <x v="158"/>
    <x v="177"/>
    <n v="130.5"/>
    <n v="132.19999999999999"/>
    <n v="139"/>
    <x v="71"/>
  </r>
  <r>
    <x v="2"/>
    <x v="5"/>
    <s v="November"/>
    <n v="137.4"/>
    <n v="149.19999999999999"/>
    <x v="158"/>
    <n v="141.80000000000001"/>
    <n v="121.1"/>
    <n v="142.80000000000001"/>
    <n v="146.69999999999999"/>
    <n v="119.1"/>
    <n v="111.9"/>
    <n v="140.9"/>
    <n v="133.5"/>
    <n v="154.5"/>
    <x v="129"/>
    <x v="184"/>
    <x v="154"/>
    <x v="170"/>
    <x v="178"/>
    <x v="67"/>
    <x v="141"/>
    <x v="157"/>
    <x v="167"/>
    <x v="129"/>
    <x v="174"/>
    <x v="175"/>
    <n v="132"/>
    <n v="136.30000000000001"/>
    <n v="140.80000000000001"/>
    <x v="71"/>
  </r>
  <r>
    <x v="0"/>
    <x v="5"/>
    <s v="December"/>
    <n v="137.1"/>
    <n v="151.9"/>
    <x v="159"/>
    <n v="142.4"/>
    <n v="124.2"/>
    <n v="140.19999999999999"/>
    <n v="136.6"/>
    <n v="120.9"/>
    <n v="109.9"/>
    <n v="140.19999999999999"/>
    <n v="137.80000000000001"/>
    <n v="156"/>
    <x v="123"/>
    <x v="187"/>
    <x v="180"/>
    <x v="173"/>
    <x v="176"/>
    <x v="0"/>
    <x v="148"/>
    <x v="168"/>
    <x v="170"/>
    <x v="131"/>
    <x v="176"/>
    <x v="178"/>
    <n v="133.19999999999999"/>
    <n v="141.6"/>
    <n v="141.9"/>
    <x v="72"/>
  </r>
  <r>
    <x v="1"/>
    <x v="5"/>
    <s v="December"/>
    <n v="138.5"/>
    <n v="147.80000000000001"/>
    <x v="160"/>
    <n v="141.6"/>
    <n v="118.1"/>
    <n v="138.5"/>
    <n v="132.4"/>
    <n v="117.5"/>
    <n v="111"/>
    <n v="141.5"/>
    <n v="128.1"/>
    <n v="152.9"/>
    <x v="100"/>
    <x v="188"/>
    <x v="181"/>
    <x v="122"/>
    <x v="132"/>
    <x v="68"/>
    <x v="154"/>
    <x v="169"/>
    <x v="171"/>
    <x v="132"/>
    <x v="177"/>
    <x v="179"/>
    <n v="130.80000000000001"/>
    <n v="131.69999999999999"/>
    <n v="138"/>
    <x v="72"/>
  </r>
  <r>
    <x v="2"/>
    <x v="5"/>
    <s v="December"/>
    <n v="137.5"/>
    <n v="150.5"/>
    <x v="161"/>
    <n v="142.1"/>
    <n v="122"/>
    <n v="139.4"/>
    <n v="135.19999999999999"/>
    <n v="119.8"/>
    <n v="110.3"/>
    <n v="140.6"/>
    <n v="133.80000000000001"/>
    <n v="154.6"/>
    <x v="98"/>
    <x v="189"/>
    <x v="182"/>
    <x v="174"/>
    <x v="175"/>
    <x v="68"/>
    <x v="155"/>
    <x v="170"/>
    <x v="172"/>
    <x v="121"/>
    <x v="159"/>
    <x v="180"/>
    <n v="132.19999999999999"/>
    <n v="136.80000000000001"/>
    <n v="140.1"/>
    <x v="72"/>
  </r>
  <r>
    <x v="0"/>
    <x v="6"/>
    <s v="January"/>
    <n v="136.6"/>
    <n v="152.5"/>
    <x v="162"/>
    <n v="142.4"/>
    <n v="123.9"/>
    <n v="135.5"/>
    <n v="131.69999999999999"/>
    <n v="121.3"/>
    <n v="108.4"/>
    <n v="138.9"/>
    <n v="137"/>
    <n v="155.80000000000001"/>
    <x v="108"/>
    <x v="190"/>
    <x v="183"/>
    <x v="164"/>
    <x v="179"/>
    <x v="0"/>
    <x v="156"/>
    <x v="171"/>
    <x v="170"/>
    <x v="133"/>
    <x v="178"/>
    <x v="181"/>
    <n v="133.5"/>
    <n v="141.69999999999999"/>
    <n v="141"/>
    <x v="73"/>
  </r>
  <r>
    <x v="1"/>
    <x v="6"/>
    <s v="January"/>
    <n v="138.30000000000001"/>
    <n v="149.4"/>
    <x v="163"/>
    <n v="141.69999999999999"/>
    <n v="118.1"/>
    <n v="135.19999999999999"/>
    <n v="130.5"/>
    <n v="118.2"/>
    <n v="110.4"/>
    <n v="140.4"/>
    <n v="128.1"/>
    <n v="153.19999999999999"/>
    <x v="154"/>
    <x v="191"/>
    <x v="153"/>
    <x v="175"/>
    <x v="180"/>
    <x v="69"/>
    <x v="157"/>
    <x v="172"/>
    <x v="173"/>
    <x v="81"/>
    <x v="179"/>
    <x v="182"/>
    <n v="131.69999999999999"/>
    <n v="131.80000000000001"/>
    <n v="138"/>
    <x v="73"/>
  </r>
  <r>
    <x v="2"/>
    <x v="6"/>
    <s v="January"/>
    <n v="137.1"/>
    <n v="151.4"/>
    <x v="164"/>
    <n v="142.1"/>
    <n v="121.8"/>
    <n v="135.4"/>
    <n v="131.30000000000001"/>
    <n v="120.3"/>
    <n v="109.1"/>
    <n v="139.4"/>
    <n v="133.30000000000001"/>
    <n v="154.6"/>
    <x v="108"/>
    <x v="192"/>
    <x v="184"/>
    <x v="176"/>
    <x v="181"/>
    <x v="69"/>
    <x v="158"/>
    <x v="173"/>
    <x v="174"/>
    <x v="108"/>
    <x v="180"/>
    <x v="176"/>
    <n v="132.80000000000001"/>
    <n v="136.9"/>
    <n v="139.6"/>
    <x v="73"/>
  </r>
  <r>
    <x v="0"/>
    <x v="6"/>
    <s v="February"/>
    <n v="136.80000000000001"/>
    <n v="153"/>
    <x v="149"/>
    <n v="142.5"/>
    <n v="124.1"/>
    <n v="135.80000000000001"/>
    <n v="128.69999999999999"/>
    <n v="121.5"/>
    <n v="108.3"/>
    <n v="139.19999999999999"/>
    <n v="137.4"/>
    <n v="156.19999999999999"/>
    <x v="105"/>
    <x v="193"/>
    <x v="185"/>
    <x v="169"/>
    <x v="179"/>
    <x v="0"/>
    <x v="152"/>
    <x v="171"/>
    <x v="175"/>
    <x v="134"/>
    <x v="181"/>
    <x v="183"/>
    <n v="134.9"/>
    <n v="142.19999999999999"/>
    <n v="141"/>
    <x v="74"/>
  </r>
  <r>
    <x v="1"/>
    <x v="6"/>
    <s v="February"/>
    <n v="139.4"/>
    <n v="150.1"/>
    <x v="165"/>
    <n v="141.69999999999999"/>
    <n v="118.4"/>
    <n v="137"/>
    <n v="131.6"/>
    <n v="119.9"/>
    <n v="110.4"/>
    <n v="140.80000000000001"/>
    <n v="128.30000000000001"/>
    <n v="153.5"/>
    <x v="103"/>
    <x v="194"/>
    <x v="186"/>
    <x v="177"/>
    <x v="182"/>
    <x v="70"/>
    <x v="159"/>
    <x v="153"/>
    <x v="176"/>
    <x v="90"/>
    <x v="182"/>
    <x v="182"/>
    <n v="133"/>
    <n v="132.4"/>
    <n v="138.6"/>
    <x v="74"/>
  </r>
  <r>
    <x v="2"/>
    <x v="6"/>
    <s v="February"/>
    <n v="137.6"/>
    <n v="152"/>
    <x v="166"/>
    <n v="142.19999999999999"/>
    <n v="122"/>
    <n v="136.4"/>
    <n v="129.69999999999999"/>
    <n v="121"/>
    <n v="109"/>
    <n v="139.69999999999999"/>
    <n v="133.6"/>
    <n v="154.9"/>
    <x v="140"/>
    <x v="195"/>
    <x v="176"/>
    <x v="137"/>
    <x v="174"/>
    <x v="70"/>
    <x v="160"/>
    <x v="174"/>
    <x v="177"/>
    <x v="135"/>
    <x v="183"/>
    <x v="184"/>
    <n v="134.1"/>
    <n v="137.4"/>
    <n v="139.9"/>
    <x v="74"/>
  </r>
  <r>
    <x v="0"/>
    <x v="6"/>
    <s v="March"/>
    <n v="136.9"/>
    <n v="154.1"/>
    <x v="167"/>
    <n v="142.5"/>
    <n v="124.1"/>
    <n v="136.1"/>
    <n v="128.19999999999999"/>
    <n v="122.3"/>
    <n v="108.3"/>
    <n v="138.9"/>
    <n v="137.4"/>
    <n v="156.4"/>
    <x v="154"/>
    <x v="196"/>
    <x v="164"/>
    <x v="169"/>
    <x v="183"/>
    <x v="0"/>
    <x v="161"/>
    <x v="175"/>
    <x v="178"/>
    <x v="125"/>
    <x v="184"/>
    <x v="183"/>
    <n v="134"/>
    <n v="142.4"/>
    <n v="141.19999999999999"/>
    <x v="75"/>
  </r>
  <r>
    <x v="1"/>
    <x v="6"/>
    <s v="March"/>
    <n v="139.69999999999999"/>
    <n v="151.1"/>
    <x v="129"/>
    <n v="141.9"/>
    <n v="118.4"/>
    <n v="139.4"/>
    <n v="141.19999999999999"/>
    <n v="120.7"/>
    <n v="110.4"/>
    <n v="140.69999999999999"/>
    <n v="128.5"/>
    <n v="153.9"/>
    <x v="127"/>
    <x v="197"/>
    <x v="158"/>
    <x v="178"/>
    <x v="135"/>
    <x v="71"/>
    <x v="118"/>
    <x v="176"/>
    <x v="179"/>
    <x v="136"/>
    <x v="141"/>
    <x v="185"/>
    <n v="132.5"/>
    <n v="132.80000000000001"/>
    <n v="139.5"/>
    <x v="75"/>
  </r>
  <r>
    <x v="2"/>
    <x v="6"/>
    <s v="March"/>
    <n v="137.80000000000001"/>
    <n v="153"/>
    <x v="138"/>
    <n v="142.30000000000001"/>
    <n v="122"/>
    <n v="137.6"/>
    <n v="132.6"/>
    <n v="121.8"/>
    <n v="109"/>
    <n v="139.5"/>
    <n v="133.69999999999999"/>
    <n v="155.19999999999999"/>
    <x v="143"/>
    <x v="198"/>
    <x v="187"/>
    <x v="179"/>
    <x v="178"/>
    <x v="71"/>
    <x v="145"/>
    <x v="161"/>
    <x v="180"/>
    <x v="110"/>
    <x v="185"/>
    <x v="184"/>
    <n v="133.4"/>
    <n v="137.69999999999999"/>
    <n v="140.4"/>
    <x v="75"/>
  </r>
  <r>
    <x v="0"/>
    <x v="6"/>
    <s v="May"/>
    <n v="137.4"/>
    <n v="159.5"/>
    <x v="168"/>
    <n v="142.6"/>
    <n v="124"/>
    <n v="143.69999999999999"/>
    <n v="133.4"/>
    <n v="125.1"/>
    <n v="109.3"/>
    <n v="139.30000000000001"/>
    <n v="137.69999999999999"/>
    <n v="156.4"/>
    <x v="135"/>
    <x v="181"/>
    <x v="167"/>
    <x v="180"/>
    <x v="184"/>
    <x v="0"/>
    <x v="162"/>
    <x v="168"/>
    <x v="181"/>
    <x v="137"/>
    <x v="186"/>
    <x v="186"/>
    <n v="133.9"/>
    <n v="142.9"/>
    <n v="142.4"/>
    <x v="76"/>
  </r>
  <r>
    <x v="1"/>
    <x v="6"/>
    <s v="May"/>
    <n v="140.4"/>
    <n v="156.69999999999999"/>
    <x v="141"/>
    <n v="142.4"/>
    <n v="118.6"/>
    <n v="149.69999999999999"/>
    <n v="161.6"/>
    <n v="124.4"/>
    <n v="111.2"/>
    <n v="141"/>
    <n v="128.9"/>
    <n v="154.5"/>
    <x v="155"/>
    <x v="199"/>
    <x v="188"/>
    <x v="131"/>
    <x v="185"/>
    <x v="72"/>
    <x v="115"/>
    <x v="177"/>
    <x v="182"/>
    <x v="120"/>
    <x v="187"/>
    <x v="173"/>
    <n v="132.6"/>
    <n v="133.30000000000001"/>
    <n v="141.5"/>
    <x v="76"/>
  </r>
  <r>
    <x v="2"/>
    <x v="6"/>
    <s v="May"/>
    <n v="138.30000000000001"/>
    <n v="158.5"/>
    <x v="169"/>
    <n v="142.5"/>
    <n v="122"/>
    <n v="146.5"/>
    <n v="143"/>
    <n v="124.9"/>
    <n v="109.9"/>
    <n v="139.9"/>
    <n v="134"/>
    <n v="155.5"/>
    <x v="156"/>
    <x v="200"/>
    <x v="189"/>
    <x v="181"/>
    <x v="149"/>
    <x v="72"/>
    <x v="163"/>
    <x v="174"/>
    <x v="183"/>
    <x v="138"/>
    <x v="188"/>
    <x v="187"/>
    <n v="133.4"/>
    <n v="138.19999999999999"/>
    <n v="142"/>
    <x v="76"/>
  </r>
  <r>
    <x v="0"/>
    <x v="6"/>
    <s v="June"/>
    <n v="137.80000000000001"/>
    <n v="163.5"/>
    <x v="170"/>
    <n v="143.19999999999999"/>
    <n v="124.3"/>
    <n v="143.30000000000001"/>
    <n v="140.6"/>
    <n v="128.69999999999999"/>
    <n v="110.6"/>
    <n v="140.4"/>
    <n v="138"/>
    <n v="156.6"/>
    <x v="157"/>
    <x v="201"/>
    <x v="190"/>
    <x v="182"/>
    <x v="184"/>
    <x v="0"/>
    <x v="164"/>
    <x v="178"/>
    <x v="184"/>
    <x v="137"/>
    <x v="189"/>
    <x v="188"/>
    <n v="134.80000000000001"/>
    <n v="143.30000000000001"/>
    <n v="143.6"/>
    <x v="77"/>
  </r>
  <r>
    <x v="1"/>
    <x v="6"/>
    <s v="June"/>
    <n v="140.69999999999999"/>
    <n v="159.6"/>
    <x v="171"/>
    <n v="143.4"/>
    <n v="118.6"/>
    <n v="150.9"/>
    <n v="169.8"/>
    <n v="127.4"/>
    <n v="111.8"/>
    <n v="141"/>
    <n v="129"/>
    <n v="155.1"/>
    <x v="158"/>
    <x v="202"/>
    <x v="140"/>
    <x v="131"/>
    <x v="186"/>
    <x v="73"/>
    <x v="165"/>
    <x v="156"/>
    <x v="185"/>
    <x v="139"/>
    <x v="149"/>
    <x v="189"/>
    <n v="133.69999999999999"/>
    <n v="133.6"/>
    <n v="142.1"/>
    <x v="77"/>
  </r>
  <r>
    <x v="2"/>
    <x v="6"/>
    <s v="June"/>
    <n v="138.69999999999999"/>
    <n v="162.1"/>
    <x v="157"/>
    <n v="143.30000000000001"/>
    <n v="122.2"/>
    <n v="146.80000000000001"/>
    <n v="150.5"/>
    <n v="128.30000000000001"/>
    <n v="111"/>
    <n v="140.6"/>
    <n v="134.19999999999999"/>
    <n v="155.9"/>
    <x v="149"/>
    <x v="194"/>
    <x v="191"/>
    <x v="181"/>
    <x v="187"/>
    <x v="73"/>
    <x v="166"/>
    <x v="161"/>
    <x v="186"/>
    <x v="110"/>
    <x v="190"/>
    <x v="190"/>
    <n v="134.30000000000001"/>
    <n v="138.6"/>
    <n v="142.9"/>
    <x v="77"/>
  </r>
  <r>
    <x v="0"/>
    <x v="6"/>
    <s v="July"/>
    <n v="138.4"/>
    <n v="164"/>
    <x v="172"/>
    <n v="143.9"/>
    <n v="124.4"/>
    <n v="146.4"/>
    <n v="150.1"/>
    <n v="130.6"/>
    <n v="110.8"/>
    <n v="141.69999999999999"/>
    <n v="138.5"/>
    <n v="156.69999999999999"/>
    <x v="159"/>
    <x v="203"/>
    <x v="180"/>
    <x v="180"/>
    <x v="188"/>
    <x v="0"/>
    <x v="143"/>
    <x v="175"/>
    <x v="187"/>
    <x v="140"/>
    <x v="191"/>
    <x v="191"/>
    <n v="136.1"/>
    <n v="144.19999999999999"/>
    <n v="144.9"/>
    <x v="78"/>
  </r>
  <r>
    <x v="1"/>
    <x v="6"/>
    <s v="July"/>
    <n v="141.4"/>
    <n v="160.19999999999999"/>
    <x v="173"/>
    <n v="144.1"/>
    <n v="119.3"/>
    <n v="154.69999999999999"/>
    <n v="180.1"/>
    <n v="128.9"/>
    <n v="111.8"/>
    <n v="141.6"/>
    <n v="129.5"/>
    <n v="155.6"/>
    <x v="160"/>
    <x v="204"/>
    <x v="192"/>
    <x v="183"/>
    <x v="189"/>
    <x v="74"/>
    <x v="83"/>
    <x v="179"/>
    <x v="188"/>
    <x v="141"/>
    <x v="192"/>
    <x v="192"/>
    <n v="135.1"/>
    <n v="134.5"/>
    <n v="143.30000000000001"/>
    <x v="78"/>
  </r>
  <r>
    <x v="2"/>
    <x v="6"/>
    <s v="July"/>
    <n v="139.30000000000001"/>
    <n v="162.69999999999999"/>
    <x v="139"/>
    <n v="144"/>
    <n v="122.5"/>
    <n v="150.30000000000001"/>
    <n v="160.30000000000001"/>
    <n v="130"/>
    <n v="111.1"/>
    <n v="141.69999999999999"/>
    <n v="134.69999999999999"/>
    <n v="156.19999999999999"/>
    <x v="161"/>
    <x v="205"/>
    <x v="193"/>
    <x v="184"/>
    <x v="190"/>
    <x v="74"/>
    <x v="167"/>
    <x v="180"/>
    <x v="189"/>
    <x v="142"/>
    <x v="193"/>
    <x v="193"/>
    <n v="135.69999999999999"/>
    <n v="139.5"/>
    <n v="144.19999999999999"/>
    <x v="78"/>
  </r>
  <r>
    <x v="0"/>
    <x v="6"/>
    <s v="August"/>
    <n v="139.19999999999999"/>
    <n v="161.9"/>
    <x v="158"/>
    <n v="144.6"/>
    <n v="124.7"/>
    <n v="145.5"/>
    <n v="156.19999999999999"/>
    <n v="131.5"/>
    <n v="111.7"/>
    <n v="142.69999999999999"/>
    <n v="138.5"/>
    <n v="156.9"/>
    <x v="162"/>
    <x v="206"/>
    <x v="194"/>
    <x v="180"/>
    <x v="191"/>
    <x v="0"/>
    <x v="161"/>
    <x v="181"/>
    <x v="190"/>
    <x v="143"/>
    <x v="194"/>
    <x v="194"/>
    <n v="138.80000000000001"/>
    <n v="144.9"/>
    <n v="145.69999999999999"/>
    <x v="79"/>
  </r>
  <r>
    <x v="1"/>
    <x v="6"/>
    <s v="August"/>
    <n v="142.1"/>
    <n v="158.30000000000001"/>
    <x v="174"/>
    <n v="144.9"/>
    <n v="119.9"/>
    <n v="153.9"/>
    <n v="189.1"/>
    <n v="129.80000000000001"/>
    <n v="112.7"/>
    <n v="142.5"/>
    <n v="129.80000000000001"/>
    <n v="156.19999999999999"/>
    <x v="163"/>
    <x v="207"/>
    <x v="195"/>
    <x v="106"/>
    <x v="192"/>
    <x v="75"/>
    <x v="168"/>
    <x v="182"/>
    <x v="191"/>
    <x v="144"/>
    <x v="195"/>
    <x v="195"/>
    <n v="137.80000000000001"/>
    <n v="135.30000000000001"/>
    <n v="144.19999999999999"/>
    <x v="79"/>
  </r>
  <r>
    <x v="2"/>
    <x v="6"/>
    <s v="August"/>
    <n v="140.1"/>
    <n v="160.6"/>
    <x v="175"/>
    <n v="144.69999999999999"/>
    <n v="122.9"/>
    <n v="149.4"/>
    <n v="167.4"/>
    <n v="130.9"/>
    <n v="112"/>
    <n v="142.6"/>
    <n v="134.9"/>
    <n v="156.6"/>
    <x v="164"/>
    <x v="208"/>
    <x v="196"/>
    <x v="140"/>
    <x v="193"/>
    <x v="75"/>
    <x v="169"/>
    <x v="183"/>
    <x v="192"/>
    <x v="145"/>
    <x v="196"/>
    <x v="196"/>
    <n v="138.4"/>
    <n v="140.19999999999999"/>
    <n v="145"/>
    <x v="79"/>
  </r>
  <r>
    <x v="0"/>
    <x v="6"/>
    <s v="September"/>
    <n v="140.1"/>
    <n v="161.9"/>
    <x v="141"/>
    <n v="145.69999999999999"/>
    <n v="125.1"/>
    <n v="143.80000000000001"/>
    <n v="163.4"/>
    <n v="132.19999999999999"/>
    <n v="112.8"/>
    <n v="144.19999999999999"/>
    <n v="138.5"/>
    <n v="157.19999999999999"/>
    <x v="165"/>
    <x v="209"/>
    <x v="179"/>
    <x v="180"/>
    <x v="194"/>
    <x v="0"/>
    <x v="162"/>
    <x v="184"/>
    <x v="193"/>
    <x v="146"/>
    <x v="197"/>
    <x v="197"/>
    <n v="140.19999999999999"/>
    <n v="145.4"/>
    <n v="146.69999999999999"/>
    <x v="80"/>
  </r>
  <r>
    <x v="1"/>
    <x v="6"/>
    <s v="September"/>
    <n v="142.69999999999999"/>
    <n v="158.69999999999999"/>
    <x v="176"/>
    <n v="144.9"/>
    <n v="120.8"/>
    <n v="149.80000000000001"/>
    <n v="192.4"/>
    <n v="130.30000000000001"/>
    <n v="114"/>
    <n v="143.80000000000001"/>
    <n v="130"/>
    <n v="156.4"/>
    <x v="166"/>
    <x v="210"/>
    <x v="143"/>
    <x v="106"/>
    <x v="195"/>
    <x v="76"/>
    <x v="106"/>
    <x v="185"/>
    <x v="194"/>
    <x v="98"/>
    <x v="198"/>
    <x v="187"/>
    <n v="139"/>
    <n v="135.69999999999999"/>
    <n v="144.69999999999999"/>
    <x v="80"/>
  </r>
  <r>
    <x v="2"/>
    <x v="6"/>
    <s v="September"/>
    <n v="140.9"/>
    <n v="160.80000000000001"/>
    <x v="177"/>
    <n v="145.4"/>
    <n v="123.5"/>
    <n v="146.6"/>
    <n v="173.2"/>
    <n v="131.6"/>
    <n v="113.2"/>
    <n v="144.1"/>
    <n v="135"/>
    <n v="156.80000000000001"/>
    <x v="167"/>
    <x v="211"/>
    <x v="161"/>
    <x v="140"/>
    <x v="193"/>
    <x v="76"/>
    <x v="170"/>
    <x v="186"/>
    <x v="195"/>
    <x v="147"/>
    <x v="199"/>
    <x v="181"/>
    <n v="139.69999999999999"/>
    <n v="140.69999999999999"/>
    <n v="145.80000000000001"/>
    <x v="80"/>
  </r>
  <r>
    <x v="0"/>
    <x v="6"/>
    <s v="October"/>
    <n v="141"/>
    <n v="161.6"/>
    <x v="178"/>
    <n v="146.5"/>
    <n v="125.6"/>
    <n v="145.69999999999999"/>
    <n v="178.8"/>
    <n v="133.1"/>
    <n v="113.6"/>
    <n v="145.5"/>
    <n v="138.6"/>
    <n v="157.4"/>
    <x v="168"/>
    <x v="212"/>
    <x v="179"/>
    <x v="185"/>
    <x v="194"/>
    <x v="0"/>
    <x v="146"/>
    <x v="187"/>
    <x v="196"/>
    <x v="148"/>
    <x v="200"/>
    <x v="198"/>
    <n v="140.30000000000001"/>
    <n v="145.69999999999999"/>
    <n v="148.30000000000001"/>
    <x v="81"/>
  </r>
  <r>
    <x v="1"/>
    <x v="6"/>
    <s v="October"/>
    <n v="143.5"/>
    <n v="159.80000000000001"/>
    <x v="179"/>
    <n v="145.6"/>
    <n v="121.1"/>
    <n v="150.6"/>
    <n v="207.2"/>
    <n v="131.19999999999999"/>
    <n v="114.8"/>
    <n v="145.19999999999999"/>
    <n v="130.19999999999999"/>
    <n v="156.80000000000001"/>
    <x v="169"/>
    <x v="213"/>
    <x v="197"/>
    <x v="186"/>
    <x v="196"/>
    <x v="77"/>
    <x v="171"/>
    <x v="188"/>
    <x v="197"/>
    <x v="149"/>
    <x v="201"/>
    <x v="199"/>
    <n v="139.5"/>
    <n v="136"/>
    <n v="146"/>
    <x v="81"/>
  </r>
  <r>
    <x v="2"/>
    <x v="6"/>
    <s v="October"/>
    <n v="141.80000000000001"/>
    <n v="161"/>
    <x v="180"/>
    <n v="146.19999999999999"/>
    <n v="123.9"/>
    <n v="148"/>
    <n v="188.4"/>
    <n v="132.5"/>
    <n v="114"/>
    <n v="145.4"/>
    <n v="135.1"/>
    <n v="157.1"/>
    <x v="170"/>
    <x v="214"/>
    <x v="198"/>
    <x v="187"/>
    <x v="197"/>
    <x v="77"/>
    <x v="172"/>
    <x v="189"/>
    <x v="198"/>
    <x v="150"/>
    <x v="202"/>
    <x v="200"/>
    <n v="140"/>
    <n v="141"/>
    <n v="147.19999999999999"/>
    <x v="81"/>
  </r>
  <r>
    <x v="0"/>
    <x v="6"/>
    <s v="November"/>
    <n v="141.80000000000001"/>
    <n v="163.69999999999999"/>
    <x v="133"/>
    <n v="147.1"/>
    <n v="126"/>
    <n v="146.19999999999999"/>
    <n v="191.4"/>
    <n v="136.19999999999999"/>
    <n v="113.8"/>
    <n v="147.30000000000001"/>
    <n v="138.69999999999999"/>
    <n v="157.69999999999999"/>
    <x v="171"/>
    <x v="204"/>
    <x v="199"/>
    <x v="188"/>
    <x v="198"/>
    <x v="0"/>
    <x v="173"/>
    <x v="190"/>
    <x v="199"/>
    <x v="151"/>
    <x v="203"/>
    <x v="201"/>
    <n v="140.6"/>
    <n v="146.1"/>
    <n v="149.9"/>
    <x v="82"/>
  </r>
  <r>
    <x v="1"/>
    <x v="6"/>
    <s v="November"/>
    <n v="144.1"/>
    <n v="162.4"/>
    <x v="181"/>
    <n v="145.9"/>
    <n v="121.5"/>
    <n v="148.80000000000001"/>
    <n v="215.7"/>
    <n v="134.6"/>
    <n v="115"/>
    <n v="146.30000000000001"/>
    <n v="130.5"/>
    <n v="157.19999999999999"/>
    <x v="172"/>
    <x v="215"/>
    <x v="200"/>
    <x v="189"/>
    <x v="199"/>
    <x v="78"/>
    <x v="126"/>
    <x v="191"/>
    <x v="200"/>
    <x v="152"/>
    <x v="180"/>
    <x v="202"/>
    <n v="139.80000000000001"/>
    <n v="136.30000000000001"/>
    <n v="147"/>
    <x v="82"/>
  </r>
  <r>
    <x v="2"/>
    <x v="6"/>
    <s v="November"/>
    <n v="142.5"/>
    <n v="163.19999999999999"/>
    <x v="182"/>
    <n v="146.69999999999999"/>
    <n v="124.3"/>
    <n v="147.4"/>
    <n v="199.6"/>
    <n v="135.69999999999999"/>
    <n v="114.2"/>
    <n v="147"/>
    <n v="135.30000000000001"/>
    <n v="157.5"/>
    <x v="169"/>
    <x v="207"/>
    <x v="201"/>
    <x v="190"/>
    <x v="200"/>
    <x v="78"/>
    <x v="130"/>
    <x v="192"/>
    <x v="175"/>
    <x v="153"/>
    <x v="204"/>
    <x v="183"/>
    <n v="140.30000000000001"/>
    <n v="141.30000000000001"/>
    <n v="148.6"/>
    <x v="82"/>
  </r>
  <r>
    <x v="0"/>
    <x v="6"/>
    <s v="December"/>
    <n v="142.80000000000001"/>
    <n v="165.3"/>
    <x v="183"/>
    <n v="148.69999999999999"/>
    <n v="127.5"/>
    <n v="144.30000000000001"/>
    <n v="209.5"/>
    <n v="138.80000000000001"/>
    <n v="113.6"/>
    <n v="149.1"/>
    <n v="139.30000000000001"/>
    <n v="158.30000000000001"/>
    <x v="173"/>
    <x v="216"/>
    <x v="202"/>
    <x v="191"/>
    <x v="201"/>
    <x v="0"/>
    <x v="174"/>
    <x v="193"/>
    <x v="201"/>
    <x v="154"/>
    <x v="205"/>
    <x v="203"/>
    <n v="140.6"/>
    <n v="147.1"/>
    <n v="152.30000000000001"/>
    <x v="83"/>
  </r>
  <r>
    <x v="1"/>
    <x v="6"/>
    <s v="December"/>
    <n v="144.9"/>
    <n v="164.5"/>
    <x v="184"/>
    <n v="147.5"/>
    <n v="122.7"/>
    <n v="147.19999999999999"/>
    <n v="231.5"/>
    <n v="137.19999999999999"/>
    <n v="114.7"/>
    <n v="148"/>
    <n v="130.80000000000001"/>
    <n v="157.69999999999999"/>
    <x v="174"/>
    <x v="217"/>
    <x v="171"/>
    <x v="192"/>
    <x v="202"/>
    <x v="79"/>
    <x v="175"/>
    <x v="146"/>
    <x v="202"/>
    <x v="155"/>
    <x v="159"/>
    <x v="204"/>
    <n v="140.19999999999999"/>
    <n v="137.69999999999999"/>
    <n v="148.30000000000001"/>
    <x v="83"/>
  </r>
  <r>
    <x v="2"/>
    <x v="6"/>
    <s v="December"/>
    <n v="143.5"/>
    <n v="165"/>
    <x v="185"/>
    <n v="148.30000000000001"/>
    <n v="125.7"/>
    <n v="145.69999999999999"/>
    <n v="217"/>
    <n v="138.30000000000001"/>
    <n v="114"/>
    <n v="148.69999999999999"/>
    <n v="135.80000000000001"/>
    <n v="158"/>
    <x v="175"/>
    <x v="218"/>
    <x v="203"/>
    <x v="193"/>
    <x v="203"/>
    <x v="79"/>
    <x v="176"/>
    <x v="194"/>
    <x v="178"/>
    <x v="156"/>
    <x v="206"/>
    <x v="205"/>
    <n v="140.4"/>
    <n v="142.5"/>
    <n v="150.4"/>
    <x v="83"/>
  </r>
  <r>
    <x v="0"/>
    <x v="7"/>
    <s v="January"/>
    <n v="143.69999999999999"/>
    <n v="167.3"/>
    <x v="186"/>
    <n v="150.5"/>
    <n v="132"/>
    <n v="142.19999999999999"/>
    <n v="191.5"/>
    <n v="141.1"/>
    <n v="113.8"/>
    <n v="151.6"/>
    <n v="139.69999999999999"/>
    <n v="158.69999999999999"/>
    <x v="176"/>
    <x v="210"/>
    <x v="204"/>
    <x v="194"/>
    <x v="204"/>
    <x v="0"/>
    <x v="177"/>
    <x v="195"/>
    <x v="203"/>
    <x v="157"/>
    <x v="207"/>
    <x v="206"/>
    <n v="142.5"/>
    <n v="148.1"/>
    <n v="151.9"/>
    <x v="84"/>
  </r>
  <r>
    <x v="1"/>
    <x v="7"/>
    <s v="January"/>
    <n v="145.6"/>
    <n v="167.6"/>
    <x v="187"/>
    <n v="149.30000000000001"/>
    <n v="126.3"/>
    <n v="144.4"/>
    <n v="207.8"/>
    <n v="139.1"/>
    <n v="114.8"/>
    <n v="149.5"/>
    <n v="131.1"/>
    <n v="158.5"/>
    <x v="177"/>
    <x v="219"/>
    <x v="205"/>
    <x v="195"/>
    <x v="205"/>
    <x v="80"/>
    <x v="178"/>
    <x v="196"/>
    <x v="204"/>
    <x v="147"/>
    <x v="208"/>
    <x v="207"/>
    <n v="142.1"/>
    <n v="138.4"/>
    <n v="148.19999999999999"/>
    <x v="84"/>
  </r>
  <r>
    <x v="2"/>
    <x v="7"/>
    <s v="January"/>
    <n v="144.30000000000001"/>
    <n v="167.4"/>
    <x v="188"/>
    <n v="150.1"/>
    <n v="129.9"/>
    <n v="143.19999999999999"/>
    <n v="197"/>
    <n v="140.4"/>
    <n v="114.1"/>
    <n v="150.9"/>
    <n v="136.1"/>
    <n v="158.6"/>
    <x v="178"/>
    <x v="220"/>
    <x v="185"/>
    <x v="143"/>
    <x v="206"/>
    <x v="80"/>
    <x v="179"/>
    <x v="197"/>
    <x v="205"/>
    <x v="158"/>
    <x v="209"/>
    <x v="208"/>
    <n v="142.30000000000001"/>
    <n v="143.4"/>
    <n v="150.19999999999999"/>
    <x v="84"/>
  </r>
  <r>
    <x v="0"/>
    <x v="7"/>
    <s v="February"/>
    <n v="144.19999999999999"/>
    <n v="167.5"/>
    <x v="189"/>
    <n v="150.9"/>
    <n v="133.69999999999999"/>
    <n v="140.69999999999999"/>
    <n v="165.1"/>
    <n v="141.80000000000001"/>
    <n v="113.1"/>
    <n v="152.80000000000001"/>
    <n v="140.1"/>
    <n v="159.19999999999999"/>
    <x v="179"/>
    <x v="221"/>
    <x v="206"/>
    <x v="196"/>
    <x v="207"/>
    <x v="0"/>
    <x v="180"/>
    <x v="198"/>
    <x v="206"/>
    <x v="159"/>
    <x v="210"/>
    <x v="209"/>
    <n v="143.4"/>
    <n v="148.4"/>
    <n v="150.4"/>
    <x v="85"/>
  </r>
  <r>
    <x v="1"/>
    <x v="7"/>
    <s v="February"/>
    <n v="146.19999999999999"/>
    <n v="167.6"/>
    <x v="190"/>
    <n v="150.69999999999999"/>
    <n v="127.4"/>
    <n v="143.1"/>
    <n v="181.7"/>
    <n v="139.6"/>
    <n v="114.6"/>
    <n v="150.4"/>
    <n v="131.5"/>
    <n v="159"/>
    <x v="180"/>
    <x v="222"/>
    <x v="174"/>
    <x v="110"/>
    <x v="147"/>
    <x v="81"/>
    <x v="181"/>
    <x v="199"/>
    <x v="207"/>
    <x v="155"/>
    <x v="185"/>
    <x v="210"/>
    <n v="143.5"/>
    <n v="138.4"/>
    <n v="147.69999999999999"/>
    <x v="85"/>
  </r>
  <r>
    <x v="2"/>
    <x v="7"/>
    <s v="February"/>
    <n v="144.80000000000001"/>
    <n v="167.5"/>
    <x v="191"/>
    <n v="150.80000000000001"/>
    <n v="131.4"/>
    <n v="141.80000000000001"/>
    <n v="170.7"/>
    <n v="141.1"/>
    <n v="113.6"/>
    <n v="152"/>
    <n v="136.5"/>
    <n v="159.1"/>
    <x v="181"/>
    <x v="223"/>
    <x v="164"/>
    <x v="197"/>
    <x v="208"/>
    <x v="81"/>
    <x v="182"/>
    <x v="200"/>
    <x v="184"/>
    <x v="130"/>
    <x v="211"/>
    <x v="211"/>
    <n v="143.4"/>
    <n v="143.6"/>
    <n v="149.1"/>
    <x v="85"/>
  </r>
  <r>
    <x v="0"/>
    <x v="7"/>
    <s v="March"/>
    <n v="144.4"/>
    <n v="166.8"/>
    <x v="192"/>
    <n v="151.69999999999999"/>
    <n v="133.30000000000001"/>
    <n v="141.80000000000001"/>
    <n v="152.30000000000001"/>
    <n v="141.80000000000001"/>
    <n v="112.6"/>
    <n v="154"/>
    <n v="140.1"/>
    <n v="160"/>
    <x v="182"/>
    <x v="224"/>
    <x v="207"/>
    <x v="198"/>
    <x v="209"/>
    <x v="0"/>
    <x v="183"/>
    <x v="201"/>
    <x v="208"/>
    <x v="160"/>
    <x v="212"/>
    <x v="212"/>
    <n v="145.1"/>
    <n v="148.6"/>
    <n v="149.80000000000001"/>
    <x v="86"/>
  </r>
  <r>
    <x v="1"/>
    <x v="7"/>
    <s v="March"/>
    <n v="146.5"/>
    <n v="167.5"/>
    <x v="193"/>
    <n v="151.1"/>
    <n v="127.5"/>
    <n v="143.30000000000001"/>
    <n v="167"/>
    <n v="139.69999999999999"/>
    <n v="114.4"/>
    <n v="151.5"/>
    <n v="131.9"/>
    <n v="159.1"/>
    <x v="183"/>
    <x v="225"/>
    <x v="176"/>
    <x v="199"/>
    <x v="170"/>
    <x v="82"/>
    <x v="184"/>
    <x v="202"/>
    <x v="209"/>
    <x v="110"/>
    <x v="213"/>
    <x v="190"/>
    <n v="145.30000000000001"/>
    <n v="138.69999999999999"/>
    <n v="147.30000000000001"/>
    <x v="86"/>
  </r>
  <r>
    <x v="2"/>
    <x v="7"/>
    <s v="March"/>
    <n v="145.1"/>
    <n v="167"/>
    <x v="194"/>
    <n v="151.5"/>
    <n v="131.19999999999999"/>
    <n v="142.5"/>
    <n v="157.30000000000001"/>
    <n v="141.1"/>
    <n v="113.2"/>
    <n v="153.19999999999999"/>
    <n v="136.69999999999999"/>
    <n v="159.6"/>
    <x v="184"/>
    <x v="226"/>
    <x v="208"/>
    <x v="146"/>
    <x v="164"/>
    <x v="82"/>
    <x v="185"/>
    <x v="200"/>
    <x v="210"/>
    <x v="125"/>
    <x v="214"/>
    <x v="208"/>
    <n v="145.19999999999999"/>
    <n v="143.80000000000001"/>
    <n v="148.6"/>
    <x v="86"/>
  </r>
  <r>
    <x v="0"/>
    <x v="7"/>
    <s v="April"/>
    <n v="147.19999999999999"/>
    <n v="156.26"/>
    <x v="195"/>
    <n v="155.6"/>
    <n v="137.1"/>
    <n v="147.30000000000001"/>
    <n v="162.69999999999999"/>
    <n v="150.19999999999999"/>
    <n v="119.8"/>
    <n v="158.69999999999999"/>
    <n v="139.19999999999999"/>
    <n v="149.08000000000001"/>
    <x v="183"/>
    <x v="227"/>
    <x v="209"/>
    <x v="200"/>
    <x v="210"/>
    <x v="0"/>
    <x v="173"/>
    <x v="203"/>
    <x v="199"/>
    <x v="161"/>
    <x v="215"/>
    <x v="213"/>
    <n v="133.35"/>
    <n v="134.22999999999999"/>
    <n v="139.56"/>
    <x v="87"/>
  </r>
  <r>
    <x v="1"/>
    <x v="7"/>
    <s v="April"/>
    <n v="151.80000000000001"/>
    <n v="156.26"/>
    <x v="196"/>
    <n v="155.5"/>
    <n v="131.6"/>
    <n v="152.9"/>
    <n v="180"/>
    <n v="150.80000000000001"/>
    <n v="121.2"/>
    <n v="154"/>
    <n v="133.5"/>
    <n v="149.08000000000001"/>
    <x v="178"/>
    <x v="227"/>
    <x v="209"/>
    <x v="200"/>
    <x v="210"/>
    <x v="83"/>
    <x v="186"/>
    <x v="203"/>
    <x v="166"/>
    <x v="161"/>
    <x v="215"/>
    <x v="213"/>
    <n v="133.35"/>
    <n v="134.22999999999999"/>
    <n v="139.56"/>
    <x v="87"/>
  </r>
  <r>
    <x v="2"/>
    <x v="7"/>
    <s v="April"/>
    <n v="148.69999999999999"/>
    <n v="156.26"/>
    <x v="197"/>
    <n v="155.6"/>
    <n v="135.1"/>
    <n v="149.9"/>
    <n v="168.6"/>
    <n v="150.4"/>
    <n v="120.3"/>
    <n v="157.1"/>
    <n v="136.80000000000001"/>
    <n v="149.08000000000001"/>
    <x v="185"/>
    <x v="227"/>
    <x v="209"/>
    <x v="200"/>
    <x v="210"/>
    <x v="83"/>
    <x v="187"/>
    <x v="203"/>
    <x v="211"/>
    <x v="161"/>
    <x v="215"/>
    <x v="213"/>
    <n v="133.35"/>
    <n v="134.22999999999999"/>
    <n v="139.56"/>
    <x v="87"/>
  </r>
  <r>
    <x v="0"/>
    <x v="7"/>
    <s v="May"/>
    <n v="136.68"/>
    <n v="156.26"/>
    <x v="198"/>
    <n v="140.32499999999999"/>
    <n v="132.12"/>
    <n v="140.84"/>
    <n v="155.75200000000001"/>
    <n v="141.43"/>
    <n v="110.92"/>
    <n v="144.32"/>
    <n v="134.07"/>
    <n v="149.08000000000001"/>
    <x v="186"/>
    <x v="227"/>
    <x v="209"/>
    <x v="200"/>
    <x v="210"/>
    <x v="0"/>
    <x v="188"/>
    <x v="203"/>
    <x v="212"/>
    <x v="161"/>
    <x v="215"/>
    <x v="213"/>
    <n v="133.35"/>
    <n v="134.22999999999999"/>
    <n v="139.56"/>
    <x v="88"/>
  </r>
  <r>
    <x v="1"/>
    <x v="7"/>
    <s v="May"/>
    <n v="136.68"/>
    <n v="156.26"/>
    <x v="198"/>
    <n v="140.32499999999999"/>
    <n v="132.12"/>
    <n v="140.84"/>
    <n v="155.75200000000001"/>
    <n v="141.43"/>
    <n v="110.92"/>
    <n v="144.32"/>
    <n v="134.07"/>
    <n v="149.08000000000001"/>
    <x v="186"/>
    <x v="227"/>
    <x v="209"/>
    <x v="200"/>
    <x v="210"/>
    <x v="0"/>
    <x v="188"/>
    <x v="203"/>
    <x v="212"/>
    <x v="161"/>
    <x v="215"/>
    <x v="213"/>
    <n v="133.35"/>
    <n v="134.22999999999999"/>
    <n v="139.56"/>
    <x v="88"/>
  </r>
  <r>
    <x v="2"/>
    <x v="7"/>
    <s v="May"/>
    <n v="136.68"/>
    <n v="156.26"/>
    <x v="198"/>
    <n v="140.32499999999999"/>
    <n v="132.12"/>
    <n v="140.84"/>
    <n v="155.75200000000001"/>
    <n v="141.43"/>
    <n v="110.92"/>
    <n v="144.32"/>
    <n v="134.07"/>
    <n v="149.08000000000001"/>
    <x v="186"/>
    <x v="227"/>
    <x v="209"/>
    <x v="200"/>
    <x v="210"/>
    <x v="0"/>
    <x v="188"/>
    <x v="203"/>
    <x v="212"/>
    <x v="161"/>
    <x v="215"/>
    <x v="213"/>
    <n v="133.35"/>
    <n v="134.22999999999999"/>
    <n v="139.56"/>
    <x v="88"/>
  </r>
  <r>
    <x v="0"/>
    <x v="7"/>
    <s v="June"/>
    <n v="148.19999999999999"/>
    <n v="190.3"/>
    <x v="199"/>
    <n v="153.30000000000001"/>
    <n v="138.19999999999999"/>
    <n v="143.19999999999999"/>
    <n v="148.9"/>
    <n v="150.30000000000001"/>
    <n v="113.2"/>
    <n v="159.80000000000001"/>
    <n v="142.1"/>
    <n v="161.80000000000001"/>
    <x v="187"/>
    <x v="228"/>
    <x v="210"/>
    <x v="201"/>
    <x v="211"/>
    <x v="0"/>
    <x v="189"/>
    <x v="195"/>
    <x v="213"/>
    <x v="162"/>
    <x v="216"/>
    <x v="214"/>
    <n v="151.19999999999999"/>
    <n v="151.69999999999999"/>
    <n v="152.69999999999999"/>
    <x v="89"/>
  </r>
  <r>
    <x v="1"/>
    <x v="7"/>
    <s v="June"/>
    <n v="152.69999999999999"/>
    <n v="197"/>
    <x v="200"/>
    <n v="153.4"/>
    <n v="132.9"/>
    <n v="151.80000000000001"/>
    <n v="171.2"/>
    <n v="152"/>
    <n v="116.3"/>
    <n v="158.80000000000001"/>
    <n v="135.6"/>
    <n v="161.69999999999999"/>
    <x v="188"/>
    <x v="229"/>
    <x v="196"/>
    <x v="202"/>
    <x v="151"/>
    <x v="84"/>
    <x v="186"/>
    <x v="199"/>
    <x v="214"/>
    <x v="163"/>
    <x v="217"/>
    <x v="190"/>
    <n v="152.19999999999999"/>
    <n v="142"/>
    <n v="150.80000000000001"/>
    <x v="89"/>
  </r>
  <r>
    <x v="2"/>
    <x v="7"/>
    <s v="June"/>
    <n v="149.6"/>
    <n v="192.7"/>
    <x v="201"/>
    <n v="153.30000000000001"/>
    <n v="136.30000000000001"/>
    <n v="147.19999999999999"/>
    <n v="156.5"/>
    <n v="150.9"/>
    <n v="114.2"/>
    <n v="159.5"/>
    <n v="139.4"/>
    <n v="161.80000000000001"/>
    <x v="189"/>
    <x v="230"/>
    <x v="211"/>
    <x v="203"/>
    <x v="212"/>
    <x v="84"/>
    <x v="190"/>
    <x v="200"/>
    <x v="215"/>
    <x v="154"/>
    <x v="197"/>
    <x v="215"/>
    <n v="151.6"/>
    <n v="147"/>
    <n v="151.80000000000001"/>
    <x v="89"/>
  </r>
  <r>
    <x v="0"/>
    <x v="7"/>
    <s v="July"/>
    <n v="148.19999999999999"/>
    <n v="190.3"/>
    <x v="199"/>
    <n v="153.30000000000001"/>
    <n v="138.19999999999999"/>
    <n v="143.19999999999999"/>
    <n v="148.9"/>
    <n v="150.30000000000001"/>
    <n v="113.2"/>
    <n v="159.80000000000001"/>
    <n v="142.1"/>
    <n v="161.80000000000001"/>
    <x v="187"/>
    <x v="228"/>
    <x v="210"/>
    <x v="201"/>
    <x v="211"/>
    <x v="0"/>
    <x v="189"/>
    <x v="195"/>
    <x v="213"/>
    <x v="162"/>
    <x v="216"/>
    <x v="214"/>
    <n v="151.19999999999999"/>
    <n v="151.69999999999999"/>
    <n v="152.69999999999999"/>
    <x v="90"/>
  </r>
  <r>
    <x v="1"/>
    <x v="7"/>
    <s v="July"/>
    <n v="152.69999999999999"/>
    <n v="197"/>
    <x v="200"/>
    <n v="153.4"/>
    <n v="132.9"/>
    <n v="151.80000000000001"/>
    <n v="171.2"/>
    <n v="152"/>
    <n v="116.3"/>
    <n v="158.80000000000001"/>
    <n v="135.6"/>
    <n v="161.69999999999999"/>
    <x v="188"/>
    <x v="229"/>
    <x v="196"/>
    <x v="202"/>
    <x v="151"/>
    <x v="84"/>
    <x v="186"/>
    <x v="199"/>
    <x v="214"/>
    <x v="163"/>
    <x v="217"/>
    <x v="190"/>
    <n v="152.19999999999999"/>
    <n v="142"/>
    <n v="150.80000000000001"/>
    <x v="90"/>
  </r>
  <r>
    <x v="2"/>
    <x v="7"/>
    <s v="July"/>
    <n v="149.6"/>
    <n v="192.7"/>
    <x v="201"/>
    <n v="153.30000000000001"/>
    <n v="136.30000000000001"/>
    <n v="147.19999999999999"/>
    <n v="156.5"/>
    <n v="150.9"/>
    <n v="114.2"/>
    <n v="159.5"/>
    <n v="139.4"/>
    <n v="161.80000000000001"/>
    <x v="189"/>
    <x v="230"/>
    <x v="211"/>
    <x v="203"/>
    <x v="212"/>
    <x v="84"/>
    <x v="190"/>
    <x v="200"/>
    <x v="215"/>
    <x v="154"/>
    <x v="197"/>
    <x v="215"/>
    <n v="151.6"/>
    <n v="147"/>
    <n v="151.80000000000001"/>
    <x v="90"/>
  </r>
  <r>
    <x v="0"/>
    <x v="7"/>
    <s v="August"/>
    <n v="147.6"/>
    <n v="187.2"/>
    <x v="181"/>
    <n v="153.30000000000001"/>
    <n v="139.80000000000001"/>
    <n v="146.9"/>
    <n v="171"/>
    <n v="149.9"/>
    <n v="114.2"/>
    <n v="160"/>
    <n v="143.5"/>
    <n v="161.5"/>
    <x v="190"/>
    <x v="231"/>
    <x v="212"/>
    <x v="204"/>
    <x v="213"/>
    <x v="0"/>
    <x v="191"/>
    <x v="204"/>
    <x v="216"/>
    <x v="164"/>
    <x v="218"/>
    <x v="216"/>
    <n v="153.6"/>
    <n v="153"/>
    <n v="154.69999999999999"/>
    <x v="91"/>
  </r>
  <r>
    <x v="1"/>
    <x v="7"/>
    <s v="August"/>
    <n v="151.6"/>
    <n v="197.8"/>
    <x v="202"/>
    <n v="153.4"/>
    <n v="133.4"/>
    <n v="154.5"/>
    <n v="191.9"/>
    <n v="151.30000000000001"/>
    <n v="116.8"/>
    <n v="160"/>
    <n v="136.5"/>
    <n v="163.30000000000001"/>
    <x v="191"/>
    <x v="232"/>
    <x v="213"/>
    <x v="118"/>
    <x v="155"/>
    <x v="85"/>
    <x v="192"/>
    <x v="183"/>
    <x v="217"/>
    <x v="165"/>
    <x v="219"/>
    <x v="183"/>
    <n v="155.19999999999999"/>
    <n v="144.80000000000001"/>
    <n v="152.9"/>
    <x v="91"/>
  </r>
  <r>
    <x v="2"/>
    <x v="7"/>
    <s v="August"/>
    <n v="148.9"/>
    <n v="190.9"/>
    <x v="203"/>
    <n v="153.30000000000001"/>
    <n v="137.4"/>
    <n v="150.4"/>
    <n v="178.1"/>
    <n v="150.4"/>
    <n v="115.1"/>
    <n v="160"/>
    <n v="140.6"/>
    <n v="162.30000000000001"/>
    <x v="188"/>
    <x v="233"/>
    <x v="214"/>
    <x v="205"/>
    <x v="214"/>
    <x v="85"/>
    <x v="193"/>
    <x v="205"/>
    <x v="218"/>
    <x v="166"/>
    <x v="220"/>
    <x v="217"/>
    <n v="154.30000000000001"/>
    <n v="149"/>
    <n v="153.9"/>
    <x v="91"/>
  </r>
  <r>
    <x v="0"/>
    <x v="7"/>
    <s v="September"/>
    <n v="146.9"/>
    <n v="183.9"/>
    <x v="183"/>
    <n v="153.4"/>
    <n v="140.4"/>
    <n v="147"/>
    <n v="178.8"/>
    <n v="149.30000000000001"/>
    <n v="115.1"/>
    <n v="160"/>
    <n v="145.4"/>
    <n v="161.6"/>
    <x v="192"/>
    <x v="234"/>
    <x v="215"/>
    <x v="206"/>
    <x v="215"/>
    <x v="0"/>
    <x v="161"/>
    <x v="206"/>
    <x v="219"/>
    <x v="167"/>
    <x v="221"/>
    <x v="203"/>
    <n v="157.4"/>
    <n v="153.69999999999999"/>
    <n v="155.4"/>
    <x v="92"/>
  </r>
  <r>
    <x v="1"/>
    <x v="7"/>
    <s v="September"/>
    <n v="151.5"/>
    <n v="193.1"/>
    <x v="204"/>
    <n v="153.9"/>
    <n v="134.4"/>
    <n v="155.4"/>
    <n v="202"/>
    <n v="150.80000000000001"/>
    <n v="118.9"/>
    <n v="160.9"/>
    <n v="137.69999999999999"/>
    <n v="164.4"/>
    <x v="193"/>
    <x v="235"/>
    <x v="216"/>
    <x v="207"/>
    <x v="216"/>
    <x v="86"/>
    <x v="194"/>
    <x v="207"/>
    <x v="220"/>
    <x v="168"/>
    <x v="222"/>
    <x v="196"/>
    <n v="159.80000000000001"/>
    <n v="146"/>
    <n v="154"/>
    <x v="92"/>
  </r>
  <r>
    <x v="2"/>
    <x v="7"/>
    <s v="September"/>
    <n v="148.4"/>
    <n v="187.1"/>
    <x v="205"/>
    <n v="153.6"/>
    <n v="138.19999999999999"/>
    <n v="150.9"/>
    <n v="186.7"/>
    <n v="149.80000000000001"/>
    <n v="116.4"/>
    <n v="160.30000000000001"/>
    <n v="142.19999999999999"/>
    <n v="162.9"/>
    <x v="194"/>
    <x v="236"/>
    <x v="207"/>
    <x v="208"/>
    <x v="217"/>
    <x v="86"/>
    <x v="195"/>
    <x v="208"/>
    <x v="221"/>
    <x v="169"/>
    <x v="223"/>
    <x v="218"/>
    <n v="158.4"/>
    <n v="150"/>
    <n v="154.69999999999999"/>
    <x v="92"/>
  </r>
  <r>
    <x v="0"/>
    <x v="7"/>
    <s v="October"/>
    <n v="146"/>
    <n v="186.3"/>
    <x v="206"/>
    <n v="153.6"/>
    <n v="142.6"/>
    <n v="147.19999999999999"/>
    <n v="200.6"/>
    <n v="150.30000000000001"/>
    <n v="115.3"/>
    <n v="160.9"/>
    <n v="147.4"/>
    <n v="161.9"/>
    <x v="195"/>
    <x v="237"/>
    <x v="217"/>
    <x v="209"/>
    <x v="218"/>
    <x v="0"/>
    <x v="143"/>
    <x v="209"/>
    <x v="222"/>
    <x v="170"/>
    <x v="224"/>
    <x v="219"/>
    <n v="156.19999999999999"/>
    <n v="154.30000000000001"/>
    <n v="157.5"/>
    <x v="93"/>
  </r>
  <r>
    <x v="1"/>
    <x v="7"/>
    <s v="October"/>
    <n v="150.6"/>
    <n v="193.7"/>
    <x v="207"/>
    <n v="153.69999999999999"/>
    <n v="135.69999999999999"/>
    <n v="155.69999999999999"/>
    <n v="226"/>
    <n v="152.19999999999999"/>
    <n v="118.1"/>
    <n v="161.30000000000001"/>
    <n v="139.19999999999999"/>
    <n v="164.8"/>
    <x v="196"/>
    <x v="235"/>
    <x v="185"/>
    <x v="210"/>
    <x v="158"/>
    <x v="87"/>
    <x v="186"/>
    <x v="210"/>
    <x v="223"/>
    <x v="171"/>
    <x v="225"/>
    <x v="205"/>
    <n v="158.1"/>
    <n v="146.19999999999999"/>
    <n v="155.19999999999999"/>
    <x v="93"/>
  </r>
  <r>
    <x v="2"/>
    <x v="7"/>
    <s v="October"/>
    <n v="147.5"/>
    <n v="188.9"/>
    <x v="208"/>
    <n v="153.6"/>
    <n v="140.1"/>
    <n v="151.19999999999999"/>
    <n v="209.2"/>
    <n v="150.9"/>
    <n v="116.2"/>
    <n v="161"/>
    <n v="144"/>
    <n v="163.19999999999999"/>
    <x v="197"/>
    <x v="238"/>
    <x v="218"/>
    <x v="211"/>
    <x v="207"/>
    <x v="87"/>
    <x v="196"/>
    <x v="208"/>
    <x v="224"/>
    <x v="172"/>
    <x v="226"/>
    <x v="217"/>
    <n v="157"/>
    <n v="150.4"/>
    <n v="156.4"/>
    <x v="93"/>
  </r>
  <r>
    <x v="0"/>
    <x v="7"/>
    <s v="November"/>
    <n v="145.4"/>
    <n v="188.6"/>
    <x v="209"/>
    <n v="153.80000000000001"/>
    <n v="145.4"/>
    <n v="146.5"/>
    <n v="222.2"/>
    <n v="155.9"/>
    <n v="114.9"/>
    <n v="162"/>
    <n v="150"/>
    <n v="162.69999999999999"/>
    <x v="198"/>
    <x v="239"/>
    <x v="219"/>
    <x v="212"/>
    <x v="219"/>
    <x v="0"/>
    <x v="197"/>
    <x v="211"/>
    <x v="225"/>
    <x v="173"/>
    <x v="227"/>
    <x v="220"/>
    <n v="156.19999999999999"/>
    <n v="154.5"/>
    <n v="159.80000000000001"/>
    <x v="94"/>
  </r>
  <r>
    <x v="1"/>
    <x v="7"/>
    <s v="November"/>
    <n v="149.69999999999999"/>
    <n v="195.5"/>
    <x v="210"/>
    <n v="153.9"/>
    <n v="138"/>
    <n v="150.5"/>
    <n v="245.3"/>
    <n v="158.69999999999999"/>
    <n v="117.2"/>
    <n v="161.4"/>
    <n v="141.5"/>
    <n v="165.1"/>
    <x v="199"/>
    <x v="240"/>
    <x v="220"/>
    <x v="213"/>
    <x v="220"/>
    <x v="88"/>
    <x v="198"/>
    <x v="210"/>
    <x v="226"/>
    <x v="174"/>
    <x v="228"/>
    <x v="215"/>
    <n v="157.9"/>
    <n v="146.6"/>
    <n v="156.69999999999999"/>
    <x v="94"/>
  </r>
  <r>
    <x v="2"/>
    <x v="7"/>
    <s v="November"/>
    <n v="146.80000000000001"/>
    <n v="191"/>
    <x v="211"/>
    <n v="153.80000000000001"/>
    <n v="142.69999999999999"/>
    <n v="148.4"/>
    <n v="230"/>
    <n v="156.80000000000001"/>
    <n v="115.7"/>
    <n v="161.80000000000001"/>
    <n v="146.5"/>
    <n v="163.80000000000001"/>
    <x v="200"/>
    <x v="241"/>
    <x v="221"/>
    <x v="214"/>
    <x v="221"/>
    <x v="88"/>
    <x v="199"/>
    <x v="212"/>
    <x v="227"/>
    <x v="175"/>
    <x v="229"/>
    <x v="221"/>
    <n v="156.9"/>
    <n v="150.69999999999999"/>
    <n v="158.4"/>
    <x v="94"/>
  </r>
  <r>
    <x v="0"/>
    <x v="7"/>
    <s v="December"/>
    <n v="144.6"/>
    <n v="188.5"/>
    <x v="212"/>
    <n v="154"/>
    <n v="150"/>
    <n v="145.9"/>
    <n v="225.2"/>
    <n v="159.5"/>
    <n v="114.4"/>
    <n v="163.5"/>
    <n v="153.4"/>
    <n v="163.6"/>
    <x v="201"/>
    <x v="242"/>
    <x v="222"/>
    <x v="215"/>
    <x v="222"/>
    <x v="0"/>
    <x v="200"/>
    <x v="213"/>
    <x v="228"/>
    <x v="170"/>
    <x v="230"/>
    <x v="222"/>
    <n v="156.6"/>
    <n v="155.19999999999999"/>
    <n v="160.69999999999999"/>
    <x v="95"/>
  </r>
  <r>
    <x v="1"/>
    <x v="7"/>
    <s v="December"/>
    <n v="149"/>
    <n v="195.7"/>
    <x v="213"/>
    <n v="154.19999999999999"/>
    <n v="140.69999999999999"/>
    <n v="149.69999999999999"/>
    <n v="240.9"/>
    <n v="161.5"/>
    <n v="117.1"/>
    <n v="161.9"/>
    <n v="143.30000000000001"/>
    <n v="166.1"/>
    <x v="199"/>
    <x v="243"/>
    <x v="223"/>
    <x v="158"/>
    <x v="223"/>
    <x v="89"/>
    <x v="201"/>
    <x v="214"/>
    <x v="229"/>
    <x v="176"/>
    <x v="231"/>
    <x v="223"/>
    <n v="157.9"/>
    <n v="146.9"/>
    <n v="156.9"/>
    <x v="95"/>
  </r>
  <r>
    <x v="2"/>
    <x v="7"/>
    <s v="December"/>
    <n v="146"/>
    <n v="191"/>
    <x v="214"/>
    <n v="154.1"/>
    <n v="146.6"/>
    <n v="147.69999999999999"/>
    <n v="230.5"/>
    <n v="160.19999999999999"/>
    <n v="115.3"/>
    <n v="163"/>
    <n v="149.19999999999999"/>
    <n v="164.8"/>
    <x v="202"/>
    <x v="244"/>
    <x v="224"/>
    <x v="216"/>
    <x v="224"/>
    <x v="89"/>
    <x v="179"/>
    <x v="215"/>
    <x v="230"/>
    <x v="177"/>
    <x v="232"/>
    <x v="224"/>
    <n v="157.1"/>
    <n v="151.19999999999999"/>
    <n v="158.9"/>
    <x v="95"/>
  </r>
  <r>
    <x v="0"/>
    <x v="8"/>
    <s v="January"/>
    <n v="143.4"/>
    <n v="187.5"/>
    <x v="212"/>
    <n v="154"/>
    <n v="154.80000000000001"/>
    <n v="147"/>
    <n v="187.8"/>
    <n v="159.5"/>
    <n v="113.8"/>
    <n v="164.5"/>
    <n v="156.1"/>
    <n v="164.3"/>
    <x v="195"/>
    <x v="245"/>
    <x v="225"/>
    <x v="217"/>
    <x v="225"/>
    <x v="0"/>
    <x v="202"/>
    <x v="216"/>
    <x v="231"/>
    <x v="178"/>
    <x v="233"/>
    <x v="225"/>
    <n v="156.19999999999999"/>
    <n v="155.9"/>
    <n v="158.5"/>
    <x v="96"/>
  </r>
  <r>
    <x v="1"/>
    <x v="8"/>
    <s v="January"/>
    <n v="148"/>
    <n v="194.8"/>
    <x v="215"/>
    <n v="154.4"/>
    <n v="144.1"/>
    <n v="152.6"/>
    <n v="206.8"/>
    <n v="162.1"/>
    <n v="116.3"/>
    <n v="163"/>
    <n v="145.9"/>
    <n v="167.2"/>
    <x v="198"/>
    <x v="246"/>
    <x v="211"/>
    <x v="127"/>
    <x v="226"/>
    <x v="90"/>
    <x v="195"/>
    <x v="217"/>
    <x v="232"/>
    <x v="179"/>
    <x v="234"/>
    <x v="208"/>
    <n v="157.69999999999999"/>
    <n v="147.6"/>
    <n v="156"/>
    <x v="96"/>
  </r>
  <r>
    <x v="2"/>
    <x v="8"/>
    <s v="January"/>
    <n v="144.9"/>
    <n v="190.1"/>
    <x v="214"/>
    <n v="154.1"/>
    <n v="150.9"/>
    <n v="149.6"/>
    <n v="194.2"/>
    <n v="160.4"/>
    <n v="114.6"/>
    <n v="164"/>
    <n v="151.80000000000001"/>
    <n v="165.6"/>
    <x v="203"/>
    <x v="247"/>
    <x v="226"/>
    <x v="169"/>
    <x v="227"/>
    <x v="90"/>
    <x v="203"/>
    <x v="175"/>
    <x v="233"/>
    <x v="180"/>
    <x v="235"/>
    <x v="226"/>
    <n v="156.80000000000001"/>
    <n v="151.9"/>
    <n v="157.30000000000001"/>
    <x v="96"/>
  </r>
  <r>
    <x v="0"/>
    <x v="8"/>
    <s v="February"/>
    <n v="142.80000000000001"/>
    <n v="184"/>
    <x v="216"/>
    <n v="154.4"/>
    <n v="163"/>
    <n v="147.80000000000001"/>
    <n v="149.69999999999999"/>
    <n v="158.30000000000001"/>
    <n v="111.8"/>
    <n v="165"/>
    <n v="160"/>
    <n v="165.8"/>
    <x v="204"/>
    <x v="247"/>
    <x v="227"/>
    <x v="218"/>
    <x v="228"/>
    <x v="0"/>
    <x v="204"/>
    <x v="218"/>
    <x v="234"/>
    <x v="181"/>
    <x v="236"/>
    <x v="227"/>
    <n v="155.19999999999999"/>
    <n v="157.19999999999999"/>
    <n v="156.69999999999999"/>
    <x v="97"/>
  </r>
  <r>
    <x v="1"/>
    <x v="8"/>
    <s v="February"/>
    <n v="147.6"/>
    <n v="191.2"/>
    <x v="217"/>
    <n v="155.1"/>
    <n v="151.4"/>
    <n v="154"/>
    <n v="180.2"/>
    <n v="159.80000000000001"/>
    <n v="114.9"/>
    <n v="162.5"/>
    <n v="149.19999999999999"/>
    <n v="169.4"/>
    <x v="205"/>
    <x v="248"/>
    <x v="228"/>
    <x v="219"/>
    <x v="229"/>
    <x v="91"/>
    <x v="205"/>
    <x v="219"/>
    <x v="224"/>
    <x v="182"/>
    <x v="237"/>
    <x v="228"/>
    <n v="156.69999999999999"/>
    <n v="149.30000000000001"/>
    <n v="156.5"/>
    <x v="97"/>
  </r>
  <r>
    <x v="2"/>
    <x v="8"/>
    <s v="February"/>
    <n v="144.30000000000001"/>
    <n v="186.5"/>
    <x v="218"/>
    <n v="154.69999999999999"/>
    <n v="158.69999999999999"/>
    <n v="150.69999999999999"/>
    <n v="160"/>
    <n v="158.80000000000001"/>
    <n v="112.8"/>
    <n v="164.2"/>
    <n v="155.5"/>
    <n v="167.5"/>
    <x v="206"/>
    <x v="249"/>
    <x v="229"/>
    <x v="194"/>
    <x v="230"/>
    <x v="91"/>
    <x v="206"/>
    <x v="190"/>
    <x v="235"/>
    <x v="183"/>
    <x v="238"/>
    <x v="229"/>
    <n v="155.80000000000001"/>
    <n v="153.4"/>
    <n v="156.6"/>
    <x v="97"/>
  </r>
  <r>
    <x v="0"/>
    <x v="8"/>
    <s v="March"/>
    <n v="142.5"/>
    <n v="189.4"/>
    <x v="219"/>
    <n v="154.5"/>
    <n v="168.2"/>
    <n v="150.5"/>
    <n v="141"/>
    <n v="159.19999999999999"/>
    <n v="111.7"/>
    <n v="164"/>
    <n v="160.6"/>
    <n v="166.4"/>
    <x v="207"/>
    <x v="250"/>
    <x v="230"/>
    <x v="220"/>
    <x v="231"/>
    <x v="92"/>
    <x v="207"/>
    <x v="218"/>
    <x v="236"/>
    <x v="184"/>
    <x v="239"/>
    <x v="230"/>
    <n v="153.1"/>
    <n v="157.30000000000001"/>
    <n v="156.69999999999999"/>
    <x v="98"/>
  </r>
  <r>
    <x v="1"/>
    <x v="8"/>
    <s v="March"/>
    <n v="147.5"/>
    <n v="197.5"/>
    <x v="220"/>
    <n v="155.6"/>
    <n v="156.4"/>
    <n v="157.30000000000001"/>
    <n v="166.1"/>
    <n v="161.1"/>
    <n v="114.3"/>
    <n v="162.6"/>
    <n v="150.69999999999999"/>
    <n v="170.3"/>
    <x v="208"/>
    <x v="251"/>
    <x v="212"/>
    <x v="221"/>
    <x v="232"/>
    <x v="93"/>
    <x v="208"/>
    <x v="220"/>
    <x v="237"/>
    <x v="185"/>
    <x v="240"/>
    <x v="231"/>
    <n v="154.9"/>
    <n v="150"/>
    <n v="156.9"/>
    <x v="98"/>
  </r>
  <r>
    <x v="2"/>
    <x v="8"/>
    <s v="March"/>
    <n v="144.1"/>
    <n v="192.2"/>
    <x v="221"/>
    <n v="154.9"/>
    <n v="163.9"/>
    <n v="153.69999999999999"/>
    <n v="149.5"/>
    <n v="159.80000000000001"/>
    <n v="112.6"/>
    <n v="163.5"/>
    <n v="156.5"/>
    <n v="168.2"/>
    <x v="209"/>
    <x v="252"/>
    <x v="231"/>
    <x v="222"/>
    <x v="233"/>
    <x v="93"/>
    <x v="209"/>
    <x v="193"/>
    <x v="238"/>
    <x v="186"/>
    <x v="241"/>
    <x v="197"/>
    <n v="153.80000000000001"/>
    <n v="153.80000000000001"/>
    <n v="156.80000000000001"/>
    <x v="98"/>
  </r>
  <r>
    <x v="0"/>
    <x v="8"/>
    <s v="April"/>
    <n v="142.69999999999999"/>
    <n v="195.5"/>
    <x v="222"/>
    <n v="155"/>
    <n v="175.2"/>
    <n v="160.6"/>
    <n v="135.1"/>
    <n v="161.1"/>
    <n v="112.2"/>
    <n v="164.4"/>
    <n v="161.9"/>
    <n v="166.8"/>
    <x v="210"/>
    <x v="253"/>
    <x v="232"/>
    <x v="223"/>
    <x v="234"/>
    <x v="92"/>
    <x v="207"/>
    <x v="221"/>
    <x v="239"/>
    <x v="187"/>
    <x v="242"/>
    <x v="232"/>
    <n v="154.6"/>
    <n v="158"/>
    <n v="157.6"/>
    <x v="99"/>
  </r>
  <r>
    <x v="1"/>
    <x v="8"/>
    <s v="April"/>
    <n v="147.6"/>
    <n v="202.5"/>
    <x v="223"/>
    <n v="156"/>
    <n v="161.4"/>
    <n v="168.8"/>
    <n v="161.6"/>
    <n v="162.80000000000001"/>
    <n v="114.8"/>
    <n v="162.80000000000001"/>
    <n v="151.5"/>
    <n v="171.4"/>
    <x v="211"/>
    <x v="254"/>
    <x v="233"/>
    <x v="224"/>
    <x v="235"/>
    <x v="94"/>
    <x v="210"/>
    <x v="222"/>
    <x v="240"/>
    <x v="188"/>
    <x v="203"/>
    <x v="231"/>
    <n v="156.6"/>
    <n v="150.5"/>
    <n v="158"/>
    <x v="99"/>
  </r>
  <r>
    <x v="2"/>
    <x v="8"/>
    <s v="April"/>
    <n v="144.30000000000001"/>
    <n v="198"/>
    <x v="224"/>
    <n v="155.4"/>
    <n v="170.1"/>
    <n v="164.4"/>
    <n v="144.1"/>
    <n v="161.69999999999999"/>
    <n v="113.1"/>
    <n v="163.9"/>
    <n v="157.6"/>
    <n v="168.9"/>
    <x v="194"/>
    <x v="240"/>
    <x v="234"/>
    <x v="225"/>
    <x v="236"/>
    <x v="94"/>
    <x v="211"/>
    <x v="198"/>
    <x v="241"/>
    <x v="189"/>
    <x v="216"/>
    <x v="233"/>
    <n v="155.4"/>
    <n v="154.4"/>
    <n v="157.80000000000001"/>
    <x v="99"/>
  </r>
  <r>
    <x v="0"/>
    <x v="8"/>
    <s v="May"/>
    <n v="145.1"/>
    <n v="198.5"/>
    <x v="225"/>
    <n v="155.80000000000001"/>
    <n v="184.4"/>
    <n v="162.30000000000001"/>
    <n v="138.4"/>
    <n v="165.1"/>
    <n v="114.3"/>
    <n v="169.7"/>
    <n v="164.6"/>
    <n v="169.8"/>
    <x v="212"/>
    <x v="255"/>
    <x v="235"/>
    <x v="226"/>
    <x v="237"/>
    <x v="0"/>
    <x v="212"/>
    <x v="223"/>
    <x v="242"/>
    <x v="190"/>
    <x v="243"/>
    <x v="234"/>
    <n v="159.30000000000001"/>
    <n v="161.1"/>
    <n v="161.1"/>
    <x v="100"/>
  </r>
  <r>
    <x v="1"/>
    <x v="8"/>
    <s v="May"/>
    <n v="148.80000000000001"/>
    <n v="204.3"/>
    <x v="226"/>
    <n v="156.5"/>
    <n v="168.8"/>
    <n v="172.5"/>
    <n v="166.5"/>
    <n v="165.9"/>
    <n v="115.9"/>
    <n v="165.2"/>
    <n v="152"/>
    <n v="171.1"/>
    <x v="213"/>
    <x v="256"/>
    <x v="236"/>
    <x v="227"/>
    <x v="211"/>
    <x v="95"/>
    <x v="209"/>
    <x v="171"/>
    <x v="225"/>
    <x v="191"/>
    <x v="241"/>
    <x v="228"/>
    <n v="157.5"/>
    <n v="152.30000000000001"/>
    <n v="159.5"/>
    <x v="100"/>
  </r>
  <r>
    <x v="2"/>
    <x v="8"/>
    <s v="May"/>
    <n v="146.30000000000001"/>
    <n v="200.5"/>
    <x v="227"/>
    <n v="156.1"/>
    <n v="178.7"/>
    <n v="167.1"/>
    <n v="147.9"/>
    <n v="165.4"/>
    <n v="114.8"/>
    <n v="168.2"/>
    <n v="159.30000000000001"/>
    <n v="170.4"/>
    <x v="214"/>
    <x v="257"/>
    <x v="237"/>
    <x v="228"/>
    <x v="238"/>
    <x v="95"/>
    <x v="213"/>
    <x v="224"/>
    <x v="243"/>
    <x v="192"/>
    <x v="244"/>
    <x v="212"/>
    <n v="158.6"/>
    <n v="156.80000000000001"/>
    <n v="160.4"/>
    <x v="100"/>
  </r>
  <r>
    <x v="0"/>
    <x v="8"/>
    <s v="June"/>
    <n v="145.6"/>
    <n v="200.1"/>
    <x v="228"/>
    <n v="156.1"/>
    <n v="190.4"/>
    <n v="158.6"/>
    <n v="144.69999999999999"/>
    <n v="165.5"/>
    <n v="114.6"/>
    <n v="170"/>
    <n v="165.5"/>
    <n v="171.7"/>
    <x v="215"/>
    <x v="258"/>
    <x v="235"/>
    <x v="229"/>
    <x v="239"/>
    <x v="0"/>
    <x v="214"/>
    <x v="225"/>
    <x v="244"/>
    <x v="193"/>
    <x v="245"/>
    <x v="235"/>
    <n v="159.4"/>
    <n v="161.5"/>
    <n v="162.1"/>
    <x v="101"/>
  </r>
  <r>
    <x v="1"/>
    <x v="8"/>
    <s v="June"/>
    <n v="149.19999999999999"/>
    <n v="205.5"/>
    <x v="229"/>
    <n v="156.5"/>
    <n v="172.2"/>
    <n v="171.5"/>
    <n v="176.2"/>
    <n v="166.9"/>
    <n v="116.1"/>
    <n v="165.5"/>
    <n v="152.30000000000001"/>
    <n v="173.3"/>
    <x v="216"/>
    <x v="259"/>
    <x v="238"/>
    <x v="184"/>
    <x v="240"/>
    <x v="96"/>
    <x v="215"/>
    <x v="226"/>
    <x v="245"/>
    <x v="178"/>
    <x v="246"/>
    <x v="236"/>
    <n v="158"/>
    <n v="153.4"/>
    <n v="160.4"/>
    <x v="101"/>
  </r>
  <r>
    <x v="2"/>
    <x v="8"/>
    <s v="June"/>
    <n v="146.69999999999999"/>
    <n v="202"/>
    <x v="230"/>
    <n v="156.19999999999999"/>
    <n v="183.7"/>
    <n v="164.6"/>
    <n v="155.4"/>
    <n v="166"/>
    <n v="115.1"/>
    <n v="168.5"/>
    <n v="160"/>
    <n v="172.4"/>
    <x v="217"/>
    <x v="260"/>
    <x v="239"/>
    <x v="230"/>
    <x v="241"/>
    <x v="96"/>
    <x v="216"/>
    <x v="218"/>
    <x v="246"/>
    <x v="194"/>
    <x v="247"/>
    <x v="206"/>
    <n v="158.80000000000001"/>
    <n v="157.6"/>
    <n v="161.30000000000001"/>
    <x v="101"/>
  </r>
  <r>
    <x v="0"/>
    <x v="8"/>
    <s v="July"/>
    <n v="145.1"/>
    <n v="204.5"/>
    <x v="231"/>
    <n v="157.1"/>
    <n v="188.7"/>
    <n v="157.69999999999999"/>
    <n v="152.80000000000001"/>
    <n v="163.6"/>
    <n v="113.9"/>
    <n v="169.7"/>
    <n v="166.2"/>
    <n v="171"/>
    <x v="218"/>
    <x v="261"/>
    <x v="240"/>
    <x v="231"/>
    <x v="242"/>
    <x v="0"/>
    <x v="217"/>
    <x v="227"/>
    <x v="247"/>
    <x v="195"/>
    <x v="248"/>
    <x v="237"/>
    <n v="160.4"/>
    <n v="162.80000000000001"/>
    <n v="163.19999999999999"/>
    <x v="102"/>
  </r>
  <r>
    <x v="1"/>
    <x v="8"/>
    <s v="July"/>
    <n v="149.1"/>
    <n v="210.9"/>
    <x v="232"/>
    <n v="158.19999999999999"/>
    <n v="170.6"/>
    <n v="170.9"/>
    <n v="186.4"/>
    <n v="164.7"/>
    <n v="115.7"/>
    <n v="165.5"/>
    <n v="153.4"/>
    <n v="173.5"/>
    <x v="219"/>
    <x v="262"/>
    <x v="241"/>
    <x v="146"/>
    <x v="219"/>
    <x v="97"/>
    <x v="218"/>
    <x v="228"/>
    <x v="248"/>
    <x v="196"/>
    <x v="212"/>
    <x v="233"/>
    <n v="159.6"/>
    <n v="155"/>
    <n v="161.80000000000001"/>
    <x v="102"/>
  </r>
  <r>
    <x v="2"/>
    <x v="8"/>
    <s v="July"/>
    <n v="146.4"/>
    <n v="206.8"/>
    <x v="233"/>
    <n v="157.5"/>
    <n v="182.1"/>
    <n v="163.9"/>
    <n v="164.2"/>
    <n v="164"/>
    <n v="114.5"/>
    <n v="168.3"/>
    <n v="160.9"/>
    <n v="172.2"/>
    <x v="220"/>
    <x v="263"/>
    <x v="242"/>
    <x v="232"/>
    <x v="243"/>
    <x v="97"/>
    <x v="219"/>
    <x v="229"/>
    <x v="249"/>
    <x v="197"/>
    <x v="249"/>
    <x v="238"/>
    <n v="160.1"/>
    <n v="159"/>
    <n v="162.5"/>
    <x v="102"/>
  </r>
  <r>
    <x v="0"/>
    <x v="8"/>
    <s v="August"/>
    <n v="144.9"/>
    <n v="202.3"/>
    <x v="234"/>
    <n v="157.5"/>
    <n v="190.9"/>
    <n v="155.69999999999999"/>
    <n v="153.9"/>
    <n v="162.80000000000001"/>
    <n v="115.2"/>
    <n v="169.8"/>
    <n v="167.6"/>
    <n v="171.9"/>
    <x v="221"/>
    <x v="243"/>
    <x v="243"/>
    <x v="233"/>
    <x v="244"/>
    <x v="0"/>
    <x v="220"/>
    <x v="230"/>
    <x v="250"/>
    <x v="198"/>
    <x v="250"/>
    <x v="239"/>
    <n v="160.30000000000001"/>
    <n v="163.30000000000001"/>
    <n v="163.6"/>
    <x v="103"/>
  </r>
  <r>
    <x v="1"/>
    <x v="8"/>
    <s v="August"/>
    <n v="149.30000000000001"/>
    <n v="207.4"/>
    <x v="235"/>
    <n v="159.19999999999999"/>
    <n v="175"/>
    <n v="161.30000000000001"/>
    <n v="183.3"/>
    <n v="164.5"/>
    <n v="120.4"/>
    <n v="166.2"/>
    <n v="154.80000000000001"/>
    <n v="175.1"/>
    <x v="222"/>
    <x v="264"/>
    <x v="244"/>
    <x v="234"/>
    <x v="236"/>
    <x v="98"/>
    <x v="219"/>
    <x v="231"/>
    <x v="251"/>
    <x v="199"/>
    <x v="251"/>
    <x v="240"/>
    <n v="159.6"/>
    <n v="156"/>
    <n v="162.30000000000001"/>
    <x v="103"/>
  </r>
  <r>
    <x v="2"/>
    <x v="8"/>
    <s v="August"/>
    <n v="146.6"/>
    <n v="204"/>
    <x v="236"/>
    <n v="158.4"/>
    <n v="188"/>
    <n v="156.80000000000001"/>
    <n v="162.19999999999999"/>
    <n v="164.1"/>
    <n v="119.7"/>
    <n v="168.8"/>
    <n v="162.69999999999999"/>
    <n v="173.9"/>
    <x v="220"/>
    <x v="265"/>
    <x v="245"/>
    <x v="235"/>
    <x v="245"/>
    <x v="98"/>
    <x v="221"/>
    <x v="232"/>
    <x v="252"/>
    <x v="200"/>
    <x v="252"/>
    <x v="230"/>
    <n v="160"/>
    <n v="160"/>
    <n v="163.19999999999999"/>
    <x v="103"/>
  </r>
  <r>
    <x v="0"/>
    <x v="8"/>
    <s v="September"/>
    <n v="145.4"/>
    <n v="202.1"/>
    <x v="237"/>
    <n v="158"/>
    <n v="195.5"/>
    <n v="152.69999999999999"/>
    <n v="151.4"/>
    <n v="163.9"/>
    <n v="119.3"/>
    <n v="170.1"/>
    <n v="168.3"/>
    <n v="172.8"/>
    <x v="223"/>
    <x v="266"/>
    <x v="246"/>
    <x v="236"/>
    <x v="246"/>
    <x v="0"/>
    <x v="222"/>
    <x v="233"/>
    <x v="253"/>
    <x v="201"/>
    <x v="253"/>
    <x v="241"/>
    <n v="160.19999999999999"/>
    <n v="163.80000000000001"/>
    <n v="164"/>
    <x v="104"/>
  </r>
  <r>
    <x v="1"/>
    <x v="8"/>
    <s v="September"/>
    <n v="149.30000000000001"/>
    <n v="207.4"/>
    <x v="235"/>
    <n v="159.1"/>
    <n v="175"/>
    <n v="161.19999999999999"/>
    <n v="183.5"/>
    <n v="164.5"/>
    <n v="120.4"/>
    <n v="166.2"/>
    <n v="154.80000000000001"/>
    <n v="175.1"/>
    <x v="222"/>
    <x v="264"/>
    <x v="244"/>
    <x v="234"/>
    <x v="247"/>
    <x v="98"/>
    <x v="223"/>
    <x v="234"/>
    <x v="251"/>
    <x v="202"/>
    <x v="230"/>
    <x v="233"/>
    <n v="159.6"/>
    <n v="156"/>
    <n v="162.30000000000001"/>
    <x v="104"/>
  </r>
  <r>
    <x v="2"/>
    <x v="8"/>
    <s v="September"/>
    <n v="146.6"/>
    <n v="204"/>
    <x v="236"/>
    <n v="158.4"/>
    <n v="188"/>
    <n v="156.69999999999999"/>
    <n v="162.30000000000001"/>
    <n v="164.1"/>
    <n v="119.7"/>
    <n v="168.8"/>
    <n v="162.69999999999999"/>
    <n v="173.9"/>
    <x v="220"/>
    <x v="265"/>
    <x v="247"/>
    <x v="235"/>
    <x v="248"/>
    <x v="98"/>
    <x v="221"/>
    <x v="232"/>
    <x v="252"/>
    <x v="200"/>
    <x v="254"/>
    <x v="242"/>
    <n v="160"/>
    <n v="160"/>
    <n v="163.19999999999999"/>
    <x v="104"/>
  </r>
  <r>
    <x v="0"/>
    <x v="8"/>
    <s v="October"/>
    <n v="146.1"/>
    <n v="202.5"/>
    <x v="238"/>
    <n v="158.4"/>
    <n v="198.8"/>
    <n v="152.6"/>
    <n v="170.4"/>
    <n v="165.2"/>
    <n v="121.6"/>
    <n v="170.6"/>
    <n v="168.8"/>
    <n v="173.6"/>
    <x v="224"/>
    <x v="263"/>
    <x v="248"/>
    <x v="237"/>
    <x v="249"/>
    <x v="0"/>
    <x v="224"/>
    <x v="235"/>
    <x v="254"/>
    <x v="203"/>
    <x v="255"/>
    <x v="243"/>
    <n v="161.1"/>
    <n v="164.7"/>
    <n v="166.3"/>
    <x v="105"/>
  </r>
  <r>
    <x v="1"/>
    <x v="8"/>
    <s v="October"/>
    <n v="150.1"/>
    <n v="208.4"/>
    <x v="226"/>
    <n v="159.19999999999999"/>
    <n v="176.6"/>
    <n v="159.30000000000001"/>
    <n v="214.4"/>
    <n v="165.3"/>
    <n v="122.5"/>
    <n v="166.8"/>
    <n v="155.4"/>
    <n v="175.9"/>
    <x v="225"/>
    <x v="267"/>
    <x v="249"/>
    <x v="203"/>
    <x v="250"/>
    <x v="99"/>
    <x v="225"/>
    <x v="236"/>
    <x v="255"/>
    <x v="204"/>
    <x v="233"/>
    <x v="233"/>
    <n v="160.30000000000001"/>
    <n v="157"/>
    <n v="164.6"/>
    <x v="105"/>
  </r>
  <r>
    <x v="2"/>
    <x v="8"/>
    <s v="October"/>
    <n v="147.4"/>
    <n v="204.6"/>
    <x v="239"/>
    <n v="158.69999999999999"/>
    <n v="190.6"/>
    <n v="155.69999999999999"/>
    <n v="185.3"/>
    <n v="165.2"/>
    <n v="121.9"/>
    <n v="169.3"/>
    <n v="163.19999999999999"/>
    <n v="174.7"/>
    <x v="226"/>
    <x v="268"/>
    <x v="250"/>
    <x v="238"/>
    <x v="251"/>
    <x v="99"/>
    <x v="226"/>
    <x v="237"/>
    <x v="242"/>
    <x v="205"/>
    <x v="242"/>
    <x v="244"/>
    <n v="160.80000000000001"/>
    <n v="161"/>
    <n v="165.5"/>
    <x v="105"/>
  </r>
  <r>
    <x v="0"/>
    <x v="8"/>
    <s v="November"/>
    <n v="146.9"/>
    <n v="199.8"/>
    <x v="240"/>
    <n v="159.1"/>
    <n v="198.4"/>
    <n v="153.19999999999999"/>
    <n v="183.9"/>
    <n v="165.4"/>
    <n v="122.1"/>
    <n v="170.8"/>
    <n v="169.1"/>
    <n v="174.3"/>
    <x v="227"/>
    <x v="269"/>
    <x v="251"/>
    <x v="239"/>
    <x v="252"/>
    <x v="0"/>
    <x v="227"/>
    <x v="238"/>
    <x v="256"/>
    <x v="206"/>
    <x v="256"/>
    <x v="245"/>
    <n v="162.4"/>
    <n v="165.2"/>
    <n v="167.6"/>
    <x v="106"/>
  </r>
  <r>
    <x v="1"/>
    <x v="8"/>
    <s v="November"/>
    <n v="151"/>
    <n v="204.9"/>
    <x v="241"/>
    <n v="159.6"/>
    <n v="175.8"/>
    <n v="160.30000000000001"/>
    <n v="229.1"/>
    <n v="165.1"/>
    <n v="123.1"/>
    <n v="167.2"/>
    <n v="156.1"/>
    <n v="176.8"/>
    <x v="228"/>
    <x v="267"/>
    <x v="252"/>
    <x v="240"/>
    <x v="253"/>
    <x v="100"/>
    <x v="228"/>
    <x v="239"/>
    <x v="257"/>
    <x v="207"/>
    <x v="257"/>
    <x v="201"/>
    <n v="161.80000000000001"/>
    <n v="157.30000000000001"/>
    <n v="165.6"/>
    <x v="106"/>
  </r>
  <r>
    <x v="2"/>
    <x v="8"/>
    <s v="November"/>
    <n v="148.19999999999999"/>
    <n v="201.6"/>
    <x v="226"/>
    <n v="159.30000000000001"/>
    <n v="190.1"/>
    <n v="156.5"/>
    <n v="199.2"/>
    <n v="165.3"/>
    <n v="122.4"/>
    <n v="169.6"/>
    <n v="163.69999999999999"/>
    <n v="175.5"/>
    <x v="229"/>
    <x v="270"/>
    <x v="253"/>
    <x v="241"/>
    <x v="254"/>
    <x v="100"/>
    <x v="229"/>
    <x v="240"/>
    <x v="258"/>
    <x v="208"/>
    <x v="258"/>
    <x v="246"/>
    <n v="162.19999999999999"/>
    <n v="161.4"/>
    <n v="166.7"/>
    <x v="106"/>
  </r>
  <r>
    <x v="0"/>
    <x v="8"/>
    <s v="December"/>
    <n v="147.4"/>
    <n v="197"/>
    <x v="234"/>
    <n v="159.80000000000001"/>
    <n v="195.8"/>
    <n v="152"/>
    <n v="172.3"/>
    <n v="164.5"/>
    <n v="120.6"/>
    <n v="171.7"/>
    <n v="169.7"/>
    <n v="175.1"/>
    <x v="230"/>
    <x v="260"/>
    <x v="254"/>
    <x v="242"/>
    <x v="255"/>
    <x v="0"/>
    <x v="230"/>
    <x v="241"/>
    <x v="259"/>
    <x v="209"/>
    <x v="259"/>
    <x v="247"/>
    <n v="162.80000000000001"/>
    <n v="166"/>
    <n v="167"/>
    <x v="107"/>
  </r>
  <r>
    <x v="1"/>
    <x v="8"/>
    <s v="December"/>
    <n v="151.6"/>
    <n v="202.2"/>
    <x v="242"/>
    <n v="160"/>
    <n v="173.5"/>
    <n v="158.30000000000001"/>
    <n v="219.5"/>
    <n v="164.2"/>
    <n v="121.9"/>
    <n v="168.2"/>
    <n v="156.5"/>
    <n v="178.2"/>
    <x v="231"/>
    <x v="271"/>
    <x v="255"/>
    <x v="185"/>
    <x v="241"/>
    <x v="101"/>
    <x v="212"/>
    <x v="242"/>
    <x v="260"/>
    <x v="210"/>
    <x v="252"/>
    <x v="248"/>
    <n v="162.4"/>
    <n v="157.80000000000001"/>
    <n v="165.2"/>
    <x v="107"/>
  </r>
  <r>
    <x v="2"/>
    <x v="8"/>
    <s v="December"/>
    <n v="148.69999999999999"/>
    <n v="198.8"/>
    <x v="243"/>
    <n v="159.9"/>
    <n v="187.6"/>
    <n v="154.9"/>
    <n v="188.3"/>
    <n v="164.4"/>
    <n v="121"/>
    <n v="170.5"/>
    <n v="164.2"/>
    <n v="176.5"/>
    <x v="232"/>
    <x v="272"/>
    <x v="256"/>
    <x v="243"/>
    <x v="256"/>
    <x v="101"/>
    <x v="231"/>
    <x v="243"/>
    <x v="261"/>
    <x v="205"/>
    <x v="260"/>
    <x v="249"/>
    <n v="162.6"/>
    <n v="162"/>
    <n v="166.2"/>
    <x v="107"/>
  </r>
  <r>
    <x v="0"/>
    <x v="9"/>
    <s v="January"/>
    <n v="148.30000000000001"/>
    <n v="196.9"/>
    <x v="244"/>
    <n v="160.5"/>
    <n v="192.6"/>
    <n v="151.19999999999999"/>
    <n v="159.19999999999999"/>
    <n v="164"/>
    <n v="119.3"/>
    <n v="173.3"/>
    <n v="169.8"/>
    <n v="175.8"/>
    <x v="233"/>
    <x v="273"/>
    <x v="257"/>
    <x v="244"/>
    <x v="257"/>
    <x v="0"/>
    <x v="232"/>
    <x v="244"/>
    <x v="262"/>
    <x v="211"/>
    <x v="261"/>
    <x v="250"/>
    <n v="163.19999999999999"/>
    <n v="166.6"/>
    <n v="166.4"/>
    <x v="108"/>
  </r>
  <r>
    <x v="1"/>
    <x v="9"/>
    <s v="January"/>
    <n v="152.19999999999999"/>
    <n v="202.1"/>
    <x v="245"/>
    <n v="160.4"/>
    <n v="171"/>
    <n v="156.5"/>
    <n v="203.6"/>
    <n v="163.80000000000001"/>
    <n v="121.3"/>
    <n v="169.8"/>
    <n v="156.6"/>
    <n v="179"/>
    <x v="234"/>
    <x v="274"/>
    <x v="258"/>
    <x v="225"/>
    <x v="258"/>
    <x v="102"/>
    <x v="228"/>
    <x v="245"/>
    <x v="263"/>
    <x v="212"/>
    <x v="262"/>
    <x v="251"/>
    <n v="162.80000000000001"/>
    <n v="158.6"/>
    <n v="165"/>
    <x v="108"/>
  </r>
  <r>
    <x v="2"/>
    <x v="9"/>
    <s v="January"/>
    <n v="149.5"/>
    <n v="198.7"/>
    <x v="246"/>
    <n v="160.5"/>
    <n v="184.7"/>
    <n v="153.69999999999999"/>
    <n v="174.3"/>
    <n v="163.9"/>
    <n v="120"/>
    <n v="172.1"/>
    <n v="164.3"/>
    <n v="177.3"/>
    <x v="235"/>
    <x v="275"/>
    <x v="259"/>
    <x v="245"/>
    <x v="259"/>
    <x v="102"/>
    <x v="226"/>
    <x v="246"/>
    <x v="264"/>
    <x v="213"/>
    <x v="263"/>
    <x v="252"/>
    <n v="163"/>
    <n v="162.69999999999999"/>
    <n v="165.7"/>
    <x v="108"/>
  </r>
  <r>
    <x v="0"/>
    <x v="9"/>
    <s v="February"/>
    <n v="148.80000000000001"/>
    <n v="198.1"/>
    <x v="247"/>
    <n v="160.69999999999999"/>
    <n v="192.6"/>
    <n v="151.4"/>
    <n v="155.19999999999999"/>
    <n v="163.9"/>
    <n v="118.1"/>
    <n v="175.4"/>
    <n v="170.5"/>
    <n v="176.3"/>
    <x v="236"/>
    <x v="276"/>
    <x v="260"/>
    <x v="246"/>
    <x v="260"/>
    <x v="0"/>
    <x v="233"/>
    <x v="247"/>
    <x v="265"/>
    <x v="214"/>
    <x v="264"/>
    <x v="253"/>
    <n v="164.5"/>
    <n v="167.3"/>
    <n v="166.7"/>
    <x v="109"/>
  </r>
  <r>
    <x v="1"/>
    <x v="9"/>
    <s v="February"/>
    <n v="152.5"/>
    <n v="205.2"/>
    <x v="248"/>
    <n v="160.6"/>
    <n v="171.5"/>
    <n v="156.4"/>
    <n v="198"/>
    <n v="163.19999999999999"/>
    <n v="120.6"/>
    <n v="172.2"/>
    <n v="156.69999999999999"/>
    <n v="180"/>
    <x v="237"/>
    <x v="264"/>
    <x v="250"/>
    <x v="247"/>
    <x v="261"/>
    <x v="103"/>
    <x v="234"/>
    <x v="248"/>
    <x v="266"/>
    <x v="197"/>
    <x v="265"/>
    <x v="254"/>
    <n v="164.2"/>
    <n v="159.4"/>
    <n v="165.5"/>
    <x v="109"/>
  </r>
  <r>
    <x v="2"/>
    <x v="9"/>
    <s v="February"/>
    <n v="150"/>
    <n v="200.6"/>
    <x v="249"/>
    <n v="160.69999999999999"/>
    <n v="184.9"/>
    <n v="153.69999999999999"/>
    <n v="169.7"/>
    <n v="163.69999999999999"/>
    <n v="118.9"/>
    <n v="174.3"/>
    <n v="164.7"/>
    <n v="178"/>
    <x v="216"/>
    <x v="277"/>
    <x v="261"/>
    <x v="248"/>
    <x v="262"/>
    <x v="103"/>
    <x v="235"/>
    <x v="249"/>
    <x v="267"/>
    <x v="215"/>
    <x v="266"/>
    <x v="255"/>
    <n v="164.4"/>
    <n v="163.5"/>
    <n v="166.1"/>
    <x v="109"/>
  </r>
  <r>
    <x v="0"/>
    <x v="9"/>
    <s v="March"/>
    <n v="150.19999999999999"/>
    <n v="208"/>
    <x v="250"/>
    <n v="162"/>
    <n v="203.1"/>
    <n v="155.9"/>
    <n v="155.80000000000001"/>
    <n v="164.2"/>
    <n v="118.1"/>
    <n v="178.7"/>
    <n v="171.2"/>
    <n v="177.4"/>
    <x v="238"/>
    <x v="278"/>
    <x v="262"/>
    <x v="249"/>
    <x v="263"/>
    <x v="0"/>
    <x v="236"/>
    <x v="250"/>
    <x v="268"/>
    <x v="216"/>
    <x v="267"/>
    <x v="256"/>
    <n v="167.4"/>
    <n v="168.3"/>
    <n v="168.7"/>
    <x v="110"/>
  </r>
  <r>
    <x v="1"/>
    <x v="9"/>
    <s v="March"/>
    <n v="153.69999999999999"/>
    <n v="215.8"/>
    <x v="251"/>
    <n v="162.6"/>
    <n v="180"/>
    <n v="159.6"/>
    <n v="188.4"/>
    <n v="163.4"/>
    <n v="120.3"/>
    <n v="174.7"/>
    <n v="157.1"/>
    <n v="181.5"/>
    <x v="225"/>
    <x v="279"/>
    <x v="263"/>
    <x v="250"/>
    <x v="264"/>
    <x v="104"/>
    <x v="237"/>
    <x v="251"/>
    <x v="269"/>
    <x v="193"/>
    <x v="268"/>
    <x v="216"/>
    <n v="166.8"/>
    <n v="160.6"/>
    <n v="166.5"/>
    <x v="110"/>
  </r>
  <r>
    <x v="2"/>
    <x v="9"/>
    <s v="March"/>
    <n v="151.30000000000001"/>
    <n v="210.7"/>
    <x v="252"/>
    <n v="162.19999999999999"/>
    <n v="194.6"/>
    <n v="157.6"/>
    <n v="166.9"/>
    <n v="163.9"/>
    <n v="118.8"/>
    <n v="177.4"/>
    <n v="165.3"/>
    <n v="179.3"/>
    <x v="239"/>
    <x v="280"/>
    <x v="264"/>
    <x v="251"/>
    <x v="265"/>
    <x v="104"/>
    <x v="238"/>
    <x v="252"/>
    <x v="270"/>
    <x v="217"/>
    <x v="269"/>
    <x v="257"/>
    <n v="167.2"/>
    <n v="164.6"/>
    <n v="167.7"/>
    <x v="110"/>
  </r>
  <r>
    <x v="0"/>
    <x v="9"/>
    <s v="April"/>
    <n v="151.80000000000001"/>
    <n v="209.7"/>
    <x v="253"/>
    <n v="163.80000000000001"/>
    <n v="207.4"/>
    <n v="169.7"/>
    <n v="153.6"/>
    <n v="165.1"/>
    <n v="118.2"/>
    <n v="182.9"/>
    <n v="172.4"/>
    <n v="178.9"/>
    <x v="240"/>
    <x v="277"/>
    <x v="265"/>
    <x v="252"/>
    <x v="266"/>
    <x v="0"/>
    <x v="239"/>
    <x v="253"/>
    <x v="271"/>
    <x v="218"/>
    <x v="270"/>
    <x v="258"/>
    <n v="169"/>
    <n v="170.2"/>
    <n v="170.8"/>
    <x v="111"/>
  </r>
  <r>
    <x v="1"/>
    <x v="9"/>
    <s v="April"/>
    <n v="155.4"/>
    <n v="215.8"/>
    <x v="224"/>
    <n v="164.2"/>
    <n v="186"/>
    <n v="175.9"/>
    <n v="190.7"/>
    <n v="164"/>
    <n v="120.5"/>
    <n v="178"/>
    <n v="157.5"/>
    <n v="183.3"/>
    <x v="241"/>
    <x v="281"/>
    <x v="266"/>
    <x v="253"/>
    <x v="244"/>
    <x v="105"/>
    <x v="240"/>
    <x v="254"/>
    <x v="272"/>
    <x v="219"/>
    <x v="271"/>
    <x v="259"/>
    <n v="168.4"/>
    <n v="163.1"/>
    <n v="169.2"/>
    <x v="111"/>
  </r>
  <r>
    <x v="2"/>
    <x v="9"/>
    <s v="April"/>
    <n v="152.9"/>
    <n v="211.8"/>
    <x v="253"/>
    <n v="163.9"/>
    <n v="199.5"/>
    <n v="172.6"/>
    <n v="166.2"/>
    <n v="164.7"/>
    <n v="119"/>
    <n v="181.3"/>
    <n v="166.2"/>
    <n v="180.9"/>
    <x v="242"/>
    <x v="282"/>
    <x v="267"/>
    <x v="254"/>
    <x v="267"/>
    <x v="105"/>
    <x v="241"/>
    <x v="255"/>
    <x v="259"/>
    <x v="220"/>
    <x v="272"/>
    <x v="260"/>
    <n v="168.8"/>
    <n v="166.8"/>
    <n v="170.1"/>
    <x v="111"/>
  </r>
  <r>
    <x v="0"/>
    <x v="9"/>
    <s v="May"/>
    <n v="152.9"/>
    <n v="214.7"/>
    <x v="208"/>
    <n v="164.6"/>
    <n v="209.9"/>
    <n v="168"/>
    <n v="160.4"/>
    <n v="165"/>
    <n v="118.9"/>
    <n v="186.6"/>
    <n v="173.2"/>
    <n v="180.4"/>
    <x v="242"/>
    <x v="270"/>
    <x v="268"/>
    <x v="255"/>
    <x v="268"/>
    <x v="0"/>
    <x v="242"/>
    <x v="256"/>
    <x v="273"/>
    <x v="221"/>
    <x v="273"/>
    <x v="261"/>
    <n v="168.5"/>
    <n v="170.9"/>
    <n v="172.5"/>
    <x v="112"/>
  </r>
  <r>
    <x v="1"/>
    <x v="9"/>
    <s v="May"/>
    <n v="156.69999999999999"/>
    <n v="221.2"/>
    <x v="254"/>
    <n v="165.4"/>
    <n v="189.5"/>
    <n v="174.5"/>
    <n v="203.2"/>
    <n v="164.1"/>
    <n v="121.2"/>
    <n v="181.4"/>
    <n v="158.5"/>
    <n v="184.9"/>
    <x v="243"/>
    <x v="279"/>
    <x v="269"/>
    <x v="256"/>
    <x v="269"/>
    <x v="106"/>
    <x v="243"/>
    <x v="246"/>
    <x v="274"/>
    <x v="222"/>
    <x v="255"/>
    <x v="262"/>
    <n v="168.2"/>
    <n v="163.80000000000001"/>
    <n v="170.8"/>
    <x v="112"/>
  </r>
  <r>
    <x v="2"/>
    <x v="9"/>
    <s v="May"/>
    <n v="154.1"/>
    <n v="217"/>
    <x v="255"/>
    <n v="164.9"/>
    <n v="202.4"/>
    <n v="171"/>
    <n v="174.9"/>
    <n v="164.7"/>
    <n v="119.7"/>
    <n v="184.9"/>
    <n v="167.1"/>
    <n v="182.5"/>
    <x v="244"/>
    <x v="283"/>
    <x v="270"/>
    <x v="257"/>
    <x v="270"/>
    <x v="106"/>
    <x v="244"/>
    <x v="257"/>
    <x v="275"/>
    <x v="223"/>
    <x v="274"/>
    <x v="263"/>
    <n v="168.4"/>
    <n v="167.5"/>
    <n v="171.7"/>
    <x v="112"/>
  </r>
  <r>
    <x v="0"/>
    <x v="9"/>
    <s v="June"/>
    <n v="153.80000000000001"/>
    <n v="217.2"/>
    <x v="256"/>
    <n v="165.4"/>
    <n v="208.1"/>
    <n v="165.8"/>
    <n v="167.3"/>
    <n v="164.6"/>
    <n v="119.1"/>
    <n v="188.9"/>
    <n v="174.2"/>
    <n v="181.9"/>
    <x v="245"/>
    <x v="270"/>
    <x v="271"/>
    <x v="258"/>
    <x v="271"/>
    <x v="0"/>
    <x v="245"/>
    <x v="258"/>
    <x v="276"/>
    <x v="224"/>
    <x v="275"/>
    <x v="264"/>
    <n v="169.5"/>
    <n v="171"/>
    <n v="173.6"/>
    <x v="113"/>
  </r>
  <r>
    <x v="1"/>
    <x v="9"/>
    <s v="June"/>
    <n v="157.5"/>
    <n v="223.4"/>
    <x v="236"/>
    <n v="166.4"/>
    <n v="188.6"/>
    <n v="174.1"/>
    <n v="211.5"/>
    <n v="163.6"/>
    <n v="121.4"/>
    <n v="183.5"/>
    <n v="159.1"/>
    <n v="186.3"/>
    <x v="246"/>
    <x v="284"/>
    <x v="272"/>
    <x v="241"/>
    <x v="272"/>
    <x v="107"/>
    <x v="246"/>
    <x v="259"/>
    <x v="277"/>
    <x v="225"/>
    <x v="276"/>
    <x v="265"/>
    <n v="169.2"/>
    <n v="163.80000000000001"/>
    <n v="171.4"/>
    <x v="113"/>
  </r>
  <r>
    <x v="2"/>
    <x v="9"/>
    <s v="June"/>
    <n v="155"/>
    <n v="219.4"/>
    <x v="257"/>
    <n v="165.8"/>
    <n v="200.9"/>
    <n v="169.7"/>
    <n v="182.3"/>
    <n v="164.3"/>
    <n v="119.9"/>
    <n v="187.1"/>
    <n v="167.9"/>
    <n v="183.9"/>
    <x v="247"/>
    <x v="285"/>
    <x v="273"/>
    <x v="259"/>
    <x v="273"/>
    <x v="107"/>
    <x v="247"/>
    <x v="260"/>
    <x v="278"/>
    <x v="226"/>
    <x v="277"/>
    <x v="243"/>
    <n v="169.4"/>
    <n v="167.5"/>
    <n v="172.6"/>
    <x v="113"/>
  </r>
  <r>
    <x v="0"/>
    <x v="9"/>
    <s v="July"/>
    <n v="155.19999999999999"/>
    <n v="210.8"/>
    <x v="258"/>
    <n v="166.3"/>
    <n v="202.2"/>
    <n v="169.6"/>
    <n v="168.6"/>
    <n v="164.4"/>
    <n v="119.2"/>
    <n v="191.8"/>
    <n v="174.5"/>
    <n v="183.1"/>
    <x v="248"/>
    <x v="286"/>
    <x v="274"/>
    <x v="260"/>
    <x v="274"/>
    <x v="0"/>
    <x v="248"/>
    <x v="261"/>
    <x v="279"/>
    <x v="227"/>
    <x v="278"/>
    <x v="266"/>
    <n v="169.7"/>
    <n v="171.8"/>
    <n v="174.3"/>
    <x v="114"/>
  </r>
  <r>
    <x v="1"/>
    <x v="9"/>
    <s v="July"/>
    <n v="159.30000000000001"/>
    <n v="217.1"/>
    <x v="259"/>
    <n v="167.1"/>
    <n v="184.8"/>
    <n v="179.5"/>
    <n v="208.5"/>
    <n v="164"/>
    <n v="121.5"/>
    <n v="186.3"/>
    <n v="159.80000000000001"/>
    <n v="187.7"/>
    <x v="249"/>
    <x v="287"/>
    <x v="275"/>
    <x v="243"/>
    <x v="275"/>
    <x v="108"/>
    <x v="249"/>
    <x v="262"/>
    <x v="280"/>
    <x v="228"/>
    <x v="279"/>
    <x v="267"/>
    <n v="169.8"/>
    <n v="164.7"/>
    <n v="172.3"/>
    <x v="114"/>
  </r>
  <r>
    <x v="2"/>
    <x v="9"/>
    <s v="July"/>
    <n v="156.5"/>
    <n v="213"/>
    <x v="260"/>
    <n v="166.6"/>
    <n v="195.8"/>
    <n v="174.2"/>
    <n v="182.1"/>
    <n v="164.3"/>
    <n v="120"/>
    <n v="190"/>
    <n v="168.4"/>
    <n v="185.2"/>
    <x v="250"/>
    <x v="288"/>
    <x v="276"/>
    <x v="261"/>
    <x v="276"/>
    <x v="108"/>
    <x v="248"/>
    <x v="263"/>
    <x v="281"/>
    <x v="229"/>
    <x v="280"/>
    <x v="268"/>
    <n v="169.7"/>
    <n v="168.4"/>
    <n v="173.4"/>
    <x v="114"/>
  </r>
  <r>
    <x v="0"/>
    <x v="9"/>
    <s v="August"/>
    <n v="159.5"/>
    <n v="204.1"/>
    <x v="261"/>
    <n v="167.9"/>
    <n v="198.1"/>
    <n v="169.2"/>
    <n v="173.1"/>
    <n v="167.1"/>
    <n v="120.2"/>
    <n v="195.6"/>
    <n v="174.8"/>
    <n v="184"/>
    <x v="251"/>
    <x v="280"/>
    <x v="277"/>
    <x v="262"/>
    <x v="277"/>
    <x v="0"/>
    <x v="250"/>
    <x v="264"/>
    <x v="282"/>
    <x v="230"/>
    <x v="281"/>
    <x v="269"/>
    <n v="171.1"/>
    <n v="172.6"/>
    <n v="175.3"/>
    <x v="115"/>
  </r>
  <r>
    <x v="1"/>
    <x v="9"/>
    <s v="August"/>
    <n v="162.1"/>
    <n v="210.9"/>
    <x v="262"/>
    <n v="168.4"/>
    <n v="182.5"/>
    <n v="177.1"/>
    <n v="213.1"/>
    <n v="167.3"/>
    <n v="122.2"/>
    <n v="189.7"/>
    <n v="160.5"/>
    <n v="188.9"/>
    <x v="252"/>
    <x v="289"/>
    <x v="278"/>
    <x v="263"/>
    <x v="278"/>
    <x v="109"/>
    <x v="251"/>
    <x v="265"/>
    <x v="283"/>
    <x v="198"/>
    <x v="274"/>
    <x v="250"/>
    <n v="171.4"/>
    <n v="165.4"/>
    <n v="173.1"/>
    <x v="115"/>
  </r>
  <r>
    <x v="2"/>
    <x v="9"/>
    <s v="August"/>
    <n v="160.30000000000001"/>
    <n v="206.5"/>
    <x v="263"/>
    <n v="168.1"/>
    <n v="192.4"/>
    <n v="172.9"/>
    <n v="186.7"/>
    <n v="167.2"/>
    <n v="120.9"/>
    <n v="193.6"/>
    <n v="168.8"/>
    <n v="186.3"/>
    <x v="253"/>
    <x v="290"/>
    <x v="279"/>
    <x v="264"/>
    <x v="279"/>
    <x v="109"/>
    <x v="252"/>
    <x v="266"/>
    <x v="284"/>
    <x v="231"/>
    <x v="282"/>
    <x v="270"/>
    <n v="171.2"/>
    <n v="169.1"/>
    <n v="174.3"/>
    <x v="115"/>
  </r>
  <r>
    <x v="0"/>
    <x v="9"/>
    <s v="September"/>
    <n v="162.9"/>
    <n v="206.7"/>
    <x v="264"/>
    <n v="169.5"/>
    <n v="194.1"/>
    <n v="164.1"/>
    <n v="176.9"/>
    <n v="169"/>
    <n v="120.8"/>
    <n v="199.1"/>
    <n v="175.4"/>
    <n v="184.8"/>
    <x v="254"/>
    <x v="291"/>
    <x v="280"/>
    <x v="265"/>
    <x v="280"/>
    <x v="0"/>
    <x v="253"/>
    <x v="267"/>
    <x v="285"/>
    <x v="232"/>
    <x v="283"/>
    <x v="271"/>
    <n v="170.8"/>
    <n v="173.1"/>
    <n v="176.4"/>
    <x v="116"/>
  </r>
  <r>
    <x v="1"/>
    <x v="9"/>
    <s v="September"/>
    <n v="164.9"/>
    <n v="213.7"/>
    <x v="265"/>
    <n v="170.1"/>
    <n v="179.3"/>
    <n v="167.5"/>
    <n v="220.8"/>
    <n v="169.2"/>
    <n v="123.1"/>
    <n v="193.6"/>
    <n v="161.1"/>
    <n v="190.4"/>
    <x v="255"/>
    <x v="292"/>
    <x v="281"/>
    <x v="266"/>
    <x v="281"/>
    <x v="110"/>
    <x v="254"/>
    <x v="268"/>
    <x v="286"/>
    <x v="233"/>
    <x v="277"/>
    <x v="258"/>
    <n v="171.1"/>
    <n v="166.1"/>
    <n v="174.1"/>
    <x v="116"/>
  </r>
  <r>
    <x v="2"/>
    <x v="9"/>
    <s v="September"/>
    <n v="163.5"/>
    <n v="209.2"/>
    <x v="266"/>
    <n v="169.7"/>
    <n v="188.7"/>
    <n v="165.7"/>
    <n v="191.8"/>
    <n v="169.1"/>
    <n v="121.6"/>
    <n v="197.3"/>
    <n v="169.4"/>
    <n v="187.4"/>
    <x v="256"/>
    <x v="293"/>
    <x v="282"/>
    <x v="267"/>
    <x v="282"/>
    <x v="110"/>
    <x v="249"/>
    <x v="269"/>
    <x v="287"/>
    <x v="234"/>
    <x v="273"/>
    <x v="272"/>
    <n v="170.9"/>
    <n v="169.7"/>
    <n v="175.3"/>
    <x v="116"/>
  </r>
  <r>
    <x v="0"/>
    <x v="9"/>
    <s v="October"/>
    <n v="164.7"/>
    <n v="208.8"/>
    <x v="227"/>
    <n v="170.9"/>
    <n v="191.6"/>
    <n v="162.19999999999999"/>
    <n v="184.8"/>
    <n v="169.7"/>
    <n v="121.1"/>
    <n v="201.6"/>
    <n v="175.8"/>
    <n v="185.6"/>
    <x v="257"/>
    <x v="294"/>
    <x v="283"/>
    <x v="268"/>
    <x v="283"/>
    <x v="0"/>
    <x v="255"/>
    <x v="270"/>
    <x v="288"/>
    <x v="235"/>
    <x v="284"/>
    <x v="273"/>
    <n v="172"/>
    <n v="173.9"/>
    <n v="177.9"/>
    <x v="117"/>
  </r>
  <r>
    <x v="1"/>
    <x v="9"/>
    <s v="October"/>
    <n v="166.4"/>
    <n v="214.9"/>
    <x v="267"/>
    <n v="171"/>
    <n v="177.7"/>
    <n v="165.7"/>
    <n v="228.6"/>
    <n v="169.9"/>
    <n v="123.4"/>
    <n v="196.4"/>
    <n v="161.6"/>
    <n v="191.5"/>
    <x v="258"/>
    <x v="295"/>
    <x v="284"/>
    <x v="233"/>
    <x v="284"/>
    <x v="111"/>
    <x v="256"/>
    <x v="271"/>
    <x v="262"/>
    <x v="236"/>
    <x v="280"/>
    <x v="274"/>
    <n v="172.3"/>
    <n v="166.8"/>
    <n v="175.3"/>
    <x v="117"/>
  </r>
  <r>
    <x v="2"/>
    <x v="9"/>
    <s v="October"/>
    <n v="165.2"/>
    <n v="210.9"/>
    <x v="265"/>
    <n v="170.9"/>
    <n v="186.5"/>
    <n v="163.80000000000001"/>
    <n v="199.7"/>
    <n v="169.8"/>
    <n v="121.9"/>
    <n v="199.9"/>
    <n v="169.9"/>
    <n v="188.3"/>
    <x v="259"/>
    <x v="296"/>
    <x v="285"/>
    <x v="269"/>
    <x v="285"/>
    <x v="111"/>
    <x v="257"/>
    <x v="272"/>
    <x v="289"/>
    <x v="237"/>
    <x v="285"/>
    <x v="275"/>
    <n v="172.1"/>
    <n v="170.5"/>
    <n v="176.7"/>
    <x v="117"/>
  </r>
  <r>
    <x v="0"/>
    <x v="9"/>
    <s v="November"/>
    <n v="166.9"/>
    <n v="207.2"/>
    <x v="268"/>
    <n v="172.3"/>
    <n v="194"/>
    <n v="159.1"/>
    <n v="171.6"/>
    <n v="170.2"/>
    <n v="121.5"/>
    <n v="204.8"/>
    <n v="176.4"/>
    <n v="186.9"/>
    <x v="260"/>
    <x v="262"/>
    <x v="286"/>
    <x v="270"/>
    <x v="286"/>
    <x v="0"/>
    <x v="258"/>
    <x v="273"/>
    <x v="290"/>
    <x v="238"/>
    <x v="286"/>
    <x v="276"/>
    <n v="173.4"/>
    <n v="174.6"/>
    <n v="177.8"/>
    <x v="118"/>
  </r>
  <r>
    <x v="1"/>
    <x v="9"/>
    <s v="November"/>
    <n v="168.4"/>
    <n v="213.4"/>
    <x v="269"/>
    <n v="172.3"/>
    <n v="180"/>
    <n v="162.6"/>
    <n v="205.5"/>
    <n v="171"/>
    <n v="123.4"/>
    <n v="198.8"/>
    <n v="162.1"/>
    <n v="192.4"/>
    <x v="261"/>
    <x v="297"/>
    <x v="287"/>
    <x v="271"/>
    <x v="287"/>
    <x v="112"/>
    <x v="259"/>
    <x v="274"/>
    <x v="291"/>
    <x v="206"/>
    <x v="287"/>
    <x v="277"/>
    <n v="173.8"/>
    <n v="167.4"/>
    <n v="174.1"/>
    <x v="118"/>
  </r>
  <r>
    <x v="2"/>
    <x v="9"/>
    <s v="November"/>
    <n v="167.4"/>
    <n v="209.4"/>
    <x v="270"/>
    <n v="172.3"/>
    <n v="188.9"/>
    <n v="160.69999999999999"/>
    <n v="183.1"/>
    <n v="170.5"/>
    <n v="122.1"/>
    <n v="202.8"/>
    <n v="170.4"/>
    <n v="189.5"/>
    <x v="262"/>
    <x v="298"/>
    <x v="288"/>
    <x v="272"/>
    <x v="288"/>
    <x v="112"/>
    <x v="260"/>
    <x v="275"/>
    <x v="292"/>
    <x v="223"/>
    <x v="288"/>
    <x v="278"/>
    <n v="173.6"/>
    <n v="171.1"/>
    <n v="176.5"/>
    <x v="118"/>
  </r>
  <r>
    <x v="0"/>
    <x v="9"/>
    <s v="December"/>
    <n v="168.8"/>
    <n v="206.9"/>
    <x v="271"/>
    <n v="173.4"/>
    <n v="193.9"/>
    <n v="156.69999999999999"/>
    <n v="150.19999999999999"/>
    <n v="170.5"/>
    <n v="121.2"/>
    <n v="207.5"/>
    <n v="176.8"/>
    <n v="187.7"/>
    <x v="263"/>
    <x v="293"/>
    <x v="289"/>
    <x v="273"/>
    <x v="289"/>
    <x v="0"/>
    <x v="261"/>
    <x v="276"/>
    <x v="293"/>
    <x v="239"/>
    <x v="289"/>
    <x v="279"/>
    <n v="175.7"/>
    <n v="175.5"/>
    <n v="177.1"/>
    <x v="119"/>
  </r>
  <r>
    <x v="1"/>
    <x v="9"/>
    <s v="December"/>
    <n v="170.2"/>
    <n v="212.9"/>
    <x v="272"/>
    <n v="173.9"/>
    <n v="179.1"/>
    <n v="159.5"/>
    <n v="178.7"/>
    <n v="171.3"/>
    <n v="123.1"/>
    <n v="200.5"/>
    <n v="162.80000000000001"/>
    <n v="193.3"/>
    <x v="264"/>
    <x v="299"/>
    <x v="290"/>
    <x v="274"/>
    <x v="290"/>
    <x v="113"/>
    <x v="262"/>
    <x v="277"/>
    <x v="294"/>
    <x v="222"/>
    <x v="290"/>
    <x v="261"/>
    <n v="176"/>
    <n v="168.2"/>
    <n v="174.1"/>
    <x v="119"/>
  </r>
  <r>
    <x v="2"/>
    <x v="9"/>
    <s v="December"/>
    <n v="169.2"/>
    <n v="209"/>
    <x v="273"/>
    <n v="173.6"/>
    <n v="188.5"/>
    <n v="158"/>
    <n v="159.9"/>
    <n v="170.8"/>
    <n v="121.8"/>
    <n v="205.2"/>
    <n v="171"/>
    <n v="190.3"/>
    <x v="265"/>
    <x v="300"/>
    <x v="291"/>
    <x v="275"/>
    <x v="277"/>
    <x v="113"/>
    <x v="263"/>
    <x v="278"/>
    <x v="295"/>
    <x v="240"/>
    <x v="291"/>
    <x v="280"/>
    <n v="175.8"/>
    <n v="172"/>
    <n v="175.7"/>
    <x v="119"/>
  </r>
  <r>
    <x v="0"/>
    <x v="10"/>
    <s v="January"/>
    <n v="174"/>
    <n v="208.3"/>
    <x v="274"/>
    <n v="174.3"/>
    <n v="192.6"/>
    <n v="156.30000000000001"/>
    <n v="142.9"/>
    <n v="170.7"/>
    <n v="120.3"/>
    <n v="210.5"/>
    <n v="176.9"/>
    <n v="188.5"/>
    <x v="250"/>
    <x v="298"/>
    <x v="292"/>
    <x v="276"/>
    <x v="291"/>
    <x v="0"/>
    <x v="264"/>
    <x v="279"/>
    <x v="296"/>
    <x v="241"/>
    <x v="292"/>
    <x v="281"/>
    <n v="178.4"/>
    <n v="176.5"/>
    <n v="177.8"/>
    <x v="120"/>
  </r>
  <r>
    <x v="1"/>
    <x v="10"/>
    <s v="January"/>
    <n v="173.3"/>
    <n v="215.2"/>
    <x v="275"/>
    <n v="175.2"/>
    <n v="178"/>
    <n v="160.5"/>
    <n v="175.3"/>
    <n v="171.2"/>
    <n v="122.7"/>
    <n v="204.3"/>
    <n v="163.69999999999999"/>
    <n v="194.3"/>
    <x v="266"/>
    <x v="301"/>
    <x v="293"/>
    <x v="277"/>
    <x v="292"/>
    <x v="114"/>
    <x v="265"/>
    <x v="280"/>
    <x v="297"/>
    <x v="203"/>
    <x v="293"/>
    <x v="261"/>
    <n v="178.8"/>
    <n v="168.9"/>
    <n v="174.9"/>
    <x v="120"/>
  </r>
  <r>
    <x v="2"/>
    <x v="10"/>
    <s v="January"/>
    <n v="173.8"/>
    <n v="210.7"/>
    <x v="276"/>
    <n v="174.6"/>
    <n v="187.2"/>
    <n v="158.30000000000001"/>
    <n v="153.9"/>
    <n v="170.9"/>
    <n v="121.1"/>
    <n v="208.4"/>
    <n v="171.4"/>
    <n v="191.2"/>
    <x v="267"/>
    <x v="256"/>
    <x v="294"/>
    <x v="278"/>
    <x v="293"/>
    <x v="114"/>
    <x v="263"/>
    <x v="281"/>
    <x v="290"/>
    <x v="242"/>
    <x v="294"/>
    <x v="282"/>
    <n v="178.6"/>
    <n v="172.8"/>
    <n v="176.5"/>
    <x v="120"/>
  </r>
  <r>
    <x v="0"/>
    <x v="10"/>
    <s v="February"/>
    <n v="174.2"/>
    <n v="205.2"/>
    <x v="277"/>
    <n v="177"/>
    <n v="183.4"/>
    <n v="167.2"/>
    <n v="140.9"/>
    <n v="170.4"/>
    <n v="119.1"/>
    <n v="212.1"/>
    <n v="177.6"/>
    <n v="189.9"/>
    <x v="268"/>
    <x v="284"/>
    <x v="295"/>
    <x v="279"/>
    <x v="294"/>
    <x v="0"/>
    <x v="266"/>
    <x v="282"/>
    <x v="298"/>
    <x v="243"/>
    <x v="295"/>
    <x v="283"/>
    <n v="180.7"/>
    <n v="177.9"/>
    <n v="178"/>
    <x v="121"/>
  </r>
  <r>
    <x v="1"/>
    <x v="10"/>
    <s v="February"/>
    <n v="174.7"/>
    <n v="212.2"/>
    <x v="278"/>
    <n v="177.9"/>
    <n v="172.2"/>
    <n v="172.1"/>
    <n v="175.8"/>
    <n v="172.2"/>
    <n v="121.9"/>
    <n v="204.8"/>
    <n v="164.9"/>
    <n v="196.6"/>
    <x v="269"/>
    <x v="302"/>
    <x v="296"/>
    <x v="280"/>
    <x v="295"/>
    <x v="115"/>
    <x v="261"/>
    <x v="283"/>
    <x v="299"/>
    <x v="244"/>
    <x v="296"/>
    <x v="284"/>
    <n v="181.4"/>
    <n v="170"/>
    <n v="176.3"/>
    <x v="121"/>
  </r>
  <r>
    <x v="2"/>
    <x v="10"/>
    <s v="February"/>
    <n v="174.4"/>
    <n v="207.7"/>
    <x v="260"/>
    <n v="177.3"/>
    <n v="179.3"/>
    <n v="169.5"/>
    <n v="152.69999999999999"/>
    <n v="171"/>
    <n v="120"/>
    <n v="209.7"/>
    <n v="172.3"/>
    <n v="193"/>
    <x v="270"/>
    <x v="303"/>
    <x v="297"/>
    <x v="258"/>
    <x v="296"/>
    <x v="115"/>
    <x v="267"/>
    <x v="284"/>
    <x v="300"/>
    <x v="245"/>
    <x v="297"/>
    <x v="285"/>
    <n v="181"/>
    <n v="174.1"/>
    <n v="177.2"/>
    <x v="121"/>
  </r>
  <r>
    <x v="0"/>
    <x v="10"/>
    <s v="March"/>
    <n v="174.3"/>
    <n v="205.2"/>
    <x v="277"/>
    <n v="177"/>
    <n v="183.3"/>
    <n v="167.2"/>
    <n v="140.9"/>
    <n v="170.5"/>
    <n v="119.1"/>
    <n v="212.1"/>
    <n v="177.6"/>
    <n v="189.9"/>
    <x v="268"/>
    <x v="304"/>
    <x v="295"/>
    <x v="279"/>
    <x v="294"/>
    <x v="0"/>
    <x v="268"/>
    <x v="282"/>
    <x v="298"/>
    <x v="243"/>
    <x v="295"/>
    <x v="283"/>
    <n v="180.7"/>
    <n v="177.9"/>
    <n v="178"/>
    <x v="122"/>
  </r>
  <r>
    <x v="1"/>
    <x v="10"/>
    <s v="March"/>
    <n v="174.7"/>
    <n v="212.2"/>
    <x v="278"/>
    <n v="177.9"/>
    <n v="172.2"/>
    <n v="172.1"/>
    <n v="175.9"/>
    <n v="172.2"/>
    <n v="121.9"/>
    <n v="204.8"/>
    <n v="164.9"/>
    <n v="196.6"/>
    <x v="271"/>
    <x v="302"/>
    <x v="298"/>
    <x v="280"/>
    <x v="295"/>
    <x v="115"/>
    <x v="269"/>
    <x v="283"/>
    <x v="299"/>
    <x v="244"/>
    <x v="296"/>
    <x v="284"/>
    <n v="181.5"/>
    <n v="170"/>
    <n v="176.3"/>
    <x v="122"/>
  </r>
  <r>
    <x v="2"/>
    <x v="10"/>
    <s v="March"/>
    <n v="174.4"/>
    <n v="207.7"/>
    <x v="260"/>
    <n v="177.3"/>
    <n v="179.2"/>
    <n v="169.5"/>
    <n v="152.80000000000001"/>
    <n v="171.1"/>
    <n v="120"/>
    <n v="209.7"/>
    <n v="172.3"/>
    <n v="193"/>
    <x v="270"/>
    <x v="303"/>
    <x v="283"/>
    <x v="258"/>
    <x v="296"/>
    <x v="115"/>
    <x v="258"/>
    <x v="284"/>
    <x v="300"/>
    <x v="245"/>
    <x v="297"/>
    <x v="285"/>
    <n v="181"/>
    <n v="174.1"/>
    <n v="177.2"/>
    <x v="122"/>
  </r>
  <r>
    <x v="0"/>
    <x v="10"/>
    <s v="April"/>
    <n v="173.3"/>
    <n v="206.9"/>
    <x v="250"/>
    <n v="178.2"/>
    <n v="178.5"/>
    <n v="173.7"/>
    <n v="142.80000000000001"/>
    <n v="172.8"/>
    <n v="120.4"/>
    <n v="215.5"/>
    <n v="178.2"/>
    <n v="190.5"/>
    <x v="254"/>
    <x v="303"/>
    <x v="299"/>
    <x v="281"/>
    <x v="297"/>
    <x v="92"/>
    <x v="270"/>
    <x v="285"/>
    <x v="301"/>
    <x v="246"/>
    <x v="298"/>
    <x v="286"/>
    <n v="183.8"/>
    <n v="178.9"/>
    <n v="178.8"/>
    <x v="123"/>
  </r>
  <r>
    <x v="1"/>
    <x v="10"/>
    <s v="April"/>
    <n v="174.8"/>
    <n v="213.7"/>
    <x v="279"/>
    <n v="178.8"/>
    <n v="168.7"/>
    <n v="179.2"/>
    <n v="179.9"/>
    <n v="174.7"/>
    <n v="123.1"/>
    <n v="207.8"/>
    <n v="165.5"/>
    <n v="197"/>
    <x v="272"/>
    <x v="305"/>
    <x v="300"/>
    <x v="282"/>
    <x v="298"/>
    <x v="116"/>
    <x v="267"/>
    <x v="286"/>
    <x v="302"/>
    <x v="209"/>
    <x v="299"/>
    <x v="287"/>
    <n v="184.4"/>
    <n v="170.9"/>
    <n v="177.4"/>
    <x v="123"/>
  </r>
  <r>
    <x v="2"/>
    <x v="10"/>
    <s v="April"/>
    <n v="173.8"/>
    <n v="209.3"/>
    <x v="256"/>
    <n v="178.4"/>
    <n v="174.9"/>
    <n v="176.3"/>
    <n v="155.4"/>
    <n v="173.4"/>
    <n v="121.3"/>
    <n v="212.9"/>
    <n v="172.9"/>
    <n v="193.5"/>
    <x v="273"/>
    <x v="297"/>
    <x v="301"/>
    <x v="283"/>
    <x v="299"/>
    <x v="116"/>
    <x v="271"/>
    <x v="287"/>
    <x v="303"/>
    <x v="247"/>
    <x v="300"/>
    <x v="288"/>
    <n v="184"/>
    <n v="175"/>
    <n v="178.1"/>
    <x v="123"/>
  </r>
  <r>
    <x v="0"/>
    <x v="10"/>
    <s v="May"/>
    <n v="173.2"/>
    <n v="211.5"/>
    <x v="280"/>
    <n v="179.6"/>
    <n v="173.3"/>
    <n v="169"/>
    <n v="148.69999999999999"/>
    <n v="174.9"/>
    <n v="121.9"/>
    <n v="221"/>
    <n v="178.7"/>
    <n v="191.1"/>
    <x v="274"/>
    <x v="306"/>
    <x v="302"/>
    <x v="284"/>
    <x v="300"/>
    <x v="0"/>
    <x v="272"/>
    <x v="288"/>
    <x v="304"/>
    <x v="248"/>
    <x v="301"/>
    <x v="289"/>
    <n v="184.9"/>
    <n v="179.5"/>
    <n v="179.8"/>
    <x v="124"/>
  </r>
  <r>
    <x v="1"/>
    <x v="10"/>
    <s v="May"/>
    <n v="174.7"/>
    <n v="219.4"/>
    <x v="281"/>
    <n v="179.4"/>
    <n v="164.4"/>
    <n v="175.8"/>
    <n v="185"/>
    <n v="176.9"/>
    <n v="124.2"/>
    <n v="211.9"/>
    <n v="165.9"/>
    <n v="197.7"/>
    <x v="275"/>
    <x v="307"/>
    <x v="303"/>
    <x v="285"/>
    <x v="301"/>
    <x v="117"/>
    <x v="273"/>
    <x v="289"/>
    <x v="305"/>
    <x v="249"/>
    <x v="302"/>
    <x v="290"/>
    <n v="185.6"/>
    <n v="171.6"/>
    <n v="178.2"/>
    <x v="124"/>
  </r>
  <r>
    <x v="2"/>
    <x v="10"/>
    <s v="May"/>
    <n v="173.7"/>
    <n v="214.3"/>
    <x v="282"/>
    <n v="179.5"/>
    <n v="170"/>
    <n v="172.2"/>
    <n v="161"/>
    <n v="175.6"/>
    <n v="122.7"/>
    <n v="218"/>
    <n v="173.4"/>
    <n v="194.2"/>
    <x v="276"/>
    <x v="308"/>
    <x v="304"/>
    <x v="286"/>
    <x v="302"/>
    <x v="117"/>
    <x v="261"/>
    <x v="290"/>
    <x v="306"/>
    <x v="250"/>
    <x v="289"/>
    <x v="291"/>
    <n v="185.2"/>
    <n v="175.7"/>
    <n v="179.1"/>
    <x v="124"/>
  </r>
  <r>
    <x v="3"/>
    <x v="11"/>
    <m/>
    <m/>
    <m/>
    <x v="283"/>
    <m/>
    <m/>
    <m/>
    <m/>
    <m/>
    <m/>
    <m/>
    <m/>
    <m/>
    <x v="277"/>
    <x v="309"/>
    <x v="305"/>
    <x v="287"/>
    <x v="303"/>
    <x v="118"/>
    <x v="274"/>
    <x v="291"/>
    <x v="307"/>
    <x v="251"/>
    <x v="303"/>
    <x v="292"/>
    <m/>
    <m/>
    <m/>
    <x v="125"/>
  </r>
  <r>
    <x v="3"/>
    <x v="11"/>
    <m/>
    <m/>
    <m/>
    <x v="283"/>
    <m/>
    <m/>
    <m/>
    <m/>
    <m/>
    <m/>
    <m/>
    <m/>
    <m/>
    <x v="277"/>
    <x v="309"/>
    <x v="305"/>
    <x v="287"/>
    <x v="303"/>
    <x v="118"/>
    <x v="274"/>
    <x v="291"/>
    <x v="307"/>
    <x v="251"/>
    <x v="303"/>
    <x v="292"/>
    <m/>
    <m/>
    <m/>
    <x v="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C5323-6E0C-4DE9-85BC-8446563698F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AB15" firstHeaderRow="0" firstDataRow="1" firstDataCol="1" rowPageCount="1" colPageCount="1"/>
  <pivotFields count="30">
    <pivotField axis="axisPage" multipleItemSelectionAllowed="1" showAll="0">
      <items count="6">
        <item h="1" x="3"/>
        <item h="1" x="0"/>
        <item x="2"/>
        <item h="1" x="1"/>
        <item h="1" x="4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</colItems>
  <pageFields count="1">
    <pageField fld="0" hier="-1"/>
  </pageFields>
  <dataFields count="27">
    <dataField name="Average of Cereals and products" fld="3" subtotal="average" baseField="0" baseItem="2"/>
    <dataField name="Average of Meat and fish" fld="4" subtotal="average" baseField="0" baseItem="2"/>
    <dataField name="Average of Egg" fld="5" subtotal="average" baseField="0" baseItem="0"/>
    <dataField name="Average of Milk and products" fld="6" subtotal="average" baseField="0" baseItem="0"/>
    <dataField name="Average of Oils and fats" fld="7" subtotal="average" baseField="0" baseItem="0"/>
    <dataField name="Average of Fruits" fld="8" subtotal="average" baseField="0" baseItem="0"/>
    <dataField name="Average of Vegetables" fld="9" subtotal="average" baseField="0" baseItem="0"/>
    <dataField name="Average of Pulses and products" fld="10" subtotal="average" baseField="0" baseItem="0"/>
    <dataField name="Average of Sugar and Confectionery" fld="11" subtotal="average" baseField="0" baseItem="0"/>
    <dataField name="Average of Spices" fld="12" subtotal="average" baseField="0" baseItem="0"/>
    <dataField name="Average of Non-alcoholic beverages" fld="13" subtotal="average" baseField="0" baseItem="0"/>
    <dataField name="Average of Prepared meals, s149.08cks, sweets etc." fld="14" subtotal="average" baseField="0" baseItem="0"/>
    <dataField name="Average of Food and beverages" fld="15" subtotal="average" baseField="0" baseItem="0"/>
    <dataField name="Average of Pan, tobacco and intoxicants" fld="16" subtotal="average" baseField="0" baseItem="0"/>
    <dataField name="Average of Clothing" fld="17" subtotal="average" baseField="0" baseItem="0"/>
    <dataField name="Average of Footwear" fld="18" subtotal="average" baseField="0" baseItem="0"/>
    <dataField name="Average of Clothing and footwear" fld="19" subtotal="average" baseField="0" baseItem="0"/>
    <dataField name="Average of Fuel and light" fld="21" subtotal="average" baseField="0" baseItem="0"/>
    <dataField name="Average of Housing" fld="20" subtotal="average" baseField="0" baseItem="0"/>
    <dataField name="Average of Household goods and services" fld="22" subtotal="average" baseField="0" baseItem="0"/>
    <dataField name="Average of Health" fld="23" subtotal="average" baseField="0" baseItem="0"/>
    <dataField name="Average of Transport and communication" fld="24" subtotal="average" baseField="0" baseItem="0"/>
    <dataField name="Average of Recreation and amusement" fld="25" subtotal="average" baseField="0" baseItem="0"/>
    <dataField name="Average of Education" fld="26" subtotal="average" baseField="0" baseItem="0"/>
    <dataField name="Average of Perso133.35l care and effects" fld="27" subtotal="average" baseField="0" baseItem="0"/>
    <dataField name="Average of Miscellaneous" fld="28" subtotal="average" baseField="0" baseItem="0"/>
    <dataField name="Average of General index" fld="2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E7FA0-ED00-42A4-BE28-C34C5CEBC6CB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N16" firstHeaderRow="0" firstDataRow="1" firstDataCol="1" rowPageCount="1" colPageCount="1"/>
  <pivotFields count="31">
    <pivotField axis="axisPage" showAll="0">
      <items count="6">
        <item m="1" x="4"/>
        <item x="0"/>
        <item x="2"/>
        <item x="1"/>
        <item x="3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5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h="1" m="1" x="129"/>
        <item h="1" m="1" x="141"/>
        <item h="1" m="1" x="153"/>
        <item h="1" m="1" x="165"/>
        <item h="1" m="1" x="177"/>
        <item h="1" m="1" x="189"/>
        <item h="1" m="1" x="212"/>
        <item h="1" m="1" x="224"/>
        <item h="1" m="1" x="236"/>
        <item h="1" m="1" x="248"/>
        <item h="1" m="1" x="133"/>
        <item h="1" m="1" x="145"/>
        <item h="1" m="1" x="157"/>
        <item h="1" m="1" x="169"/>
        <item h="1" m="1" x="181"/>
        <item h="1" m="1" x="193"/>
        <item h="1" m="1" x="204"/>
        <item h="1" m="1" x="216"/>
        <item h="1" m="1" x="228"/>
        <item h="1" m="1" x="240"/>
        <item h="1" m="1" x="137"/>
        <item h="1" m="1" x="149"/>
        <item h="1" m="1" x="161"/>
        <item h="1" m="1" x="173"/>
        <item h="1" m="1" x="185"/>
        <item h="1" m="1" x="197"/>
        <item h="1" m="1" x="208"/>
        <item h="1" m="1" x="220"/>
        <item h="1" m="1" x="232"/>
        <item h="1" m="1" x="244"/>
        <item h="1" m="1" x="127"/>
        <item h="1" m="1" x="139"/>
        <item h="1" m="1" x="151"/>
        <item h="1" m="1" x="163"/>
        <item h="1" m="1" x="175"/>
        <item h="1" m="1" x="187"/>
        <item h="1" m="1" x="199"/>
        <item h="1" m="1" x="210"/>
        <item h="1" m="1" x="222"/>
        <item h="1" m="1" x="234"/>
        <item h="1" m="1" x="246"/>
        <item h="1" m="1" x="126"/>
        <item h="1" m="1" x="138"/>
        <item h="1" m="1" x="150"/>
        <item h="1" m="1" x="162"/>
        <item h="1" m="1" x="174"/>
        <item h="1" m="1" x="186"/>
        <item h="1" m="1" x="198"/>
        <item h="1" m="1" x="209"/>
        <item h="1" m="1" x="221"/>
        <item h="1" m="1" x="233"/>
        <item h="1" m="1" x="245"/>
        <item h="1" m="1" x="132"/>
        <item h="1" m="1" x="144"/>
        <item h="1" m="1" x="156"/>
        <item h="1" m="1" x="168"/>
        <item h="1" m="1" x="180"/>
        <item h="1" m="1" x="192"/>
        <item h="1" m="1" x="203"/>
        <item h="1" m="1" x="215"/>
        <item h="1" m="1" x="227"/>
        <item h="1" m="1" x="239"/>
        <item h="1" m="1" x="131"/>
        <item h="1" m="1" x="143"/>
        <item h="1" m="1" x="155"/>
        <item h="1" m="1" x="167"/>
        <item h="1" m="1" x="179"/>
        <item h="1" m="1" x="191"/>
        <item h="1" m="1" x="202"/>
        <item h="1" m="1" x="214"/>
        <item h="1" m="1" x="226"/>
        <item h="1" m="1" x="238"/>
        <item h="1" m="1" x="128"/>
        <item h="1" m="1" x="140"/>
        <item h="1" m="1" x="152"/>
        <item h="1" m="1" x="164"/>
        <item h="1" m="1" x="176"/>
        <item h="1" m="1" x="188"/>
        <item h="1" m="1" x="200"/>
        <item h="1" m="1" x="211"/>
        <item h="1" m="1" x="223"/>
        <item h="1" m="1" x="235"/>
        <item h="1" m="1" x="247"/>
        <item h="1" x="15"/>
        <item h="1" m="1" x="130"/>
        <item h="1" m="1" x="142"/>
        <item h="1" m="1" x="154"/>
        <item h="1" m="1" x="166"/>
        <item h="1" m="1" x="178"/>
        <item h="1" m="1" x="190"/>
        <item h="1" m="1" x="201"/>
        <item h="1" m="1" x="213"/>
        <item h="1" m="1" x="225"/>
        <item h="1" m="1" x="237"/>
        <item h="1" m="1" x="249"/>
        <item h="1" m="1" x="136"/>
        <item h="1" m="1" x="148"/>
        <item h="1" m="1" x="160"/>
        <item h="1" m="1" x="172"/>
        <item h="1" m="1" x="184"/>
        <item h="1" m="1" x="196"/>
        <item h="1" m="1" x="207"/>
        <item h="1" m="1" x="219"/>
        <item h="1" m="1" x="231"/>
        <item h="1" m="1" x="243"/>
        <item h="1" m="1" x="135"/>
        <item h="1" m="1" x="147"/>
        <item h="1" m="1" x="159"/>
        <item h="1" m="1" x="171"/>
        <item h="1" m="1" x="183"/>
        <item h="1" m="1" x="195"/>
        <item h="1" m="1" x="206"/>
        <item h="1" m="1" x="218"/>
        <item h="1" m="1" x="230"/>
        <item h="1" m="1" x="242"/>
        <item h="1" m="1" x="134"/>
        <item h="1" m="1" x="146"/>
        <item h="1" m="1" x="158"/>
        <item h="1" m="1" x="170"/>
        <item h="1" m="1" x="182"/>
        <item h="1" m="1" x="194"/>
        <item h="1" m="1" x="205"/>
        <item h="1" m="1" x="217"/>
        <item h="1" m="1" x="229"/>
        <item h="1" m="1" x="241"/>
        <item h="1" x="125"/>
        <item t="default"/>
      </items>
    </pivotField>
  </pivotFields>
  <rowFields count="1">
    <field x="30"/>
  </rowFields>
  <rowItems count="13"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0" item="3" hier="-1"/>
  </pageFields>
  <dataFields count="13">
    <dataField name="Average of Cereals and products" fld="3" subtotal="average" baseField="0" baseItem="0"/>
    <dataField name="Average of Meat and fish" fld="4" subtotal="average" baseField="0" baseItem="0"/>
    <dataField name="Average of Egg" fld="5" subtotal="average" baseField="0" baseItem="0"/>
    <dataField name="Average of Milk and products" fld="6" subtotal="average" baseField="0" baseItem="0"/>
    <dataField name="Average of Oils and fats" fld="7" subtotal="average" baseField="0" baseItem="0"/>
    <dataField name="Average of Fruits" fld="8" subtotal="average" baseField="0" baseItem="0"/>
    <dataField name="Average of Vegetables" fld="9" subtotal="average" baseField="0" baseItem="0"/>
    <dataField name="Average of Spices" fld="12" subtotal="average" baseField="0" baseItem="0"/>
    <dataField name="Average of Pulses and products" fld="10" subtotal="average" baseField="0" baseItem="0"/>
    <dataField name="Average of Non-alcoholic beverages" fld="13" subtotal="average" baseField="0" baseItem="0"/>
    <dataField name="Average of Sugar and Confectionery" fld="11" subtotal="average" baseField="0" baseItem="0"/>
    <dataField name="Sum of Food and beverages" fld="15" baseField="0" baseItem="0"/>
    <dataField name="Average of Prepared meals, s149.08cks, sweets etc.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C2779-4CF3-43BB-A28F-8924E5F22BEF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0" firstDataRow="1" firstDataCol="1" rowPageCount="1" colPageCount="1"/>
  <pivotFields count="31">
    <pivotField axis="axisPage" showAll="0">
      <items count="6">
        <item m="1" x="4"/>
        <item x="0"/>
        <item x="2"/>
        <item x="1"/>
        <item x="3"/>
        <item t="default"/>
      </items>
    </pivotField>
    <pivotField showAll="0">
      <items count="13">
        <item h="1" x="0"/>
        <item h="1" x="1"/>
        <item h="1" x="2"/>
        <item h="1" x="3"/>
        <item h="1" x="4"/>
        <item h="1" x="5"/>
        <item x="6"/>
        <item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axis="axisRow" showAll="0">
      <items count="25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x="83"/>
        <item x="84"/>
        <item x="85"/>
        <item x="86"/>
        <item x="87"/>
        <item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m="1" x="129"/>
        <item h="1" m="1" x="141"/>
        <item h="1" m="1" x="153"/>
        <item h="1" m="1" x="165"/>
        <item h="1" m="1" x="177"/>
        <item h="1" m="1" x="189"/>
        <item h="1" m="1" x="212"/>
        <item h="1" m="1" x="224"/>
        <item h="1" m="1" x="236"/>
        <item h="1" m="1" x="248"/>
        <item h="1" m="1" x="133"/>
        <item h="1" m="1" x="145"/>
        <item h="1" m="1" x="157"/>
        <item h="1" m="1" x="169"/>
        <item h="1" m="1" x="181"/>
        <item h="1" m="1" x="193"/>
        <item h="1" m="1" x="204"/>
        <item h="1" m="1" x="216"/>
        <item h="1" m="1" x="228"/>
        <item h="1" m="1" x="240"/>
        <item h="1" m="1" x="137"/>
        <item h="1" m="1" x="149"/>
        <item h="1" m="1" x="161"/>
        <item h="1" m="1" x="173"/>
        <item h="1" m="1" x="185"/>
        <item h="1" m="1" x="197"/>
        <item h="1" m="1" x="208"/>
        <item h="1" m="1" x="220"/>
        <item h="1" m="1" x="232"/>
        <item h="1" m="1" x="244"/>
        <item h="1" m="1" x="127"/>
        <item h="1" m="1" x="139"/>
        <item h="1" m="1" x="151"/>
        <item h="1" m="1" x="163"/>
        <item h="1" m="1" x="175"/>
        <item h="1" m="1" x="187"/>
        <item h="1" m="1" x="199"/>
        <item h="1" m="1" x="210"/>
        <item h="1" m="1" x="222"/>
        <item h="1" m="1" x="234"/>
        <item h="1" m="1" x="246"/>
        <item h="1" m="1" x="126"/>
        <item h="1" m="1" x="138"/>
        <item h="1" m="1" x="150"/>
        <item h="1" m="1" x="162"/>
        <item h="1" m="1" x="174"/>
        <item h="1" m="1" x="186"/>
        <item h="1" m="1" x="198"/>
        <item h="1" m="1" x="209"/>
        <item h="1" m="1" x="221"/>
        <item h="1" m="1" x="233"/>
        <item h="1" m="1" x="245"/>
        <item h="1" m="1" x="132"/>
        <item h="1" m="1" x="144"/>
        <item h="1" m="1" x="156"/>
        <item h="1" m="1" x="168"/>
        <item h="1" m="1" x="180"/>
        <item h="1" m="1" x="192"/>
        <item h="1" m="1" x="203"/>
        <item h="1" m="1" x="215"/>
        <item h="1" m="1" x="227"/>
        <item h="1" m="1" x="239"/>
        <item h="1" m="1" x="131"/>
        <item h="1" m="1" x="143"/>
        <item h="1" m="1" x="155"/>
        <item h="1" m="1" x="167"/>
        <item h="1" m="1" x="179"/>
        <item h="1" m="1" x="191"/>
        <item h="1" m="1" x="202"/>
        <item h="1" m="1" x="214"/>
        <item h="1" m="1" x="226"/>
        <item h="1" m="1" x="238"/>
        <item h="1" m="1" x="128"/>
        <item h="1" m="1" x="140"/>
        <item h="1" m="1" x="152"/>
        <item h="1" m="1" x="164"/>
        <item h="1" m="1" x="176"/>
        <item h="1" m="1" x="188"/>
        <item h="1" m="1" x="200"/>
        <item h="1" m="1" x="211"/>
        <item h="1" m="1" x="223"/>
        <item h="1" m="1" x="235"/>
        <item h="1" m="1" x="247"/>
        <item h="1" x="15"/>
        <item h="1" m="1" x="130"/>
        <item h="1" m="1" x="142"/>
        <item h="1" m="1" x="154"/>
        <item h="1" m="1" x="166"/>
        <item h="1" m="1" x="178"/>
        <item h="1" m="1" x="190"/>
        <item h="1" m="1" x="201"/>
        <item h="1" m="1" x="213"/>
        <item h="1" m="1" x="225"/>
        <item h="1" m="1" x="237"/>
        <item h="1" m="1" x="249"/>
        <item h="1" m="1" x="136"/>
        <item h="1" m="1" x="148"/>
        <item h="1" m="1" x="160"/>
        <item h="1" m="1" x="172"/>
        <item h="1" m="1" x="184"/>
        <item h="1" m="1" x="196"/>
        <item h="1" m="1" x="207"/>
        <item h="1" m="1" x="219"/>
        <item h="1" m="1" x="231"/>
        <item h="1" m="1" x="243"/>
        <item h="1" m="1" x="135"/>
        <item h="1" m="1" x="147"/>
        <item h="1" m="1" x="159"/>
        <item h="1" m="1" x="171"/>
        <item h="1" m="1" x="183"/>
        <item h="1" m="1" x="195"/>
        <item h="1" m="1" x="206"/>
        <item h="1" m="1" x="218"/>
        <item h="1" m="1" x="230"/>
        <item h="1" m="1" x="242"/>
        <item h="1" m="1" x="134"/>
        <item h="1" m="1" x="146"/>
        <item h="1" m="1" x="158"/>
        <item h="1" m="1" x="170"/>
        <item h="1" m="1" x="182"/>
        <item h="1" m="1" x="194"/>
        <item h="1" m="1" x="205"/>
        <item h="1" m="1" x="217"/>
        <item h="1" m="1" x="229"/>
        <item h="1" m="1" x="241"/>
        <item h="1" x="125"/>
        <item t="default"/>
      </items>
    </pivotField>
  </pivotFields>
  <rowFields count="1">
    <field x="30"/>
  </rowFields>
  <rowItems count="7">
    <i>
      <x v="82"/>
    </i>
    <i>
      <x v="83"/>
    </i>
    <i>
      <x v="84"/>
    </i>
    <i>
      <x v="85"/>
    </i>
    <i>
      <x v="86"/>
    </i>
    <i>
      <x v="8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0" item="1" hier="-1"/>
  </pageFields>
  <dataFields count="8">
    <dataField name="Average of Food and beverages" fld="15" subtotal="average" baseField="30" baseItem="82"/>
    <dataField name="Average of Pan, tobacco and intoxicants" fld="16" subtotal="average" baseField="30" baseItem="82"/>
    <dataField name="Average of Health" fld="23" subtotal="average" baseField="0" baseItem="0"/>
    <dataField name="Average of Fuel and light" fld="21" subtotal="average" baseField="0" baseItem="0"/>
    <dataField name="Average of Household goods and services" fld="22" subtotal="average" baseField="0" baseItem="0"/>
    <dataField name="Average of Transport and communication" fld="24" subtotal="average" baseField="0" baseItem="0"/>
    <dataField name="Average of Recreation and amusement" fld="25" subtotal="average" baseField="0" baseItem="0"/>
    <dataField name="Average of Education" fld="26" subtotal="average" baseField="30" baseItem="8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58474B-4722-47AF-A364-A77F946A43D8}" name="Table1" displayName="Table1" ref="A3:C13" totalsRowShown="0">
  <autoFilter ref="A3:C13" xr:uid="{F358474B-4722-47AF-A364-A77F946A43D8}"/>
  <tableColumns count="3">
    <tableColumn id="1" xr3:uid="{DD4CC7DE-F7CB-48B2-9C3C-4C09768462E0}" name="Boarder_category"/>
    <tableColumn id="2" xr3:uid="{2285CAAB-5977-46B3-B6A4-23DB83895A35}" name="CPI Index"/>
    <tableColumn id="3" xr3:uid="{E27AA0A4-E7FD-42B7-9661-1B4A0BDB3CDB}" name="Contribution" dataDxfId="46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288358-01D2-423B-BC5B-5564B016CE59}" name="Table14" displayName="Table14" ref="F3:H13" totalsRowShown="0">
  <autoFilter ref="F3:H13" xr:uid="{49288358-01D2-423B-BC5B-5564B016CE59}"/>
  <tableColumns count="3">
    <tableColumn id="1" xr3:uid="{CD94172B-6A82-403D-A127-186592F953E1}" name="Boarder_category"/>
    <tableColumn id="2" xr3:uid="{4317193E-D445-4CA7-A314-ED17C7DC8A12}" name="CPI Index"/>
    <tableColumn id="3" xr3:uid="{7613C59C-78C6-4DAE-A421-FE2BFEAD2A8C}" name="Contribution" dataDxfId="45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628E32-01A4-4504-B7AA-D78466F9716D}" name="Table145" displayName="Table145" ref="K3:M13" totalsRowShown="0">
  <autoFilter ref="K3:M13" xr:uid="{9E628E32-01A4-4504-B7AA-D78466F9716D}"/>
  <tableColumns count="3">
    <tableColumn id="1" xr3:uid="{BBCBE039-305F-4BE7-9643-1E5E789F8924}" name="Boarder_category"/>
    <tableColumn id="2" xr3:uid="{8C7FC26B-6BE1-41CC-B6FA-708641ED42B1}" name="CPI Index"/>
    <tableColumn id="3" xr3:uid="{3E682D35-0730-4512-B373-0D2CAD930C23}" name="Contribution" dataDxfId="44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BA54F1-408B-4156-AEE6-E810803C6BEA}" name="Table5" displayName="Table5" ref="A33:B40" totalsRowShown="0">
  <autoFilter ref="A33:B40" xr:uid="{C6BA54F1-408B-4156-AEE6-E810803C6BEA}"/>
  <tableColumns count="2">
    <tableColumn id="1" xr3:uid="{85E873A1-7A2F-45E8-8C0E-2B196B98898F}" name="Y-O-Y"/>
    <tableColumn id="2" xr3:uid="{BE47AB98-F55D-44C5-9091-5CF4B92C596C}" name="CPI Inflation" dataDxfId="43" dataCellStyle="Percent">
      <calculatedColumnFormula>(AD8-AD7)/AD7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E59DFD-FF9F-44E6-8F65-A3D1959D83B6}" name="Table6" displayName="Table6" ref="A18:XFD25" totalsRowShown="0">
  <autoFilter ref="A18:XFD25" xr:uid="{B4E59DFD-FF9F-44E6-8F65-A3D1959D83B6}"/>
  <tableColumns count="16384">
    <tableColumn id="1" xr3:uid="{824CC323-D4F3-4A0E-BDD6-54ABD6798EA1}" name="Column1"/>
    <tableColumn id="2" xr3:uid="{C4D7904A-B9F4-45CE-8737-02D96CD81578}" name="Column2" dataDxfId="42" dataCellStyle="Percent">
      <calculatedColumnFormula>(B8/B7*100-100)/100</calculatedColumnFormula>
    </tableColumn>
    <tableColumn id="3" xr3:uid="{D7BAB5A3-A6AF-4E55-B518-5D3CC012F477}" name="Column3" dataDxfId="41" dataCellStyle="Percent">
      <calculatedColumnFormula>(C8/C7*100-100)/100</calculatedColumnFormula>
    </tableColumn>
    <tableColumn id="4" xr3:uid="{912771A9-C805-4FCF-A37E-F1A15285A961}" name="Column4" dataDxfId="40" dataCellStyle="Percent">
      <calculatedColumnFormula>(D8/D7*100-100)/100</calculatedColumnFormula>
    </tableColumn>
    <tableColumn id="5" xr3:uid="{DFFF776D-879F-45DA-ABF2-4658AC2FCB66}" name="Column5" dataDxfId="39" dataCellStyle="Percent">
      <calculatedColumnFormula>(E8/E7*100-100)/100</calculatedColumnFormula>
    </tableColumn>
    <tableColumn id="6" xr3:uid="{AF0DF644-CE3B-4742-B0B4-7104BC803C9F}" name="Column6" dataDxfId="38" dataCellStyle="Percent">
      <calculatedColumnFormula>(F8/F7*100-100)/100</calculatedColumnFormula>
    </tableColumn>
    <tableColumn id="7" xr3:uid="{E84D817F-081C-4F84-98C6-62D812336E70}" name="Column7" dataDxfId="37" dataCellStyle="Percent">
      <calculatedColumnFormula>(G8/G7*100-100)/100</calculatedColumnFormula>
    </tableColumn>
    <tableColumn id="8" xr3:uid="{454D00BE-F947-490B-BB50-8FFA7CA2FDEA}" name="Column8" dataDxfId="36" dataCellStyle="Percent">
      <calculatedColumnFormula>(H8/H7*100-100)/100</calculatedColumnFormula>
    </tableColumn>
    <tableColumn id="9" xr3:uid="{895F760F-CB8B-4ADC-862C-7129389D587E}" name="Column9" dataDxfId="35" dataCellStyle="Percent">
      <calculatedColumnFormula>(I8/I7*100-100)/100</calculatedColumnFormula>
    </tableColumn>
    <tableColumn id="10" xr3:uid="{0076ACFC-5CFE-4BDB-A8C9-AD2822FC9BAB}" name="Column10" dataDxfId="34" dataCellStyle="Percent">
      <calculatedColumnFormula>(J8/J7*100-100)/100</calculatedColumnFormula>
    </tableColumn>
    <tableColumn id="11" xr3:uid="{A6A2E9E7-EBD9-4DD8-8F94-4ADE0BB53C27}" name="Column11" dataDxfId="33" dataCellStyle="Percent">
      <calculatedColumnFormula>(K8/K7*100-100)/100</calculatedColumnFormula>
    </tableColumn>
    <tableColumn id="12" xr3:uid="{DCE1ED69-4CB4-4740-B0CE-94611FD44A1F}" name="Column12" dataDxfId="32" dataCellStyle="Percent">
      <calculatedColumnFormula>(L8/L7*100-100)/100</calculatedColumnFormula>
    </tableColumn>
    <tableColumn id="13" xr3:uid="{A6FCC0A7-EB7B-4E06-B69F-EA5033F123D5}" name="Column13" dataDxfId="31" dataCellStyle="Percent">
      <calculatedColumnFormula>(M8/M7*100-100)/100</calculatedColumnFormula>
    </tableColumn>
    <tableColumn id="14" xr3:uid="{F5326635-D8A6-4A93-8EF4-2116F6E4E375}" name="Column14" dataDxfId="30" dataCellStyle="Percent">
      <calculatedColumnFormula>(N8/N7*100-100)/100</calculatedColumnFormula>
    </tableColumn>
    <tableColumn id="15" xr3:uid="{AFF38D07-70FE-4F2C-9CE8-DB31A7CDC363}" name="Column15" dataDxfId="29" dataCellStyle="Percent">
      <calculatedColumnFormula>(O8/O7*100-100)/100</calculatedColumnFormula>
    </tableColumn>
    <tableColumn id="16" xr3:uid="{BEF64C6F-8DA9-4061-8363-7829FABEC721}" name="Column16" dataDxfId="28" dataCellStyle="Percent">
      <calculatedColumnFormula>(P8/P7*100-100)/100</calculatedColumnFormula>
    </tableColumn>
    <tableColumn id="17" xr3:uid="{0FD44413-B5D4-435E-84E4-90EAA2D2D1FE}" name="Column17" dataDxfId="27" dataCellStyle="Percent">
      <calculatedColumnFormula>(Q8/Q7*100-100)/100</calculatedColumnFormula>
    </tableColumn>
    <tableColumn id="18" xr3:uid="{787712EA-7530-4F87-886D-8DB5B6DFD287}" name="Column18" dataDxfId="26" dataCellStyle="Percent">
      <calculatedColumnFormula>(R8/R7*100-100)/100</calculatedColumnFormula>
    </tableColumn>
    <tableColumn id="19" xr3:uid="{E09B4A7A-E3B0-4C03-8FE4-5F35CAF67A32}" name="Column19" dataDxfId="25" dataCellStyle="Percent">
      <calculatedColumnFormula>(S8/S7*100-100)/100</calculatedColumnFormula>
    </tableColumn>
    <tableColumn id="20" xr3:uid="{63478E8C-3DCB-4B83-A589-7602542C248C}" name="Column20" dataDxfId="24" dataCellStyle="Percent">
      <calculatedColumnFormula>(T8/T7*100-100)/100</calculatedColumnFormula>
    </tableColumn>
    <tableColumn id="21" xr3:uid="{588B59B8-1871-41D1-AE94-1439A5753635}" name="Column21" dataDxfId="23" dataCellStyle="Percent">
      <calculatedColumnFormula>(U8/U7*100-100)/100</calculatedColumnFormula>
    </tableColumn>
    <tableColumn id="22" xr3:uid="{CE025898-AE8E-4554-ACEB-0AE51E30207F}" name="Column22" dataDxfId="22" dataCellStyle="Percent">
      <calculatedColumnFormula>(V8/V7*100-100)/100</calculatedColumnFormula>
    </tableColumn>
    <tableColumn id="23" xr3:uid="{0BE5B0F4-CDF9-4740-9AD1-86C995454C02}" name="Column23" dataDxfId="21" dataCellStyle="Percent">
      <calculatedColumnFormula>(W8/W7*100-100)/100</calculatedColumnFormula>
    </tableColumn>
    <tableColumn id="24" xr3:uid="{FD4AB237-D737-4EBF-9B48-EB199D050759}" name="Column24" dataDxfId="20" dataCellStyle="Percent">
      <calculatedColumnFormula>(X8/X7*100-100)/100</calculatedColumnFormula>
    </tableColumn>
    <tableColumn id="25" xr3:uid="{BF19E325-B3A0-489C-9D40-656B3E9BC586}" name="Column25" dataDxfId="19" dataCellStyle="Percent">
      <calculatedColumnFormula>(Y8/Y7*100-100)/100</calculatedColumnFormula>
    </tableColumn>
    <tableColumn id="26" xr3:uid="{B935668C-DBB2-45C8-91C2-864B39B6BE6E}" name="Column26" dataDxfId="18" dataCellStyle="Percent">
      <calculatedColumnFormula>(Z8/Z7*100-100)/100</calculatedColumnFormula>
    </tableColumn>
    <tableColumn id="27" xr3:uid="{BA43196B-D912-41FD-A7BF-2AFDE81BC0FB}" name="Column27" dataDxfId="17" dataCellStyle="Percent">
      <calculatedColumnFormula>(AA8/AA7*100-100)/100</calculatedColumnFormula>
    </tableColumn>
    <tableColumn id="28" xr3:uid="{ADFFC2BD-478E-4A8D-B2F9-04090C92BE5A}" name="Column28" dataDxfId="16" dataCellStyle="Percent">
      <calculatedColumnFormula>(AB8/AB7*100-100)/100</calculatedColumnFormula>
    </tableColumn>
    <tableColumn id="29" xr3:uid="{504F4FA8-9CD0-4DF7-8DE1-377586E30028}" name="Column29"/>
    <tableColumn id="30" xr3:uid="{23A387BB-31E6-4D0B-82A7-DF961C043D1D}" name="Column30"/>
    <tableColumn id="31" xr3:uid="{2A7F9783-9D4B-414B-B409-EF1033299001}" name="Column31"/>
    <tableColumn id="32" xr3:uid="{14891EA9-95EE-4738-B854-55A45F46FA96}" name="Column32"/>
    <tableColumn id="33" xr3:uid="{A84A9A21-0BE9-4B68-BACC-422A3C438D3F}" name="Column33"/>
    <tableColumn id="34" xr3:uid="{378D3FCC-64EB-488A-AD7B-00A08C1E2685}" name="Column34"/>
    <tableColumn id="35" xr3:uid="{BC7AB713-3A86-4971-85E7-1F47F7308FA3}" name="Column35"/>
    <tableColumn id="36" xr3:uid="{D41FA74D-9B91-482A-B1AA-99E23EB7755C}" name="Column36"/>
    <tableColumn id="37" xr3:uid="{8A0DF222-DB99-4D05-8F5E-4A8E87A2AD18}" name="Column37"/>
    <tableColumn id="38" xr3:uid="{71311013-D0B5-478A-8D8A-98F6BBBB2284}" name="Column38"/>
    <tableColumn id="39" xr3:uid="{7E0CA4E5-BA30-4F3B-9AD6-91820587646B}" name="Column39"/>
    <tableColumn id="40" xr3:uid="{C33EC7FC-C514-4F55-BF6C-C53D1A02649E}" name="Column40"/>
    <tableColumn id="41" xr3:uid="{993B457E-DF55-4635-9D84-8B428BA13BBD}" name="Column41"/>
    <tableColumn id="42" xr3:uid="{2DBFE908-F334-48F5-BCDF-3CCDC7AF246D}" name="Column42"/>
    <tableColumn id="43" xr3:uid="{E328C629-6906-4DB2-83E2-E2A5D8FA9E59}" name="Column43"/>
    <tableColumn id="44" xr3:uid="{884DC3D4-9D9E-46E5-844A-EE0713DB4E9D}" name="Column44"/>
    <tableColumn id="45" xr3:uid="{A47CF55D-4787-439B-AB74-4A7690E7E410}" name="Column45"/>
    <tableColumn id="46" xr3:uid="{9CF09485-B2F7-4A78-9CC5-8B78FE73AE74}" name="Column46"/>
    <tableColumn id="47" xr3:uid="{1CA92987-7CF8-49CB-96D3-C20E8AE5460C}" name="Column47"/>
    <tableColumn id="48" xr3:uid="{126BA55F-A02E-4687-8983-0E44C6226E6D}" name="Column48"/>
    <tableColumn id="49" xr3:uid="{B84F314D-951B-4CB1-AF90-526EE82F99BC}" name="Column49"/>
    <tableColumn id="50" xr3:uid="{5FFA3385-3F61-424C-A245-13A581AFDD31}" name="Column50"/>
    <tableColumn id="51" xr3:uid="{4A95D9BC-E932-453F-8129-ECE02819850F}" name="Column51"/>
    <tableColumn id="52" xr3:uid="{C96CC2C5-7BF0-4B58-8C2A-9B13C0EDCAD4}" name="Column52"/>
    <tableColumn id="53" xr3:uid="{8FDE222B-8C3E-4AB3-A6E3-E513F20C7D53}" name="Column53"/>
    <tableColumn id="54" xr3:uid="{79768C1D-62D8-4804-A8A9-CC00EE283814}" name="Column54"/>
    <tableColumn id="55" xr3:uid="{DA0343C8-CA05-461F-B43D-34B0885535BF}" name="Column55"/>
    <tableColumn id="56" xr3:uid="{01B80547-8B52-4507-AFD3-2D9BDEB9A33E}" name="Column56"/>
    <tableColumn id="57" xr3:uid="{A363492A-57BD-42BD-AE6E-169C07CE711C}" name="Column57"/>
    <tableColumn id="58" xr3:uid="{A2A694FE-57D1-49EE-A722-4D515352CBD8}" name="Column58"/>
    <tableColumn id="59" xr3:uid="{1D3FE678-76E1-4C7E-84BB-6EB1C90ABB39}" name="Column59"/>
    <tableColumn id="60" xr3:uid="{70B006B1-E08E-42D9-9F2E-A3B780CC9E23}" name="Column60"/>
    <tableColumn id="61" xr3:uid="{3B766F3F-543C-4407-8A32-E651B1D556A5}" name="Column61"/>
    <tableColumn id="62" xr3:uid="{8EF43D0F-E9D5-48A3-B054-1E284771CE8C}" name="Column62"/>
    <tableColumn id="63" xr3:uid="{688C45A8-D02F-4E18-8531-381F2AD50823}" name="Column63"/>
    <tableColumn id="64" xr3:uid="{4EAD2A1D-2D1E-45AA-BD0E-2891F01F2A0C}" name="Column64"/>
    <tableColumn id="65" xr3:uid="{824EF1FC-5E8D-4E91-84F1-CC26033F63C8}" name="Column65"/>
    <tableColumn id="66" xr3:uid="{BD4AACC5-3026-4364-A16C-8588E623EF46}" name="Column66"/>
    <tableColumn id="67" xr3:uid="{99561D5E-56C2-40FB-85D2-02DBD01AF076}" name="Column67"/>
    <tableColumn id="68" xr3:uid="{9A686C1C-93A2-46A3-AD5D-7338C471AF15}" name="Column68"/>
    <tableColumn id="69" xr3:uid="{062B2A46-B65E-48D7-BE26-A1A974FED73B}" name="Column69"/>
    <tableColumn id="70" xr3:uid="{4B460075-65C7-4897-B99D-9874F3E5B7CC}" name="Column70"/>
    <tableColumn id="71" xr3:uid="{734F2DE9-1B2B-48F6-8E07-308BE88A8D3C}" name="Column71"/>
    <tableColumn id="72" xr3:uid="{B4FA74E2-B8EF-44F3-B23D-4C6F752547C8}" name="Column72"/>
    <tableColumn id="73" xr3:uid="{AFB3BFA5-1E0E-4AC2-9E68-D94E060C94C9}" name="Column73"/>
    <tableColumn id="74" xr3:uid="{7C640F7F-BFD4-4AA8-B8E2-482954C82851}" name="Column74"/>
    <tableColumn id="75" xr3:uid="{7B3BB407-B1A4-4A0B-A117-099DA7731046}" name="Column75"/>
    <tableColumn id="76" xr3:uid="{E6F62BAB-2BA5-4770-8FE8-C7BE5AB7795C}" name="Column76"/>
    <tableColumn id="77" xr3:uid="{F74AC438-8CBA-45A5-9222-AA6B38479181}" name="Column77"/>
    <tableColumn id="78" xr3:uid="{DA0D86A5-E616-47F6-88B0-8819C70CCC1D}" name="Column78"/>
    <tableColumn id="79" xr3:uid="{5C11CEDC-BA19-4B25-987A-99546F5D006D}" name="Column79"/>
    <tableColumn id="80" xr3:uid="{C5C66623-F507-475D-A1C8-8799589E0EAC}" name="Column80"/>
    <tableColumn id="81" xr3:uid="{5F8F1FCD-83EB-443D-8A96-238479273EB7}" name="Column81"/>
    <tableColumn id="82" xr3:uid="{C308E38B-5532-40DF-96D0-63BF5CB47F19}" name="Column82"/>
    <tableColumn id="83" xr3:uid="{657EE97D-5BDB-4B15-A277-E92D20C52B19}" name="Column83"/>
    <tableColumn id="84" xr3:uid="{F2104EEE-C49F-48CB-A98E-03EFBBF0FB02}" name="Column84"/>
    <tableColumn id="85" xr3:uid="{5938E52B-43BC-43B0-9A99-9AE92A36FA1E}" name="Column85"/>
    <tableColumn id="86" xr3:uid="{B1C7DC16-14CF-468A-A43A-A746FC2C85AC}" name="Column86"/>
    <tableColumn id="87" xr3:uid="{0FB311F7-5903-4317-9E96-693092AAC7D9}" name="Column87"/>
    <tableColumn id="88" xr3:uid="{73F33E51-D7F3-4498-AA6F-200867F6CC9A}" name="Column88"/>
    <tableColumn id="89" xr3:uid="{25A0496B-3461-4F60-82CA-5F8F0BFFDF7E}" name="Column89"/>
    <tableColumn id="90" xr3:uid="{DD0F9FFF-296E-42FA-B931-9C0FDD3FB5D4}" name="Column90"/>
    <tableColumn id="91" xr3:uid="{C9B5D9BA-41EA-4023-A27D-321E3292665E}" name="Column91"/>
    <tableColumn id="92" xr3:uid="{34C7D1DE-41D0-4CF5-8851-5B84833F58BA}" name="Column92"/>
    <tableColumn id="93" xr3:uid="{2006AB12-18FA-450E-B70D-92FB28E7FEEE}" name="Column93"/>
    <tableColumn id="94" xr3:uid="{99216654-02C8-4AE0-96AA-24F9682CD256}" name="Column94"/>
    <tableColumn id="95" xr3:uid="{CFCFB246-3B87-4944-A0D2-C47C0AFE02BA}" name="Column95"/>
    <tableColumn id="96" xr3:uid="{3E01BE6C-869E-4170-AA96-4D271470449D}" name="Column96"/>
    <tableColumn id="97" xr3:uid="{CF63B757-A74F-4160-BD3F-C28F033ADD16}" name="Column97"/>
    <tableColumn id="98" xr3:uid="{F63CAA8E-AFE8-402F-9EA3-566D895C1896}" name="Column98"/>
    <tableColumn id="99" xr3:uid="{CC606FF8-4E11-4CAA-B729-8E29F43EB5C1}" name="Column99"/>
    <tableColumn id="100" xr3:uid="{D1C003E5-B7AA-4A06-B349-3734AB665507}" name="Column100"/>
    <tableColumn id="101" xr3:uid="{540AFEB3-AD65-4E7E-A971-C1A6520A609D}" name="Column101"/>
    <tableColumn id="102" xr3:uid="{C5EB6B1C-6E8F-4B4C-9A93-506BEECD4BB6}" name="Column102"/>
    <tableColumn id="103" xr3:uid="{BB59A07A-E3D2-4873-BECD-9AABE9A9DFA3}" name="Column103"/>
    <tableColumn id="104" xr3:uid="{8C7555BA-2A7F-46F9-B276-65166841C9EF}" name="Column104"/>
    <tableColumn id="105" xr3:uid="{2E69DA81-1180-4A16-AF9B-E07C2834AC6A}" name="Column105"/>
    <tableColumn id="106" xr3:uid="{314238DC-368C-4DE3-A4E7-EBD688CA4615}" name="Column106"/>
    <tableColumn id="107" xr3:uid="{A948345B-A4FC-46D2-99BA-617FB31D769A}" name="Column107"/>
    <tableColumn id="108" xr3:uid="{F8BA6D11-0DF5-4304-850E-14866BBD8F10}" name="Column108"/>
    <tableColumn id="109" xr3:uid="{5B1578A0-61AA-4764-AC09-601D60843382}" name="Column109"/>
    <tableColumn id="110" xr3:uid="{E25060FA-EC77-4883-BBC3-C83F504BBAD1}" name="Column110"/>
    <tableColumn id="111" xr3:uid="{9630A0A3-095A-4D62-B8AD-343F9010B6B1}" name="Column111"/>
    <tableColumn id="112" xr3:uid="{A7FC5C61-4BBF-4BB8-AE0C-8FBF9F4DD13B}" name="Column112"/>
    <tableColumn id="113" xr3:uid="{2587CD75-68CA-451B-B6F6-329650A87D49}" name="Column113"/>
    <tableColumn id="114" xr3:uid="{E7D389FF-D39E-48D8-B374-1C79CD9389C7}" name="Column114"/>
    <tableColumn id="115" xr3:uid="{B5301069-CDA9-409A-B5F2-6F3117FF46DF}" name="Column115"/>
    <tableColumn id="116" xr3:uid="{0F537521-FA88-4F86-8E8B-685984FFADB9}" name="Column116"/>
    <tableColumn id="117" xr3:uid="{479A8BCB-C9EA-4313-A538-ECA2F04FA644}" name="Column117"/>
    <tableColumn id="118" xr3:uid="{F8F5BDA4-4014-4FE9-8AAD-DD496C5A1DB2}" name="Column118"/>
    <tableColumn id="119" xr3:uid="{9F142F59-F0E6-4885-B31F-EAA7A501E4AE}" name="Column119"/>
    <tableColumn id="120" xr3:uid="{501865AB-2956-4F44-BAB6-16675FAE4FE9}" name="Column120"/>
    <tableColumn id="121" xr3:uid="{6C473A90-C004-4AB5-87EF-882D1847A204}" name="Column121"/>
    <tableColumn id="122" xr3:uid="{06BB5350-0212-487F-8E1A-6BDA7C62317C}" name="Column122"/>
    <tableColumn id="123" xr3:uid="{8A04FA5F-8A3B-4E1F-A3AE-018E79FD5702}" name="Column123"/>
    <tableColumn id="124" xr3:uid="{5730E632-9112-4ABF-BFCE-006DEB901DD8}" name="Column124"/>
    <tableColumn id="125" xr3:uid="{9364FE44-0CD5-420E-9D78-D6B251C886CB}" name="Column125"/>
    <tableColumn id="126" xr3:uid="{7B3E7A3C-9E30-4ABB-9B6B-B42D7B932276}" name="Column126"/>
    <tableColumn id="127" xr3:uid="{66B3632E-1BCC-48BF-B117-F9D085C70AD7}" name="Column127"/>
    <tableColumn id="128" xr3:uid="{9237C331-AE6E-4AFF-95AD-5227BB6EBF20}" name="Column128"/>
    <tableColumn id="129" xr3:uid="{72F7EF49-3927-4110-BE7C-0482264608A8}" name="Column129"/>
    <tableColumn id="130" xr3:uid="{B553E0E1-B38C-4E16-BFD8-A4E14AD9240F}" name="Column130"/>
    <tableColumn id="131" xr3:uid="{62317736-F264-491C-8E3B-131836DD8847}" name="Column131"/>
    <tableColumn id="132" xr3:uid="{554F606C-1545-4150-8CEC-9612C529E174}" name="Column132"/>
    <tableColumn id="133" xr3:uid="{8DC8922F-C05F-4A79-B82B-E3BA6C0D8AE2}" name="Column133"/>
    <tableColumn id="134" xr3:uid="{5188F049-819F-47A1-87CF-BE0D04ABD978}" name="Column134"/>
    <tableColumn id="135" xr3:uid="{28331F37-CE8B-45AB-8348-BBD889DB03F2}" name="Column135"/>
    <tableColumn id="136" xr3:uid="{FF8D9FC8-FC09-460B-9AE4-D867BF297DE0}" name="Column136"/>
    <tableColumn id="137" xr3:uid="{B44C306D-BA79-4A03-8FBD-AFDFD3904269}" name="Column137"/>
    <tableColumn id="138" xr3:uid="{D0C17CFC-F9F4-45AA-A83C-13227312095D}" name="Column138"/>
    <tableColumn id="139" xr3:uid="{DAFD7CBE-F558-4B9A-B7C6-B6A4AB26D13A}" name="Column139"/>
    <tableColumn id="140" xr3:uid="{E6ACC36A-BBCE-481F-B2EC-A28E9B65BA1F}" name="Column140"/>
    <tableColumn id="141" xr3:uid="{617034CF-1022-439C-9D1E-BAD7104A657B}" name="Column141"/>
    <tableColumn id="142" xr3:uid="{C1405049-E98D-463E-9B1B-4400DDBF2E26}" name="Column142"/>
    <tableColumn id="143" xr3:uid="{9F3BD4F4-B4F1-4020-AA32-515CA5CEF052}" name="Column143"/>
    <tableColumn id="144" xr3:uid="{343AFEE9-885F-4271-8B53-C112152BB953}" name="Column144"/>
    <tableColumn id="145" xr3:uid="{D7E19019-ED65-4151-AC95-F5A6725E6C93}" name="Column145"/>
    <tableColumn id="146" xr3:uid="{0D1BB4DD-FB1C-482E-8CBE-3002CA7BD150}" name="Column146"/>
    <tableColumn id="147" xr3:uid="{695F5D3B-75A1-4677-BF82-C11E9D58D300}" name="Column147"/>
    <tableColumn id="148" xr3:uid="{1EEA8340-60E6-4337-997B-A78609D48B93}" name="Column148"/>
    <tableColumn id="149" xr3:uid="{6A9F32E9-ADF2-410C-AE75-A2D02EA9E8C8}" name="Column149"/>
    <tableColumn id="150" xr3:uid="{1911A262-D457-422D-9504-09A8F559C59B}" name="Column150"/>
    <tableColumn id="151" xr3:uid="{512081CE-7CA9-4903-9315-F4A78A3261EB}" name="Column151"/>
    <tableColumn id="152" xr3:uid="{CB8175A0-7C35-41FF-9FF1-1EB60CF75C76}" name="Column152"/>
    <tableColumn id="153" xr3:uid="{A98C70DE-CFD4-481C-B4E5-90B509AAD81D}" name="Column153"/>
    <tableColumn id="154" xr3:uid="{17ABBEC9-9A84-4830-835B-21F301752754}" name="Column154"/>
    <tableColumn id="155" xr3:uid="{FBBB1A35-CB5B-4D9F-859E-2DC280EA6F80}" name="Column155"/>
    <tableColumn id="156" xr3:uid="{FD5ABFB9-82D6-426C-9DD3-90025E58AB57}" name="Column156"/>
    <tableColumn id="157" xr3:uid="{E3A1EA61-DBAD-4C2F-9C07-C848C743F272}" name="Column157"/>
    <tableColumn id="158" xr3:uid="{78F3B83D-7D20-4ECD-BA37-92C5DC66E3A8}" name="Column158"/>
    <tableColumn id="159" xr3:uid="{EE9F396F-8D0D-411A-BD77-3D13F2477C4E}" name="Column159"/>
    <tableColumn id="160" xr3:uid="{B96FFE32-37B9-4E76-B186-C1FCCC775728}" name="Column160"/>
    <tableColumn id="161" xr3:uid="{8F112EC3-2D5D-40EB-A684-57DF3711A703}" name="Column161"/>
    <tableColumn id="162" xr3:uid="{68C61E7C-5A3C-4307-BE8F-150A6370CD0B}" name="Column162"/>
    <tableColumn id="163" xr3:uid="{8EA92AC5-FE0E-450F-A1BB-2C91A1059E09}" name="Column163"/>
    <tableColumn id="164" xr3:uid="{F89F258A-BAB4-41FB-A80E-03083B459128}" name="Column164"/>
    <tableColumn id="165" xr3:uid="{FBB17DF7-03F2-4074-9961-2EC70869A089}" name="Column165"/>
    <tableColumn id="166" xr3:uid="{D71C0FFF-9A11-496A-B8F6-7424C82C4DF8}" name="Column166"/>
    <tableColumn id="167" xr3:uid="{2ADC9C8E-7AEE-4BD1-A799-D284D34FBDA8}" name="Column167"/>
    <tableColumn id="168" xr3:uid="{5F0C30E1-B220-4C32-840F-C3C67171D30F}" name="Column168"/>
    <tableColumn id="169" xr3:uid="{EA318E4F-78B2-4D5C-AE2D-E9FC41997925}" name="Column169"/>
    <tableColumn id="170" xr3:uid="{333C2225-C0BF-43FA-86FC-4AFF960671A0}" name="Column170"/>
    <tableColumn id="171" xr3:uid="{3A7ECC82-4B32-403C-94E9-30C06042CA96}" name="Column171"/>
    <tableColumn id="172" xr3:uid="{D2066A08-C3EE-476E-A154-7A10303C4ED8}" name="Column172"/>
    <tableColumn id="173" xr3:uid="{247F4248-1A64-4F6C-8ACC-5A6C983810CD}" name="Column173"/>
    <tableColumn id="174" xr3:uid="{FFF3092C-88D5-4BD2-864C-07463FFCF51F}" name="Column174"/>
    <tableColumn id="175" xr3:uid="{A4EFBCC3-FBFF-4378-A2B2-B4BC8ACFBB48}" name="Column175"/>
    <tableColumn id="176" xr3:uid="{ACC9CA67-97BC-4EE7-A14A-8723ABCA45E5}" name="Column176"/>
    <tableColumn id="177" xr3:uid="{67E6C1C0-7E10-4B77-A9E7-A764207F3282}" name="Column177"/>
    <tableColumn id="178" xr3:uid="{E14AA9CE-E1CE-4D24-B0D1-168B40E10F08}" name="Column178"/>
    <tableColumn id="179" xr3:uid="{6C4ECF4E-C1F3-40DC-9678-7D3A12387BDE}" name="Column179"/>
    <tableColumn id="180" xr3:uid="{86160228-B7BE-482A-8ACA-1256C4EEEB01}" name="Column180"/>
    <tableColumn id="181" xr3:uid="{7BD97CCC-4318-46AC-A440-7EB93C3D60E9}" name="Column181"/>
    <tableColumn id="182" xr3:uid="{A9DDF81E-9115-48C6-9C9E-F1E1C12BD2B4}" name="Column182"/>
    <tableColumn id="183" xr3:uid="{0CFB8D8D-D910-4BD2-B3A3-62CF9C3659DD}" name="Column183"/>
    <tableColumn id="184" xr3:uid="{6575FB98-3B9D-4FD5-92A3-F4599C99F343}" name="Column184"/>
    <tableColumn id="185" xr3:uid="{AD60EBB3-D483-458D-9F11-69C2C1D52BA8}" name="Column185"/>
    <tableColumn id="186" xr3:uid="{E5A45ED0-900F-4144-8BBC-5C511514FBA9}" name="Column186"/>
    <tableColumn id="187" xr3:uid="{57559765-38E2-4608-91AB-922BF9BB4866}" name="Column187"/>
    <tableColumn id="188" xr3:uid="{04658B45-B3BC-424E-8F42-82558F097AFF}" name="Column188"/>
    <tableColumn id="189" xr3:uid="{220FBD45-FA98-47D3-80EF-026D56D20B7F}" name="Column189"/>
    <tableColumn id="190" xr3:uid="{5FB62539-68A8-4ECE-9930-1A4416D7505B}" name="Column190"/>
    <tableColumn id="191" xr3:uid="{01FBE959-C6EB-4C64-BC03-1BBE55C9AEB9}" name="Column191"/>
    <tableColumn id="192" xr3:uid="{08B7A6D0-C7CD-4142-AD11-9C214485552B}" name="Column192"/>
    <tableColumn id="193" xr3:uid="{0813AF9D-0998-42DC-BE7F-A20F263F47EE}" name="Column193"/>
    <tableColumn id="194" xr3:uid="{FB376CB1-BFDA-4881-AC15-45F83B434442}" name="Column194"/>
    <tableColumn id="195" xr3:uid="{4C0D0E3A-EA7D-4FE1-9013-BAF436607408}" name="Column195"/>
    <tableColumn id="196" xr3:uid="{B8C91312-0549-4896-B144-EFCD4A6E81A4}" name="Column196"/>
    <tableColumn id="197" xr3:uid="{5E17AAE9-1333-46CA-AB2C-CE05BDD2663F}" name="Column197"/>
    <tableColumn id="198" xr3:uid="{AD08189B-724D-4144-AD13-C5D8039D3705}" name="Column198"/>
    <tableColumn id="199" xr3:uid="{EF5E3645-5377-49A2-B1F4-18CA67AA74A8}" name="Column199"/>
    <tableColumn id="200" xr3:uid="{5F22BA86-E42C-4C33-B191-CE789E8F654B}" name="Column200"/>
    <tableColumn id="201" xr3:uid="{E5D55D32-F77A-41AC-9178-7A7B32905192}" name="Column201"/>
    <tableColumn id="202" xr3:uid="{DD20926B-24E4-46EE-BF67-93A5FFE72B02}" name="Column202"/>
    <tableColumn id="203" xr3:uid="{F4CBFA2B-7F6D-4DF0-84EF-A055D58028EB}" name="Column203"/>
    <tableColumn id="204" xr3:uid="{E7834F55-64B0-4221-9582-F6FAC78AE381}" name="Column204"/>
    <tableColumn id="205" xr3:uid="{194C937A-719C-4EAF-8CF7-E9A7B3C8B42D}" name="Column205"/>
    <tableColumn id="206" xr3:uid="{F2935B19-720B-497D-A721-49870874712B}" name="Column206"/>
    <tableColumn id="207" xr3:uid="{FD7290B6-E5EC-446D-B995-376475D38FC0}" name="Column207"/>
    <tableColumn id="208" xr3:uid="{A91E86DF-55B3-479A-B57B-D7361505EA7B}" name="Column208"/>
    <tableColumn id="209" xr3:uid="{DA1A6ADA-5403-4D64-B9C8-927F34C70A8F}" name="Column209"/>
    <tableColumn id="210" xr3:uid="{CEB36102-193C-450E-B361-0CBAC5C9AC7D}" name="Column210"/>
    <tableColumn id="211" xr3:uid="{7C8B4310-A5B3-43D1-9024-FD0CCF098327}" name="Column211"/>
    <tableColumn id="212" xr3:uid="{B6BE5E40-C213-4627-B59B-4D80E32915F2}" name="Column212"/>
    <tableColumn id="213" xr3:uid="{E0B21811-794D-453C-9E58-EC79D9CE2F1B}" name="Column213"/>
    <tableColumn id="214" xr3:uid="{1B06A39C-124C-456A-A14B-CFA2CBE2C093}" name="Column214"/>
    <tableColumn id="215" xr3:uid="{738972B1-3A00-4260-A444-521756A55609}" name="Column215"/>
    <tableColumn id="216" xr3:uid="{2B647070-420E-48FE-B0AC-6D26CAAC6B0F}" name="Column216"/>
    <tableColumn id="217" xr3:uid="{04EA87BF-AB46-4266-A899-DC6F6AE97D93}" name="Column217"/>
    <tableColumn id="218" xr3:uid="{C1FE138D-9CB3-4FD2-88BD-4C27238AECDF}" name="Column218"/>
    <tableColumn id="219" xr3:uid="{205A7F25-A3E7-4CC0-8142-A9AC5B87C0EC}" name="Column219"/>
    <tableColumn id="220" xr3:uid="{054A8143-AA91-466B-B2A9-0EAA672BADF0}" name="Column220"/>
    <tableColumn id="221" xr3:uid="{AD14EDF0-0B01-4BD3-920D-7219EF7318DE}" name="Column221"/>
    <tableColumn id="222" xr3:uid="{CBFF3718-9E59-4F83-BD75-8BEEC4DAEB1C}" name="Column222"/>
    <tableColumn id="223" xr3:uid="{7BC52163-D24A-450A-A152-DA3D1B4C2CC7}" name="Column223"/>
    <tableColumn id="224" xr3:uid="{60C56EEC-53B8-4040-AB2D-AC5DEC3D88D3}" name="Column224"/>
    <tableColumn id="225" xr3:uid="{CCA9EAD4-49E1-4AEE-BBD9-665616CF39DC}" name="Column225"/>
    <tableColumn id="226" xr3:uid="{59EA506C-F9E1-4D14-9551-FE8D357AE186}" name="Column226"/>
    <tableColumn id="227" xr3:uid="{7B70C3BC-D516-433F-826D-FF0FA890338D}" name="Column227"/>
    <tableColumn id="228" xr3:uid="{B9D946E9-1675-4B59-AC25-5C164C5EC8A6}" name="Column228"/>
    <tableColumn id="229" xr3:uid="{CD5E9F2C-BDE4-401D-AD4D-00ACC7DA58F2}" name="Column229"/>
    <tableColumn id="230" xr3:uid="{674D0059-3B65-4616-BBBD-E4AAB3E39DD6}" name="Column230"/>
    <tableColumn id="231" xr3:uid="{1E2BE7CD-AE76-4684-BF65-22549E590B73}" name="Column231"/>
    <tableColumn id="232" xr3:uid="{721841C0-45DE-491E-9D42-226DC6405C68}" name="Column232"/>
    <tableColumn id="233" xr3:uid="{2E7564BC-7713-4740-BA8B-21793BC4CF12}" name="Column233"/>
    <tableColumn id="234" xr3:uid="{5074BE9E-C60D-432F-9B61-53562E5908E4}" name="Column234"/>
    <tableColumn id="235" xr3:uid="{48C5105D-7952-42B8-AA2A-E1850390A6DB}" name="Column235"/>
    <tableColumn id="236" xr3:uid="{69B82563-1ADA-4DDD-9459-3EE40BD0CB98}" name="Column236"/>
    <tableColumn id="237" xr3:uid="{7222E56E-86E9-46E0-8FD3-7B577FF52397}" name="Column237"/>
    <tableColumn id="238" xr3:uid="{85996831-493F-488F-A965-0F1AC0EA9F69}" name="Column238"/>
    <tableColumn id="239" xr3:uid="{0C8D32CE-4F0D-4FF8-B760-86B8DE490284}" name="Column239"/>
    <tableColumn id="240" xr3:uid="{32D18C7D-46F5-41F0-BDF2-27A48F08D050}" name="Column240"/>
    <tableColumn id="241" xr3:uid="{49002704-6464-4CFA-84A9-26A23C79945E}" name="Column241"/>
    <tableColumn id="242" xr3:uid="{783539B1-4D32-421A-A44B-2401481CA70D}" name="Column242"/>
    <tableColumn id="243" xr3:uid="{444F6D10-800A-4A04-A8FE-D7291759303B}" name="Column243"/>
    <tableColumn id="244" xr3:uid="{312FEB2F-AEC5-4C01-BE97-51617C9049E7}" name="Column244"/>
    <tableColumn id="245" xr3:uid="{2B56BBCA-BD99-4A35-A692-D1C95E3BEF5F}" name="Column245"/>
    <tableColumn id="246" xr3:uid="{84FA6601-8677-4EC5-B094-B57CD1FEC175}" name="Column246"/>
    <tableColumn id="247" xr3:uid="{8AC4E8C6-1F43-44D6-85CE-E9272B343592}" name="Column247"/>
    <tableColumn id="248" xr3:uid="{BA5EF840-3597-4446-BC65-D8B9FC29FD21}" name="Column248"/>
    <tableColumn id="249" xr3:uid="{BFFD39EE-EF27-4B0C-842F-F6740F00B7C0}" name="Column249"/>
    <tableColumn id="250" xr3:uid="{AA6A980F-D8A9-48C4-9057-F1D7030BC3F3}" name="Column250"/>
    <tableColumn id="251" xr3:uid="{A9AA159B-F3DF-4650-90E9-FECDBCEC118B}" name="Column251"/>
    <tableColumn id="252" xr3:uid="{E591924F-FB47-4357-A13F-5931640B11F6}" name="Column252"/>
    <tableColumn id="253" xr3:uid="{D2BFECAB-3B5F-4E31-AED7-F0A2CFC53062}" name="Column253"/>
    <tableColumn id="254" xr3:uid="{E8957209-292F-48BE-BC1B-9554CF5DFD8E}" name="Column254"/>
    <tableColumn id="255" xr3:uid="{1B9E0DA6-B31C-4D0C-9D80-4ED1CCE7B6F0}" name="Column255"/>
    <tableColumn id="256" xr3:uid="{37EC0BB9-479A-47DD-B7E7-40088DD720D7}" name="Column256"/>
    <tableColumn id="257" xr3:uid="{690E7C18-7072-4770-946B-55DBF06DB78A}" name="Column257"/>
    <tableColumn id="258" xr3:uid="{0F7B05AB-68BB-40E5-84E6-5ECB8EA4C190}" name="Column258"/>
    <tableColumn id="259" xr3:uid="{1DD4984E-D6EE-437D-99DF-8610728EC24E}" name="Column259"/>
    <tableColumn id="260" xr3:uid="{0E80EE05-6DEE-4E04-AB7C-EBC8B7CE55CB}" name="Column260"/>
    <tableColumn id="261" xr3:uid="{BF1731E8-C8CB-42BE-8D56-44CB491C37CA}" name="Column261"/>
    <tableColumn id="262" xr3:uid="{6CEFD490-67F5-4E60-85EF-2A88A53AAE50}" name="Column262"/>
    <tableColumn id="263" xr3:uid="{E99A3324-4E02-4067-B0A3-64E0315B97CC}" name="Column263"/>
    <tableColumn id="264" xr3:uid="{664E1C09-7261-45B8-A5BE-27821E3562C6}" name="Column264"/>
    <tableColumn id="265" xr3:uid="{D5F4B920-ED6B-42FB-8BEF-B5F82FD32BFF}" name="Column265"/>
    <tableColumn id="266" xr3:uid="{DBD33498-29E8-48DF-A8D8-1E56A237E72D}" name="Column266"/>
    <tableColumn id="267" xr3:uid="{5475EFD3-F446-4392-95E7-B95137494762}" name="Column267"/>
    <tableColumn id="268" xr3:uid="{2CEEE0F1-EE0C-4CE9-B3F5-7DC2B779F015}" name="Column268"/>
    <tableColumn id="269" xr3:uid="{AF9E1399-19C3-4125-B416-BC1A365EA207}" name="Column269"/>
    <tableColumn id="270" xr3:uid="{8752ECD6-D030-44CD-9D27-B9FD0E2AF8FB}" name="Column270"/>
    <tableColumn id="271" xr3:uid="{699BC801-C8D9-4A6B-8116-12F0AB0A477E}" name="Column271"/>
    <tableColumn id="272" xr3:uid="{68CD58A8-437A-4044-B2F4-2D8BB318F5EF}" name="Column272"/>
    <tableColumn id="273" xr3:uid="{AFF095B6-E3DC-4E9E-8C37-02B3A2077F1B}" name="Column273"/>
    <tableColumn id="274" xr3:uid="{D8D72966-5EB2-4425-A1C7-C1F40729997E}" name="Column274"/>
    <tableColumn id="275" xr3:uid="{372C25A2-0B06-4263-869A-9A662AAF2F6B}" name="Column275"/>
    <tableColumn id="276" xr3:uid="{A5B09A07-CE82-438F-9680-2F7B39B706C9}" name="Column276"/>
    <tableColumn id="277" xr3:uid="{279563EC-1769-4ED2-A926-34BF5E1AA83E}" name="Column277"/>
    <tableColumn id="278" xr3:uid="{C7C1EECB-DB0C-4D31-9097-9514353711C2}" name="Column278"/>
    <tableColumn id="279" xr3:uid="{24725584-9B4B-498C-BA6E-C250E07476B8}" name="Column279"/>
    <tableColumn id="280" xr3:uid="{9D2F5340-404F-4349-9914-3D4592532355}" name="Column280"/>
    <tableColumn id="281" xr3:uid="{1609DF3C-C062-4E7D-878D-08AB2CF3C557}" name="Column281"/>
    <tableColumn id="282" xr3:uid="{FEAAA0D3-69B7-486F-8152-51E0CB7C3342}" name="Column282"/>
    <tableColumn id="283" xr3:uid="{B0A5642B-FDC5-4ADC-9F20-03E1F6D42AE2}" name="Column283"/>
    <tableColumn id="284" xr3:uid="{0A17626C-6933-40CB-B837-346F34270C6D}" name="Column284"/>
    <tableColumn id="285" xr3:uid="{FFF07EC8-4CB7-46F0-91D4-711913F74E38}" name="Column285"/>
    <tableColumn id="286" xr3:uid="{E11EFB15-53C9-4E4F-AE85-9F84304C6BC2}" name="Column286"/>
    <tableColumn id="287" xr3:uid="{FDF6614F-60A9-4338-9AA8-285FC19769E7}" name="Column287"/>
    <tableColumn id="288" xr3:uid="{9DFD772B-59A7-4650-915F-CF909734D9C2}" name="Column288"/>
    <tableColumn id="289" xr3:uid="{E2826E3A-4A7C-4264-B528-E00BFEC297B9}" name="Column289"/>
    <tableColumn id="290" xr3:uid="{BA1FC41E-112C-4B8B-9B88-7DCDE53F86DF}" name="Column290"/>
    <tableColumn id="291" xr3:uid="{A19BED81-1812-48F3-A398-CF5893FBF059}" name="Column291"/>
    <tableColumn id="292" xr3:uid="{E9504C47-6B7D-4C81-82F6-A75B7DD56086}" name="Column292"/>
    <tableColumn id="293" xr3:uid="{3A71B113-DE15-4EE8-958F-2E6D6B8F12A2}" name="Column293"/>
    <tableColumn id="294" xr3:uid="{C9DD88F6-52D0-4B0B-A0CF-B1D7FDD49525}" name="Column294"/>
    <tableColumn id="295" xr3:uid="{289CFDC1-1124-4CE9-AAA3-64ABF4D04905}" name="Column295"/>
    <tableColumn id="296" xr3:uid="{C9BADBC0-C625-43F5-9EBA-B9B5E5C5226D}" name="Column296"/>
    <tableColumn id="297" xr3:uid="{FFD5213D-3086-4ED0-8685-259FA56C3C7F}" name="Column297"/>
    <tableColumn id="298" xr3:uid="{8329A676-C0F6-4319-AB10-F33C0A1A006E}" name="Column298"/>
    <tableColumn id="299" xr3:uid="{D7A13E26-E366-4581-A5B5-D15DED00CEE0}" name="Column299"/>
    <tableColumn id="300" xr3:uid="{B1926371-5688-4371-B23C-E9687773E188}" name="Column300"/>
    <tableColumn id="301" xr3:uid="{AE8E8F72-0C34-40E2-9144-B1722C703728}" name="Column301"/>
    <tableColumn id="302" xr3:uid="{35D65127-61B7-4822-B98E-51B58436F4F7}" name="Column302"/>
    <tableColumn id="303" xr3:uid="{3C9A5E09-8B4F-43CE-9C34-C2ACD933E823}" name="Column303"/>
    <tableColumn id="304" xr3:uid="{749594FF-AFEB-4667-B53A-3A40A8E6A75B}" name="Column304"/>
    <tableColumn id="305" xr3:uid="{1BA4B077-19EF-4199-A1F0-544C36360BA1}" name="Column305"/>
    <tableColumn id="306" xr3:uid="{4058F2A1-8B98-41CC-9215-416F93823659}" name="Column306"/>
    <tableColumn id="307" xr3:uid="{E9E4B2B5-77DF-4575-9A74-7C749FCE923D}" name="Column307"/>
    <tableColumn id="308" xr3:uid="{0ED98366-F024-4CE2-B738-DDCB2D38453C}" name="Column308"/>
    <tableColumn id="309" xr3:uid="{DB6EA649-46BF-421D-AFB2-E6BFF1FA0AE1}" name="Column309"/>
    <tableColumn id="310" xr3:uid="{95FE6BFA-1D6D-4ABB-822F-3A3FD3134AEB}" name="Column310"/>
    <tableColumn id="311" xr3:uid="{4C008867-C44B-402E-B5A6-CEFD66EBA74D}" name="Column311"/>
    <tableColumn id="312" xr3:uid="{B14E469F-C497-47B0-A81E-3D966247FE1E}" name="Column312"/>
    <tableColumn id="313" xr3:uid="{3BE69C7B-7943-4EE0-8BD3-0B0AB56BCFB5}" name="Column313"/>
    <tableColumn id="314" xr3:uid="{C238C6DB-D3BB-4BA1-888E-1EA2C708A777}" name="Column314"/>
    <tableColumn id="315" xr3:uid="{45580F76-ACD1-48CD-A13D-4BF14582ECF9}" name="Column315"/>
    <tableColumn id="316" xr3:uid="{7A2CF836-39D0-4E1C-8EFF-1AB06972A274}" name="Column316"/>
    <tableColumn id="317" xr3:uid="{91B009E5-A562-4770-AA6D-2F1721110F51}" name="Column317"/>
    <tableColumn id="318" xr3:uid="{DDF5504B-7AA2-43AE-A900-350BFB482BD1}" name="Column318"/>
    <tableColumn id="319" xr3:uid="{73D7B190-BBF9-4C80-87F4-FC249AE28A1F}" name="Column319"/>
    <tableColumn id="320" xr3:uid="{1DA14D97-2579-4963-BD6E-5C11E933511B}" name="Column320"/>
    <tableColumn id="321" xr3:uid="{F094F75A-D441-4AE6-B928-292FE4506970}" name="Column321"/>
    <tableColumn id="322" xr3:uid="{5B04303F-578F-4BE4-868D-404659F5C614}" name="Column322"/>
    <tableColumn id="323" xr3:uid="{E4F3A810-4FEE-4044-A8F6-3CB7754B81D1}" name="Column323"/>
    <tableColumn id="324" xr3:uid="{21FABC70-1B77-4CFC-95E3-0F9EB15024B4}" name="Column324"/>
    <tableColumn id="325" xr3:uid="{D33674D5-F608-4BEC-871D-844E641FBCC6}" name="Column325"/>
    <tableColumn id="326" xr3:uid="{14EBB01E-A6BC-43FD-9C1C-ED4A38E4CAB8}" name="Column326"/>
    <tableColumn id="327" xr3:uid="{A4906FDE-8911-4AE4-AC92-0422E490F964}" name="Column327"/>
    <tableColumn id="328" xr3:uid="{872D426A-6FD3-48A6-931A-7EF96E4A610A}" name="Column328"/>
    <tableColumn id="329" xr3:uid="{DBA33C71-A792-4A4B-B3DB-F39C82190FBF}" name="Column329"/>
    <tableColumn id="330" xr3:uid="{411CD6BA-0A42-41EE-8D52-F0CFC7D8B36F}" name="Column330"/>
    <tableColumn id="331" xr3:uid="{63E3B534-8E99-4647-BF99-7A0894B7BD4A}" name="Column331"/>
    <tableColumn id="332" xr3:uid="{8BDACC6C-7D95-4C93-BB36-F552622F217B}" name="Column332"/>
    <tableColumn id="333" xr3:uid="{F64A04CC-A30C-4BDC-ACCF-6B2448FCA3F8}" name="Column333"/>
    <tableColumn id="334" xr3:uid="{4E9E99C3-734A-45A1-8A7C-16B8878137A8}" name="Column334"/>
    <tableColumn id="335" xr3:uid="{E4BDEE55-AC01-4C2B-B911-6BAA9B331BFD}" name="Column335"/>
    <tableColumn id="336" xr3:uid="{6C6F52BB-60B3-4ED7-BD10-8A28A5E2BB5F}" name="Column336"/>
    <tableColumn id="337" xr3:uid="{8FC9E6D1-8D2D-4E9F-9867-DDAC513C6498}" name="Column337"/>
    <tableColumn id="338" xr3:uid="{145DC360-F2C3-490F-8B25-D616F486834A}" name="Column338"/>
    <tableColumn id="339" xr3:uid="{C0C21758-71E1-46C8-99B1-2DB1645D1D1E}" name="Column339"/>
    <tableColumn id="340" xr3:uid="{502AF7C0-2E09-4A13-9829-A8E3220AC632}" name="Column340"/>
    <tableColumn id="341" xr3:uid="{40656E4D-A42A-402E-B991-00B9BF7FD9E7}" name="Column341"/>
    <tableColumn id="342" xr3:uid="{0019A6A2-ECB9-49EC-B161-EB2CC5BD58E3}" name="Column342"/>
    <tableColumn id="343" xr3:uid="{EFB07733-F97F-47A5-96BB-AC0DB95CED89}" name="Column343"/>
    <tableColumn id="344" xr3:uid="{A38D9474-2C51-451A-B6F1-0E9DF467DA3F}" name="Column344"/>
    <tableColumn id="345" xr3:uid="{F929FA04-020C-4B54-ADD4-E407169338BD}" name="Column345"/>
    <tableColumn id="346" xr3:uid="{664C4DD2-EA9D-44A0-B604-9F540E0CF0A0}" name="Column346"/>
    <tableColumn id="347" xr3:uid="{BAEEDFC4-3615-4124-8B82-8D267C098DBA}" name="Column347"/>
    <tableColumn id="348" xr3:uid="{53CC4FCA-974A-400A-B35A-16FCF094BC8C}" name="Column348"/>
    <tableColumn id="349" xr3:uid="{E9FD10ED-F1AB-4841-AF3E-17E90C819F73}" name="Column349"/>
    <tableColumn id="350" xr3:uid="{C0BFF7A1-9F73-4CD9-8ABF-C4F0473EEAAA}" name="Column350"/>
    <tableColumn id="351" xr3:uid="{DFACD6BF-5A39-41E0-A1AC-739CFFEEDD50}" name="Column351"/>
    <tableColumn id="352" xr3:uid="{79FECB61-434A-4281-93FD-0CEE36A3DC0F}" name="Column352"/>
    <tableColumn id="353" xr3:uid="{ADA5AB6B-750E-418F-B37E-2745FD4146D5}" name="Column353"/>
    <tableColumn id="354" xr3:uid="{03CC3425-021B-49E9-9E1A-9AAEB4F1B732}" name="Column354"/>
    <tableColumn id="355" xr3:uid="{57B653A5-064B-4889-A0EE-E94F2152A1C3}" name="Column355"/>
    <tableColumn id="356" xr3:uid="{F4658E58-923C-496E-A195-3AE01C46445A}" name="Column356"/>
    <tableColumn id="357" xr3:uid="{2FD47AD1-7A9F-4BB0-93A0-FD424F452E5F}" name="Column357"/>
    <tableColumn id="358" xr3:uid="{2706D389-9689-4448-90E8-593CD9A607A4}" name="Column358"/>
    <tableColumn id="359" xr3:uid="{BB1B201A-ED5C-491B-A6F4-4CFFF9905602}" name="Column359"/>
    <tableColumn id="360" xr3:uid="{BAAA9C51-0063-450A-9BFD-74FE3C51CCD7}" name="Column360"/>
    <tableColumn id="361" xr3:uid="{F4939F8D-5DB9-404D-93CF-D7D0F114D773}" name="Column361"/>
    <tableColumn id="362" xr3:uid="{6BBE372E-BEA9-497F-BAFD-773B08D50873}" name="Column362"/>
    <tableColumn id="363" xr3:uid="{9F96A6D6-9DEE-4ADE-B600-4C1E13E5ECEF}" name="Column363"/>
    <tableColumn id="364" xr3:uid="{F81D84A2-AF30-4E2C-8740-BB8C4CE73D39}" name="Column364"/>
    <tableColumn id="365" xr3:uid="{7A3346EE-DEDC-4565-AE6C-40D2F4F0735B}" name="Column365"/>
    <tableColumn id="366" xr3:uid="{2EB334D4-329A-4CA5-8ECA-A7AD84DEA082}" name="Column366"/>
    <tableColumn id="367" xr3:uid="{23980797-CE93-4470-A587-24927FC75C58}" name="Column367"/>
    <tableColumn id="368" xr3:uid="{F3EC7252-FF0A-4B9F-A700-651534D4FD5D}" name="Column368"/>
    <tableColumn id="369" xr3:uid="{E342D82E-9B06-4835-9769-4F879D7F1C22}" name="Column369"/>
    <tableColumn id="370" xr3:uid="{61CE00B3-B9AD-4B33-814E-D0FB9B7759BC}" name="Column370"/>
    <tableColumn id="371" xr3:uid="{03D4F75B-D740-4FF8-B110-8798818FF2D3}" name="Column371"/>
    <tableColumn id="372" xr3:uid="{3C9EA70A-DD4F-4446-BF3E-FCC082DB26D7}" name="Column372"/>
    <tableColumn id="373" xr3:uid="{378B21D2-B02A-4995-9755-584BAA20B007}" name="Column373"/>
    <tableColumn id="374" xr3:uid="{06ADEDAF-8947-404F-A542-E003FF3DDEC0}" name="Column374"/>
    <tableColumn id="375" xr3:uid="{59CB4C84-F3C6-4142-B3A5-B928020C4ACC}" name="Column375"/>
    <tableColumn id="376" xr3:uid="{4F5DD2C4-1AE4-43A0-BC75-87ADDB4C176A}" name="Column376"/>
    <tableColumn id="377" xr3:uid="{03B62F8B-7756-43AD-8580-FBF44C4F35B0}" name="Column377"/>
    <tableColumn id="378" xr3:uid="{91B1E3E3-BF0F-4283-A1C1-FACEE63E8F9E}" name="Column378"/>
    <tableColumn id="379" xr3:uid="{70FD5313-C979-4431-860A-3BB50DD9797C}" name="Column379"/>
    <tableColumn id="380" xr3:uid="{B9A365B9-00B3-4100-AC0B-6F346BF579B6}" name="Column380"/>
    <tableColumn id="381" xr3:uid="{B9A0BBF6-1815-42E1-BCCB-9DDCD97CEA0B}" name="Column381"/>
    <tableColumn id="382" xr3:uid="{E4B967B2-3613-47FA-A8DA-89F872B020CD}" name="Column382"/>
    <tableColumn id="383" xr3:uid="{B924D678-CA38-45D2-BD24-6F7FF41DCAC4}" name="Column383"/>
    <tableColumn id="384" xr3:uid="{7340C4D5-58EB-4718-9C5C-407A7B21E24A}" name="Column384"/>
    <tableColumn id="385" xr3:uid="{8AF8008A-ED69-44A9-8C46-DC0090E854E9}" name="Column385"/>
    <tableColumn id="386" xr3:uid="{F0BC3185-E97A-45A3-9193-44247B16159B}" name="Column386"/>
    <tableColumn id="387" xr3:uid="{19AF2907-3E87-43F3-86CE-85257E74E500}" name="Column387"/>
    <tableColumn id="388" xr3:uid="{B2F218CC-3BE3-4FFA-962F-C5194CBE5465}" name="Column388"/>
    <tableColumn id="389" xr3:uid="{73008D1F-EE13-421A-B163-5946BDB7E006}" name="Column389"/>
    <tableColumn id="390" xr3:uid="{3D0A67E4-D29F-4B33-8B0C-98AD6C3BD14C}" name="Column390"/>
    <tableColumn id="391" xr3:uid="{CAC6CC44-EF41-4D8A-8FF8-762AE80A1459}" name="Column391"/>
    <tableColumn id="392" xr3:uid="{550834C5-235F-44F0-9C94-86A0F477D1B8}" name="Column392"/>
    <tableColumn id="393" xr3:uid="{EBFE6F14-73F8-46BE-B4F6-3C1DC67F0E03}" name="Column393"/>
    <tableColumn id="394" xr3:uid="{761C151A-27DE-44E4-B03D-D6854F485FC1}" name="Column394"/>
    <tableColumn id="395" xr3:uid="{2980B2D0-187E-4354-AA12-EFF2B1D67C01}" name="Column395"/>
    <tableColumn id="396" xr3:uid="{986ACC9B-5104-4A6B-8132-71CFA8B20322}" name="Column396"/>
    <tableColumn id="397" xr3:uid="{42EE5552-7249-4C52-89B3-5D130EE649DB}" name="Column397"/>
    <tableColumn id="398" xr3:uid="{B4A43438-B4D6-4A38-B010-ADCC59E5372B}" name="Column398"/>
    <tableColumn id="399" xr3:uid="{FD8C958F-2314-4877-AFA2-FC49F558F8E9}" name="Column399"/>
    <tableColumn id="400" xr3:uid="{EDA068DE-7D6B-475A-BFFF-0574618E462D}" name="Column400"/>
    <tableColumn id="401" xr3:uid="{0AA5D45C-0133-420E-95CD-5AE56115D8EE}" name="Column401"/>
    <tableColumn id="402" xr3:uid="{1AE0503C-ECF8-4462-80F7-4B4C4B0D97FA}" name="Column402"/>
    <tableColumn id="403" xr3:uid="{14EF43C9-DFAD-496F-A978-D3615F31A191}" name="Column403"/>
    <tableColumn id="404" xr3:uid="{B0FBB852-E6E9-4D4B-B759-33C90F79A7AC}" name="Column404"/>
    <tableColumn id="405" xr3:uid="{00171F62-637C-44DA-8925-03FDCAFC1C7F}" name="Column405"/>
    <tableColumn id="406" xr3:uid="{49663037-D6A4-40C4-8E6A-30CB24B43016}" name="Column406"/>
    <tableColumn id="407" xr3:uid="{244309A7-AEDA-4D74-8FA1-76261DB7474B}" name="Column407"/>
    <tableColumn id="408" xr3:uid="{067BB17E-6D71-4F87-A0A7-1F46A6BDC3E5}" name="Column408"/>
    <tableColumn id="409" xr3:uid="{58C0D74A-1360-4A1C-9D6C-16A7C1554556}" name="Column409"/>
    <tableColumn id="410" xr3:uid="{20FD2394-301D-44D9-B470-D0EEABFB8211}" name="Column410"/>
    <tableColumn id="411" xr3:uid="{AB57A0FE-27C0-4C63-81ED-A0CFF5A72AB3}" name="Column411"/>
    <tableColumn id="412" xr3:uid="{9FF51267-5643-460E-9FDE-7D652D12C991}" name="Column412"/>
    <tableColumn id="413" xr3:uid="{30210A57-FBE3-4243-9484-88B3CC42105C}" name="Column413"/>
    <tableColumn id="414" xr3:uid="{70628DA0-08C3-4C67-8B7B-D7F34E8567C3}" name="Column414"/>
    <tableColumn id="415" xr3:uid="{FE58DA5B-710B-4E4A-A42A-F1F38997394F}" name="Column415"/>
    <tableColumn id="416" xr3:uid="{6FDE868A-D20E-4843-B262-9697F03812E8}" name="Column416"/>
    <tableColumn id="417" xr3:uid="{06608857-123C-40DF-B324-799C60A0C38B}" name="Column417"/>
    <tableColumn id="418" xr3:uid="{D5CA0235-1306-4B30-A840-D6DED91DA049}" name="Column418"/>
    <tableColumn id="419" xr3:uid="{E10F4351-8D91-4FDE-93FC-FD9F55EB9BDF}" name="Column419"/>
    <tableColumn id="420" xr3:uid="{11A95C67-767C-4A4D-960A-15363DE2B55B}" name="Column420"/>
    <tableColumn id="421" xr3:uid="{AA109F04-A89B-4FD7-B482-5BB43AF35C70}" name="Column421"/>
    <tableColumn id="422" xr3:uid="{9C52B722-03C7-4B8D-B737-4D67F1D1AD03}" name="Column422"/>
    <tableColumn id="423" xr3:uid="{483DE1F2-89D0-4FEB-9A36-C8C8356A9A08}" name="Column423"/>
    <tableColumn id="424" xr3:uid="{8A9E9F5C-1939-4503-B30D-4FD3B70284B1}" name="Column424"/>
    <tableColumn id="425" xr3:uid="{21C9B1C8-0BFB-4684-8C05-2E5DE5F91AC7}" name="Column425"/>
    <tableColumn id="426" xr3:uid="{2498C9A1-A66C-4183-B441-8918FEDDF960}" name="Column426"/>
    <tableColumn id="427" xr3:uid="{226A6225-31A2-463C-A579-B5421232D829}" name="Column427"/>
    <tableColumn id="428" xr3:uid="{2775A13C-4C6F-43B8-881E-EAD30FFDF795}" name="Column428"/>
    <tableColumn id="429" xr3:uid="{8CE6BEE9-D8DA-48DE-8A0A-A94689BD5A96}" name="Column429"/>
    <tableColumn id="430" xr3:uid="{1C621C20-85B0-4DB9-892F-54ACBEA39EC3}" name="Column430"/>
    <tableColumn id="431" xr3:uid="{25B0B603-669C-4CB7-8FCA-E9A2748E9A16}" name="Column431"/>
    <tableColumn id="432" xr3:uid="{ADE4D782-789C-4BB0-92E4-284C5DC336C0}" name="Column432"/>
    <tableColumn id="433" xr3:uid="{F40EA696-7EB0-461A-A097-DA44C9E32662}" name="Column433"/>
    <tableColumn id="434" xr3:uid="{AA256914-4E33-4B24-A288-B9A7271DABC0}" name="Column434"/>
    <tableColumn id="435" xr3:uid="{47886115-7897-4364-B7A7-152384748093}" name="Column435"/>
    <tableColumn id="436" xr3:uid="{97D4CC85-43A5-4E2D-B7B3-57EA79A48DCA}" name="Column436"/>
    <tableColumn id="437" xr3:uid="{36DA7BE3-FD6E-49BC-8718-39A1765D3B0F}" name="Column437"/>
    <tableColumn id="438" xr3:uid="{0F239963-A7BE-4785-B542-FA64F262F45E}" name="Column438"/>
    <tableColumn id="439" xr3:uid="{A79EE2BA-015B-4D55-B989-A8F3B9861D74}" name="Column439"/>
    <tableColumn id="440" xr3:uid="{ADEC5E3E-CFDB-4C0A-901E-19D074767003}" name="Column440"/>
    <tableColumn id="441" xr3:uid="{6A41E470-EC47-4F7B-B9B6-F31825C76B10}" name="Column441"/>
    <tableColumn id="442" xr3:uid="{48B062C8-5AA3-4034-BAC5-E181C731284D}" name="Column442"/>
    <tableColumn id="443" xr3:uid="{C6D08452-2959-4FB9-812F-AFCE0D3A802F}" name="Column443"/>
    <tableColumn id="444" xr3:uid="{00D87894-0080-4020-849F-FA74266AE76F}" name="Column444"/>
    <tableColumn id="445" xr3:uid="{57C1B12A-F7A3-4B6F-A128-F0E097A92DD5}" name="Column445"/>
    <tableColumn id="446" xr3:uid="{2ECE5742-A356-4D37-9F95-BC3431DA8334}" name="Column446"/>
    <tableColumn id="447" xr3:uid="{A8EA3980-3891-4939-9B39-40BE73549423}" name="Column447"/>
    <tableColumn id="448" xr3:uid="{6C8CCEFD-4C47-4636-BCFB-7E06333DCEAF}" name="Column448"/>
    <tableColumn id="449" xr3:uid="{C8974CD3-09D4-47FA-BBBE-E75210D3D1B2}" name="Column449"/>
    <tableColumn id="450" xr3:uid="{8B8DF07A-1F77-4979-ADDF-3775925F3663}" name="Column450"/>
    <tableColumn id="451" xr3:uid="{FA01C882-8ECC-4A89-9B6A-80BB470C6BEC}" name="Column451"/>
    <tableColumn id="452" xr3:uid="{3D94EC03-817C-4519-B58F-0A3533BB201C}" name="Column452"/>
    <tableColumn id="453" xr3:uid="{241D46C3-7F55-449C-AB5B-07387FFBCB99}" name="Column453"/>
    <tableColumn id="454" xr3:uid="{D56AFF48-0B5B-4902-A24B-AB82956DE99E}" name="Column454"/>
    <tableColumn id="455" xr3:uid="{D87CBB72-D14F-4461-8264-76ADCEFD587B}" name="Column455"/>
    <tableColumn id="456" xr3:uid="{98F6887D-6ABC-42FB-9011-565B7ED79B86}" name="Column456"/>
    <tableColumn id="457" xr3:uid="{50A83F3D-DECD-49AF-9E4E-0E4F5C7B80A2}" name="Column457"/>
    <tableColumn id="458" xr3:uid="{CFECDC85-9F6B-4339-9555-EA4E392B6F21}" name="Column458"/>
    <tableColumn id="459" xr3:uid="{C768E18D-16FB-487D-9285-8D1CB720C082}" name="Column459"/>
    <tableColumn id="460" xr3:uid="{B00ADAD6-AB36-4CBE-925E-552ECF4E57CF}" name="Column460"/>
    <tableColumn id="461" xr3:uid="{5B7487FA-8515-4F69-9D0C-DEEB591279C3}" name="Column461"/>
    <tableColumn id="462" xr3:uid="{AC5A0C1C-C884-4020-9A4C-23B619CBE6AE}" name="Column462"/>
    <tableColumn id="463" xr3:uid="{1715E1DF-75B9-4EC1-A45A-F1D55E9A1CBF}" name="Column463"/>
    <tableColumn id="464" xr3:uid="{2ED401BC-7B53-4E7E-B89F-541227804716}" name="Column464"/>
    <tableColumn id="465" xr3:uid="{9855ECCC-C73E-4199-BD6A-B338832A624B}" name="Column465"/>
    <tableColumn id="466" xr3:uid="{D38FB5D3-EA15-4064-83CA-E353FB92A90D}" name="Column466"/>
    <tableColumn id="467" xr3:uid="{698540B7-10F9-46F5-96ED-F5602160AACD}" name="Column467"/>
    <tableColumn id="468" xr3:uid="{E1042592-4555-4F16-9B99-B9E9B9F47A34}" name="Column468"/>
    <tableColumn id="469" xr3:uid="{BF7046F5-484F-4658-B509-9B1EE7A1BAAA}" name="Column469"/>
    <tableColumn id="470" xr3:uid="{9848666B-4C25-47A1-A1F6-093D57EE0DF1}" name="Column470"/>
    <tableColumn id="471" xr3:uid="{33C97367-D4CA-4480-B49D-384B08014426}" name="Column471"/>
    <tableColumn id="472" xr3:uid="{46375A9D-6929-4072-8C7E-CE184EBE07D5}" name="Column472"/>
    <tableColumn id="473" xr3:uid="{D94A419C-2C62-4E65-AC7C-69B19A518021}" name="Column473"/>
    <tableColumn id="474" xr3:uid="{323A49E3-FACE-42BB-934C-445B18F03BC5}" name="Column474"/>
    <tableColumn id="475" xr3:uid="{72CC299B-4A05-4FCA-B430-077E94851BA3}" name="Column475"/>
    <tableColumn id="476" xr3:uid="{6CD562F6-1CFE-4677-9544-CD2D8C9C5870}" name="Column476"/>
    <tableColumn id="477" xr3:uid="{C6DE1F19-1B50-4B37-AA77-48C69037EA1D}" name="Column477"/>
    <tableColumn id="478" xr3:uid="{887AE21C-A0A2-4FDF-B266-AC5F4088200E}" name="Column478"/>
    <tableColumn id="479" xr3:uid="{7187D7D4-CFCB-4BAD-A174-81089FA188E4}" name="Column479"/>
    <tableColumn id="480" xr3:uid="{C966C32A-C5EB-4450-B2E8-EA17847956EC}" name="Column480"/>
    <tableColumn id="481" xr3:uid="{1564E1AB-07BB-4DF5-85B6-DFE654CCE8C7}" name="Column481"/>
    <tableColumn id="482" xr3:uid="{5BC07327-B804-4B46-91C1-4D9A6F740350}" name="Column482"/>
    <tableColumn id="483" xr3:uid="{CA159F92-2EDD-4F6D-AFDF-A8041D769789}" name="Column483"/>
    <tableColumn id="484" xr3:uid="{2DA2A878-D2CF-41CD-9E8F-0A34F9798495}" name="Column484"/>
    <tableColumn id="485" xr3:uid="{93D47928-2348-4194-8059-1106EDBB6157}" name="Column485"/>
    <tableColumn id="486" xr3:uid="{A11D2F21-E8CB-4A2D-B920-6E53F38C87FA}" name="Column486"/>
    <tableColumn id="487" xr3:uid="{98B5C55A-E2D7-40DB-A27B-E220E707CEEA}" name="Column487"/>
    <tableColumn id="488" xr3:uid="{7D073D2E-65A6-4B50-BD59-B097607EAFCA}" name="Column488"/>
    <tableColumn id="489" xr3:uid="{566C10A2-243F-465D-8BB9-99CAA66D0279}" name="Column489"/>
    <tableColumn id="490" xr3:uid="{85E30CB0-32AE-4548-BCF5-191A10386548}" name="Column490"/>
    <tableColumn id="491" xr3:uid="{4E3A370F-F877-4AA8-9ACC-A2EA9633204F}" name="Column491"/>
    <tableColumn id="492" xr3:uid="{0D6F1513-DE77-4A80-B471-E88AB8F7C757}" name="Column492"/>
    <tableColumn id="493" xr3:uid="{396B1C5A-61F9-4AE1-B32D-DBDDE2E9C30A}" name="Column493"/>
    <tableColumn id="494" xr3:uid="{A877FDD1-D4E2-4682-BD1D-9E3FC26B72F8}" name="Column494"/>
    <tableColumn id="495" xr3:uid="{3738747C-3B07-4A17-873B-484CB60B6AAE}" name="Column495"/>
    <tableColumn id="496" xr3:uid="{7D14F79C-7CD0-4944-8D48-65855B940314}" name="Column496"/>
    <tableColumn id="497" xr3:uid="{1E508F86-EDD2-4E19-AE1D-80CB4A2DACC1}" name="Column497"/>
    <tableColumn id="498" xr3:uid="{BC959396-3534-4E28-90C1-62F49B5140AA}" name="Column498"/>
    <tableColumn id="499" xr3:uid="{43F0ECF9-433A-4C14-8F97-E16F1DF2D83F}" name="Column499"/>
    <tableColumn id="500" xr3:uid="{C8B00C55-9062-4758-8A99-564324AAD851}" name="Column500"/>
    <tableColumn id="501" xr3:uid="{C36C8F96-E4B7-459D-9188-10CBC22FF420}" name="Column501"/>
    <tableColumn id="502" xr3:uid="{1FD11846-11C5-4F1C-9FEF-800E6585154D}" name="Column502"/>
    <tableColumn id="503" xr3:uid="{27F3E6B9-BA98-41CD-80D9-47EFF1CE8A23}" name="Column503"/>
    <tableColumn id="504" xr3:uid="{EDDBEA3B-B392-46C6-852A-02F28671B845}" name="Column504"/>
    <tableColumn id="505" xr3:uid="{6EDA958F-3FFE-4C64-A486-77CAED9D9B1B}" name="Column505"/>
    <tableColumn id="506" xr3:uid="{5BA6C2CF-BBF8-4FBB-AEBC-E3225566D81E}" name="Column506"/>
    <tableColumn id="507" xr3:uid="{1E6CD043-4E0B-49C4-8A42-8C6329545B11}" name="Column507"/>
    <tableColumn id="508" xr3:uid="{7F50894C-1184-4761-AE13-80E07818C64E}" name="Column508"/>
    <tableColumn id="509" xr3:uid="{ABFACEB2-2B62-49D7-B714-1E6F868702B8}" name="Column509"/>
    <tableColumn id="510" xr3:uid="{9D02F834-1C5C-4D53-B8B8-474BC7FEBA26}" name="Column510"/>
    <tableColumn id="511" xr3:uid="{0EE8DA16-C140-4035-9EB1-D0132C5A073A}" name="Column511"/>
    <tableColumn id="512" xr3:uid="{BB6CF1E2-17DA-4ED2-A8C6-F33792B10D1F}" name="Column512"/>
    <tableColumn id="513" xr3:uid="{A6BE97C9-7ACF-41E2-A5E0-DC5195C1F45C}" name="Column513"/>
    <tableColumn id="514" xr3:uid="{D558C958-3B41-45D3-B759-79DED28A0A3A}" name="Column514"/>
    <tableColumn id="515" xr3:uid="{3D0AE480-AF79-4D41-B196-D8E478E9FC64}" name="Column515"/>
    <tableColumn id="516" xr3:uid="{50E2454C-5366-4EA0-8598-78AA8CFD7489}" name="Column516"/>
    <tableColumn id="517" xr3:uid="{9CED8EAF-901E-44F4-B6AC-A1CC0D64959D}" name="Column517"/>
    <tableColumn id="518" xr3:uid="{50660AA1-7F45-4213-A254-AC810D172AA2}" name="Column518"/>
    <tableColumn id="519" xr3:uid="{A0F2D9C9-0C2E-4D66-8572-ABE07973DED4}" name="Column519"/>
    <tableColumn id="520" xr3:uid="{3162A746-134D-48FA-81DA-B142B70C184C}" name="Column520"/>
    <tableColumn id="521" xr3:uid="{8F9488F1-451B-486B-8C50-A6481BD6A93B}" name="Column521"/>
    <tableColumn id="522" xr3:uid="{C2190932-2069-44D2-AD74-3E9AD721A890}" name="Column522"/>
    <tableColumn id="523" xr3:uid="{BC181701-9DC1-4DC5-95D4-71D954D85E95}" name="Column523"/>
    <tableColumn id="524" xr3:uid="{0D5404D6-CFEE-488D-A168-4F12FBD95DDC}" name="Column524"/>
    <tableColumn id="525" xr3:uid="{702221B2-D972-472D-ADB4-952B0F1F49F2}" name="Column525"/>
    <tableColumn id="526" xr3:uid="{481C72BE-4BDA-4B93-86F1-3369B2B511B8}" name="Column526"/>
    <tableColumn id="527" xr3:uid="{C9377D8E-D163-40F1-B4D5-BAD6F1916F99}" name="Column527"/>
    <tableColumn id="528" xr3:uid="{A51BAF4E-A834-4D14-9810-3A754A2BF9D8}" name="Column528"/>
    <tableColumn id="529" xr3:uid="{B356FA59-0107-4494-89D0-B63892C304AB}" name="Column529"/>
    <tableColumn id="530" xr3:uid="{5E4E88F5-95D1-4A02-980D-2B86968FE7EA}" name="Column530"/>
    <tableColumn id="531" xr3:uid="{A04A17DE-59E5-4C43-9D2A-B115413D886C}" name="Column531"/>
    <tableColumn id="532" xr3:uid="{857BA8FD-EC21-4A78-AA3D-7F7207D9FB6F}" name="Column532"/>
    <tableColumn id="533" xr3:uid="{B6F86B04-D3B9-403B-8996-075240C5D893}" name="Column533"/>
    <tableColumn id="534" xr3:uid="{9E14818C-00AB-4EAA-A422-D687ABEC3A2E}" name="Column534"/>
    <tableColumn id="535" xr3:uid="{884E108E-3191-4BFD-B77D-53DD8E60DE13}" name="Column535"/>
    <tableColumn id="536" xr3:uid="{CA6DF36C-C8DE-4408-B5B7-C1CB0595F412}" name="Column536"/>
    <tableColumn id="537" xr3:uid="{E2FF72EF-2746-4E9A-92CB-889EAAC697A9}" name="Column537"/>
    <tableColumn id="538" xr3:uid="{A91C8EFC-A430-44A9-AE5A-3A350F5907D0}" name="Column538"/>
    <tableColumn id="539" xr3:uid="{A8460D35-04E9-42E1-BD4A-16C8F2A754B4}" name="Column539"/>
    <tableColumn id="540" xr3:uid="{D341E25F-EC6D-44EC-AADB-2E35F7368067}" name="Column540"/>
    <tableColumn id="541" xr3:uid="{EC8ED155-A429-451A-8A98-39B3047AE694}" name="Column541"/>
    <tableColumn id="542" xr3:uid="{2AA966DF-D8E9-40CB-93C6-AD4949040421}" name="Column542"/>
    <tableColumn id="543" xr3:uid="{E0765D28-D178-4308-92B4-EA7B534C51AC}" name="Column543"/>
    <tableColumn id="544" xr3:uid="{78BDEE29-6BE5-4D0C-87FA-6DE9480F7864}" name="Column544"/>
    <tableColumn id="545" xr3:uid="{A8B40B41-E61D-4F4D-8509-3014A2955243}" name="Column545"/>
    <tableColumn id="546" xr3:uid="{9AB8F996-686E-481F-B1A9-BEB3C027E484}" name="Column546"/>
    <tableColumn id="547" xr3:uid="{C24542CE-3092-4755-9C98-2BE53094A6D5}" name="Column547"/>
    <tableColumn id="548" xr3:uid="{A1670457-A34F-4D3F-B3A2-5EFC18A277B2}" name="Column548"/>
    <tableColumn id="549" xr3:uid="{92FFA9A5-2936-4C00-8880-12BC6CC2F207}" name="Column549"/>
    <tableColumn id="550" xr3:uid="{88B83826-AB2E-4AF3-A101-7FC9592678D5}" name="Column550"/>
    <tableColumn id="551" xr3:uid="{F2212FB6-9790-4E2C-8AF9-2921533D7429}" name="Column551"/>
    <tableColumn id="552" xr3:uid="{385CE9C8-7AF2-4E2C-87C8-8A07A346009B}" name="Column552"/>
    <tableColumn id="553" xr3:uid="{3DAD4A04-CA8D-4B44-AEAC-0DE28A6462C0}" name="Column553"/>
    <tableColumn id="554" xr3:uid="{F0BBC705-0EF5-4ACB-88A8-7E792E36619A}" name="Column554"/>
    <tableColumn id="555" xr3:uid="{F36E00DB-0DD9-4660-9C92-25BE57F52534}" name="Column555"/>
    <tableColumn id="556" xr3:uid="{727C6F23-3D39-4180-98ED-9347D7E1F6E8}" name="Column556"/>
    <tableColumn id="557" xr3:uid="{D1354C31-3FB5-4A1B-BDAE-EE2CB3475757}" name="Column557"/>
    <tableColumn id="558" xr3:uid="{ACC90372-295C-4F3C-8874-0EA215A7AD2F}" name="Column558"/>
    <tableColumn id="559" xr3:uid="{C81FCD6B-0B0F-481A-8909-BCA79F931958}" name="Column559"/>
    <tableColumn id="560" xr3:uid="{7FEE2748-74AC-44C8-9F61-5A3E2606CB22}" name="Column560"/>
    <tableColumn id="561" xr3:uid="{46F886AF-33E6-4865-86D8-EEBB0F55B00B}" name="Column561"/>
    <tableColumn id="562" xr3:uid="{9E053FA3-9B71-4A00-9A23-3526F4C04278}" name="Column562"/>
    <tableColumn id="563" xr3:uid="{1AE8444F-B119-4C6A-BA31-5AC2152AAF01}" name="Column563"/>
    <tableColumn id="564" xr3:uid="{43456116-580D-42CB-9827-1FE2572C0944}" name="Column564"/>
    <tableColumn id="565" xr3:uid="{90128AC0-042E-4B39-887F-E4812402C583}" name="Column565"/>
    <tableColumn id="566" xr3:uid="{A458223C-ABE8-43AD-834E-46BCF41E4251}" name="Column566"/>
    <tableColumn id="567" xr3:uid="{D2E62671-5AC1-44A2-AE91-2C2A41250725}" name="Column567"/>
    <tableColumn id="568" xr3:uid="{65EA12B1-B0A0-4B16-AB05-9EB99FBD2928}" name="Column568"/>
    <tableColumn id="569" xr3:uid="{220240DA-FF56-420A-9F55-C9A809BB57FF}" name="Column569"/>
    <tableColumn id="570" xr3:uid="{264EE615-C4AC-4204-A4BF-9AE8F79DFD5F}" name="Column570"/>
    <tableColumn id="571" xr3:uid="{D25D7B69-42F1-434B-B0B3-AA5CB9432974}" name="Column571"/>
    <tableColumn id="572" xr3:uid="{300A082B-FAAA-4363-A051-E9C8C8DEA293}" name="Column572"/>
    <tableColumn id="573" xr3:uid="{36316068-2968-4294-A6FF-044F646A332F}" name="Column573"/>
    <tableColumn id="574" xr3:uid="{8B143927-3976-4A76-85C5-87183BC78627}" name="Column574"/>
    <tableColumn id="575" xr3:uid="{FB7EBBAC-EF94-4536-B6E0-D4AF0B1213CC}" name="Column575"/>
    <tableColumn id="576" xr3:uid="{2D006362-20B7-473A-9BAE-A34BFEA01738}" name="Column576"/>
    <tableColumn id="577" xr3:uid="{97F010D9-17B1-4C42-8A16-A902F71ABBF5}" name="Column577"/>
    <tableColumn id="578" xr3:uid="{4D18CB49-36A1-48FB-B0A3-865443DBA810}" name="Column578"/>
    <tableColumn id="579" xr3:uid="{DFB52949-617D-4A49-A1B7-37AA5C88827A}" name="Column579"/>
    <tableColumn id="580" xr3:uid="{EC94F995-F44C-42B1-8525-080D9AA927ED}" name="Column580"/>
    <tableColumn id="581" xr3:uid="{35463653-61A1-4519-B647-B7BAED278F05}" name="Column581"/>
    <tableColumn id="582" xr3:uid="{C0212BE0-3C82-4C2E-8F5F-321E88E23C01}" name="Column582"/>
    <tableColumn id="583" xr3:uid="{73246E3A-611D-4995-8F6D-CC3E36B00994}" name="Column583"/>
    <tableColumn id="584" xr3:uid="{844B72A5-27F7-4326-95F3-239016EC3E80}" name="Column584"/>
    <tableColumn id="585" xr3:uid="{79FF800E-148D-4CBF-8F45-FE871D769BAF}" name="Column585"/>
    <tableColumn id="586" xr3:uid="{CF5A947C-9000-4DEE-A695-B45099A0EF65}" name="Column586"/>
    <tableColumn id="587" xr3:uid="{D5764A82-BDF7-4481-BF97-46588C2A0B0D}" name="Column587"/>
    <tableColumn id="588" xr3:uid="{9BBF5AD3-36F7-4E9E-8F4B-379F4C40727D}" name="Column588"/>
    <tableColumn id="589" xr3:uid="{B72D755C-C81C-4A17-AA27-464AE4B90965}" name="Column589"/>
    <tableColumn id="590" xr3:uid="{9C9DB4F4-83D7-4033-8FF3-29C0A488B87C}" name="Column590"/>
    <tableColumn id="591" xr3:uid="{33E914FD-B100-4D40-B68E-CC92BB0ABADC}" name="Column591"/>
    <tableColumn id="592" xr3:uid="{7A23C716-B5E3-402B-80F3-520212D68B44}" name="Column592"/>
    <tableColumn id="593" xr3:uid="{A642C5F5-0846-4A70-9735-F1A1B165F24D}" name="Column593"/>
    <tableColumn id="594" xr3:uid="{5085158E-BE51-4110-B995-E9EE0F2F9704}" name="Column594"/>
    <tableColumn id="595" xr3:uid="{290397E2-456D-4A83-9FC5-45FB007B038E}" name="Column595"/>
    <tableColumn id="596" xr3:uid="{CDE264D7-3484-4FB1-A2BB-E58177ECD8BD}" name="Column596"/>
    <tableColumn id="597" xr3:uid="{46182923-8C9C-4653-86A9-FD5732440E41}" name="Column597"/>
    <tableColumn id="598" xr3:uid="{299E06B9-6A12-4CAC-8C59-33A1857F1D1E}" name="Column598"/>
    <tableColumn id="599" xr3:uid="{131DA51D-2FEF-4E49-A5CF-1DBAAF66CBF5}" name="Column599"/>
    <tableColumn id="600" xr3:uid="{9793EA83-95C5-4488-8AAD-6A5A5959F30F}" name="Column600"/>
    <tableColumn id="601" xr3:uid="{C0CAEA30-8763-4E8D-9BDA-7355A50377EA}" name="Column601"/>
    <tableColumn id="602" xr3:uid="{D5C69979-5C89-435C-913A-0293FFEEF8E4}" name="Column602"/>
    <tableColumn id="603" xr3:uid="{272F7279-F59F-4C42-8EFD-54C79C7F8604}" name="Column603"/>
    <tableColumn id="604" xr3:uid="{E1E09978-A324-4418-905A-F401563D056C}" name="Column604"/>
    <tableColumn id="605" xr3:uid="{5477E81E-DE4D-4DDA-BCC5-C052806E6A32}" name="Column605"/>
    <tableColumn id="606" xr3:uid="{5CE817AB-6693-4BDE-B6A5-187F54C55E63}" name="Column606"/>
    <tableColumn id="607" xr3:uid="{84B4D1AE-87DC-4BCC-858E-7AA419C5AB99}" name="Column607"/>
    <tableColumn id="608" xr3:uid="{7F6B286F-1338-4492-82A4-B7CD4FA8E9CB}" name="Column608"/>
    <tableColumn id="609" xr3:uid="{281FFCB5-9EFA-419C-AB0A-01770F0FF44A}" name="Column609"/>
    <tableColumn id="610" xr3:uid="{359A53C2-1455-40A1-BF89-AE7740F51481}" name="Column610"/>
    <tableColumn id="611" xr3:uid="{F9E483B4-682D-47E3-A0C6-14B5CEAC1695}" name="Column611"/>
    <tableColumn id="612" xr3:uid="{09ABC79F-CF38-49C8-B32B-B851DEAA8CB2}" name="Column612"/>
    <tableColumn id="613" xr3:uid="{1E9AA7FA-16D4-4872-966A-303A5DD1E2A7}" name="Column613"/>
    <tableColumn id="614" xr3:uid="{07F31881-73E2-4C8C-A843-1A05A55573FA}" name="Column614"/>
    <tableColumn id="615" xr3:uid="{28F5E06D-A3A3-4870-BCDA-6C6EF3FFB052}" name="Column615"/>
    <tableColumn id="616" xr3:uid="{658B0DCE-C263-4847-826E-E3B79B290E17}" name="Column616"/>
    <tableColumn id="617" xr3:uid="{1E3E4B8F-2F54-4F5E-8D46-891E402188D0}" name="Column617"/>
    <tableColumn id="618" xr3:uid="{913DD0A1-4660-4673-BDFA-F7B4DF56D7D5}" name="Column618"/>
    <tableColumn id="619" xr3:uid="{A66A714D-A996-44C5-810E-23255F8E724A}" name="Column619"/>
    <tableColumn id="620" xr3:uid="{F423CB67-30E8-4DFA-A3E6-9E86A7A04A5B}" name="Column620"/>
    <tableColumn id="621" xr3:uid="{52E7535D-23A4-4646-B5DC-1C517A3B4013}" name="Column621"/>
    <tableColumn id="622" xr3:uid="{9A0ED1E9-8E50-401D-B6AD-93FC2FAE550C}" name="Column622"/>
    <tableColumn id="623" xr3:uid="{25220A89-431E-44C8-B0FE-673C6B025D96}" name="Column623"/>
    <tableColumn id="624" xr3:uid="{4AF4561F-32B0-4EEA-8E68-B54F9FD41057}" name="Column624"/>
    <tableColumn id="625" xr3:uid="{B70E819D-A422-49AC-A11A-2C33424D9314}" name="Column625"/>
    <tableColumn id="626" xr3:uid="{BAC2C0D2-35E8-41BA-BFAD-BA97809AA1E8}" name="Column626"/>
    <tableColumn id="627" xr3:uid="{E328B76E-75A1-4594-AB14-461F5FFCACEF}" name="Column627"/>
    <tableColumn id="628" xr3:uid="{4F2C66C3-DD6C-4111-8FEF-54DE7AE0F011}" name="Column628"/>
    <tableColumn id="629" xr3:uid="{EC6B0A74-1057-4D78-9D22-016830B4EF6E}" name="Column629"/>
    <tableColumn id="630" xr3:uid="{7CBE2D2E-455E-49D7-85D7-5874E3123705}" name="Column630"/>
    <tableColumn id="631" xr3:uid="{DBBE530F-2FA1-44B3-9F3F-8058980817CD}" name="Column631"/>
    <tableColumn id="632" xr3:uid="{91FCFA57-A04A-4324-8D58-A6AD716B2411}" name="Column632"/>
    <tableColumn id="633" xr3:uid="{7215AC9E-95C6-412A-A7B6-801C0355AE33}" name="Column633"/>
    <tableColumn id="634" xr3:uid="{9D617EED-4A6A-400D-80EF-24B23F3C83D3}" name="Column634"/>
    <tableColumn id="635" xr3:uid="{8F5EB8D5-4FAA-492B-A5C1-511B76849D8B}" name="Column635"/>
    <tableColumn id="636" xr3:uid="{9A2F943C-138F-43B3-8CDA-CC39D2A0A7E0}" name="Column636"/>
    <tableColumn id="637" xr3:uid="{8F2B5239-E3A8-4CEF-A963-89ADA3090D17}" name="Column637"/>
    <tableColumn id="638" xr3:uid="{E6F2BBBD-A8BE-46B7-807B-AB7ABACE62C7}" name="Column638"/>
    <tableColumn id="639" xr3:uid="{9F9E948D-5E52-41E5-8F5D-78080BD9F5A3}" name="Column639"/>
    <tableColumn id="640" xr3:uid="{DAAB3576-6AC5-483E-AFA8-46A5F3DF982E}" name="Column640"/>
    <tableColumn id="641" xr3:uid="{34346841-7903-4812-A21F-AC764E3711C1}" name="Column641"/>
    <tableColumn id="642" xr3:uid="{0AAE4CCC-98BC-4165-B928-F2BB614220C7}" name="Column642"/>
    <tableColumn id="643" xr3:uid="{FED0FCBE-2DF8-4A7D-AA4B-31654694C0D5}" name="Column643"/>
    <tableColumn id="644" xr3:uid="{31A5EBF2-3C78-4AAA-9ED7-62469D544EF5}" name="Column644"/>
    <tableColumn id="645" xr3:uid="{10D38519-224F-4672-93CA-347B39B9F726}" name="Column645"/>
    <tableColumn id="646" xr3:uid="{F7BFAB5A-910C-43EF-B4D9-BE5936AF2A2D}" name="Column646"/>
    <tableColumn id="647" xr3:uid="{1E319E94-0F3A-4645-AC29-E02C93E364D4}" name="Column647"/>
    <tableColumn id="648" xr3:uid="{A70156A1-328B-4987-885E-106492EE6CC4}" name="Column648"/>
    <tableColumn id="649" xr3:uid="{F87BFE5B-5493-47A9-8AC7-A15F663DA1AB}" name="Column649"/>
    <tableColumn id="650" xr3:uid="{5C9BFA76-B229-4A6E-8C08-0E7F5D5FC3B4}" name="Column650"/>
    <tableColumn id="651" xr3:uid="{E346DFCC-5D0F-4032-9873-8E82A564872B}" name="Column651"/>
    <tableColumn id="652" xr3:uid="{89A76F03-F8E5-4942-85DE-20AF68F76604}" name="Column652"/>
    <tableColumn id="653" xr3:uid="{CFFE9073-DCA3-4187-A360-8BCC281BBD2E}" name="Column653"/>
    <tableColumn id="654" xr3:uid="{95AEE854-D39A-40E0-9383-DBBF945CC3C9}" name="Column654"/>
    <tableColumn id="655" xr3:uid="{8F518E32-967E-41CC-882D-8B285616BD24}" name="Column655"/>
    <tableColumn id="656" xr3:uid="{E4EE17A5-A676-42DE-A270-598CE3B7095B}" name="Column656"/>
    <tableColumn id="657" xr3:uid="{F4B6E469-FC01-47C4-9F5A-56799336E947}" name="Column657"/>
    <tableColumn id="658" xr3:uid="{24597EB9-7D26-4F5A-95A6-674541BC3E7E}" name="Column658"/>
    <tableColumn id="659" xr3:uid="{88D3ACEC-33F4-41FE-8115-ACD14B032A4A}" name="Column659"/>
    <tableColumn id="660" xr3:uid="{E00C70EC-CBFD-4173-BBE1-381149353074}" name="Column660"/>
    <tableColumn id="661" xr3:uid="{CD5E5737-E4AC-4E9A-8A50-F7BF975A6ED0}" name="Column661"/>
    <tableColumn id="662" xr3:uid="{FE09102A-E4FC-4752-938D-7BFFA88EE0A0}" name="Column662"/>
    <tableColumn id="663" xr3:uid="{133E5BCE-AD44-4D13-B94D-3DC956886CDA}" name="Column663"/>
    <tableColumn id="664" xr3:uid="{36B0B339-2CA4-4A29-9007-B24E10F98EE2}" name="Column664"/>
    <tableColumn id="665" xr3:uid="{F5D1F883-2ABC-444E-82F6-9BDAE1AC82DE}" name="Column665"/>
    <tableColumn id="666" xr3:uid="{A1E46ECB-9153-43DE-BA05-E1071A577C76}" name="Column666"/>
    <tableColumn id="667" xr3:uid="{416B3D62-9E7F-45A3-9740-B4844B686C1B}" name="Column667"/>
    <tableColumn id="668" xr3:uid="{0BF1FCA6-1995-4561-8DFA-8941D1715C82}" name="Column668"/>
    <tableColumn id="669" xr3:uid="{FB4812C2-50ED-4B3F-BD91-690373B6AAB1}" name="Column669"/>
    <tableColumn id="670" xr3:uid="{8904BBAD-D53E-41CA-9384-3616CBDF0589}" name="Column670"/>
    <tableColumn id="671" xr3:uid="{5FBC5B14-F189-45FE-9FBC-899D99EA7EA3}" name="Column671"/>
    <tableColumn id="672" xr3:uid="{7342DFF8-307E-43D6-BEB1-979E98504628}" name="Column672"/>
    <tableColumn id="673" xr3:uid="{E567AC27-A836-4690-A39A-7FA5858944E2}" name="Column673"/>
    <tableColumn id="674" xr3:uid="{A8C7AC66-28B1-42AA-BF7E-CD23BA2611DD}" name="Column674"/>
    <tableColumn id="675" xr3:uid="{A7C0C9AF-CD1D-47DF-B96D-AE1337C8BE8D}" name="Column675"/>
    <tableColumn id="676" xr3:uid="{F4C780E1-3E5D-4CCE-A99E-55D0EE329951}" name="Column676"/>
    <tableColumn id="677" xr3:uid="{2CAC04E9-96C9-4C2A-BC63-DDB05D9F695B}" name="Column677"/>
    <tableColumn id="678" xr3:uid="{20F4C8BC-7C31-46D6-AD2E-E6F432458612}" name="Column678"/>
    <tableColumn id="679" xr3:uid="{DE1ED77A-4E2E-4FBE-A1AB-F83A78B7AF20}" name="Column679"/>
    <tableColumn id="680" xr3:uid="{6BCB605B-1EB1-47D3-AB07-6031DA57AA2E}" name="Column680"/>
    <tableColumn id="681" xr3:uid="{4789CD22-3D6D-4553-B955-952E30E643A4}" name="Column681"/>
    <tableColumn id="682" xr3:uid="{A9D9EB13-9FF4-4DD6-9C2D-218E53726C30}" name="Column682"/>
    <tableColumn id="683" xr3:uid="{1AD9AA5B-3A34-4894-B438-775174ADA2CC}" name="Column683"/>
    <tableColumn id="684" xr3:uid="{5164C6FD-212F-43EB-896D-5368A2BDFC7D}" name="Column684"/>
    <tableColumn id="685" xr3:uid="{E16D9D2B-3526-42DB-81F4-5EAC75ED6EC7}" name="Column685"/>
    <tableColumn id="686" xr3:uid="{671DA105-67C0-49EC-AD7A-D83C8539BD61}" name="Column686"/>
    <tableColumn id="687" xr3:uid="{CE87BDDE-48E5-412F-98AC-44BD5E9069EC}" name="Column687"/>
    <tableColumn id="688" xr3:uid="{31079BB4-2C7C-4856-B771-BF5BB0299615}" name="Column688"/>
    <tableColumn id="689" xr3:uid="{7D3473D4-33BC-49B6-8228-84541D53716D}" name="Column689"/>
    <tableColumn id="690" xr3:uid="{7B648FC4-CF94-4A52-82A2-D883BA09DA05}" name="Column690"/>
    <tableColumn id="691" xr3:uid="{40A05B3B-F660-419E-9CC5-7074F62ACF2C}" name="Column691"/>
    <tableColumn id="692" xr3:uid="{2DA4F1F8-7225-4F6C-BC19-47C768D6B78C}" name="Column692"/>
    <tableColumn id="693" xr3:uid="{D4660BC4-A66B-4650-BEBF-A71C9849FDA9}" name="Column693"/>
    <tableColumn id="694" xr3:uid="{64B730E1-B3B7-4DD5-9A54-BAAA075AC937}" name="Column694"/>
    <tableColumn id="695" xr3:uid="{BFA7176A-B372-4D81-8EE7-E969209E7BF9}" name="Column695"/>
    <tableColumn id="696" xr3:uid="{DE86D480-A7EE-4A0C-98D2-84AEAF6DA36D}" name="Column696"/>
    <tableColumn id="697" xr3:uid="{F9C8F4D4-9DEB-4A12-B24D-BEBE4D62DD7C}" name="Column697"/>
    <tableColumn id="698" xr3:uid="{5E6E4242-A945-44F0-953C-D3FC5B6BDC36}" name="Column698"/>
    <tableColumn id="699" xr3:uid="{360475F9-5DBE-4B67-97D4-6636794D4DD9}" name="Column699"/>
    <tableColumn id="700" xr3:uid="{15013FA5-6680-458A-A2AC-027CB9E38EAD}" name="Column700"/>
    <tableColumn id="701" xr3:uid="{72396AF2-D565-499D-98FB-E4475D9B27EA}" name="Column701"/>
    <tableColumn id="702" xr3:uid="{276A7A52-6081-4D1F-9985-C69BB971C33D}" name="Column702"/>
    <tableColumn id="703" xr3:uid="{0EECDE5D-D3ED-434F-8F24-55744A98D2BC}" name="Column703"/>
    <tableColumn id="704" xr3:uid="{DAB5CEF9-F19F-42F6-853B-B6538516249D}" name="Column704"/>
    <tableColumn id="705" xr3:uid="{D027103A-B9DC-4A89-801E-0EFF9B04083F}" name="Column705"/>
    <tableColumn id="706" xr3:uid="{CABA27E6-889F-4F81-860F-267877D0AB56}" name="Column706"/>
    <tableColumn id="707" xr3:uid="{2FCE105D-A765-42F7-9871-A1EEF124C4EF}" name="Column707"/>
    <tableColumn id="708" xr3:uid="{DDE279F2-04E2-4DF6-AC1E-97AAB89460F5}" name="Column708"/>
    <tableColumn id="709" xr3:uid="{71ADD3B2-8A5D-4992-98EA-B4A1A4643EE0}" name="Column709"/>
    <tableColumn id="710" xr3:uid="{39D24AB9-219C-48ED-93EF-BE3672E873C9}" name="Column710"/>
    <tableColumn id="711" xr3:uid="{925A7F57-868C-46F7-86E4-19A3761A7ADB}" name="Column711"/>
    <tableColumn id="712" xr3:uid="{C26C2A3B-D3E8-49EA-A402-232DF3C9DCA7}" name="Column712"/>
    <tableColumn id="713" xr3:uid="{825BAC94-AC50-41F0-850F-1FBAC94B220C}" name="Column713"/>
    <tableColumn id="714" xr3:uid="{117C8136-122E-4C46-8304-1B87B525EB68}" name="Column714"/>
    <tableColumn id="715" xr3:uid="{13268236-DDBC-421A-A691-C6614DDD88C7}" name="Column715"/>
    <tableColumn id="716" xr3:uid="{2929BEE7-073D-445A-A2B0-3CC16498C376}" name="Column716"/>
    <tableColumn id="717" xr3:uid="{59750BB6-545B-494B-B7C4-BAC92338D122}" name="Column717"/>
    <tableColumn id="718" xr3:uid="{B3889BCC-3189-4470-ADF9-33C15CE00989}" name="Column718"/>
    <tableColumn id="719" xr3:uid="{15342D98-D5E7-40D1-8FAC-07FED9BCA6FE}" name="Column719"/>
    <tableColumn id="720" xr3:uid="{1D6A0F26-0CAF-4E59-ABDA-BED5AF41FEB9}" name="Column720"/>
    <tableColumn id="721" xr3:uid="{0D121959-0230-4353-B357-EEEE2F81CE11}" name="Column721"/>
    <tableColumn id="722" xr3:uid="{3107328A-9496-48C0-BFFF-EF69191379A6}" name="Column722"/>
    <tableColumn id="723" xr3:uid="{A576B6EC-96D3-44B5-A0B8-9F14BC13DEB4}" name="Column723"/>
    <tableColumn id="724" xr3:uid="{1B5FE1D3-060D-4E6E-AAB9-CFDD95482C1C}" name="Column724"/>
    <tableColumn id="725" xr3:uid="{373BBBC3-EFC3-49D8-A3C7-9DF8AEFB7531}" name="Column725"/>
    <tableColumn id="726" xr3:uid="{B46DB4A7-9F87-4562-B58E-E223CF94102E}" name="Column726"/>
    <tableColumn id="727" xr3:uid="{7FBCC128-CD4D-4068-B371-AED51A23D97C}" name="Column727"/>
    <tableColumn id="728" xr3:uid="{B53E9907-98C3-431B-848D-BDD6D2B0885E}" name="Column728"/>
    <tableColumn id="729" xr3:uid="{EC187BBC-66FE-4BFC-8B21-1237FAC885F8}" name="Column729"/>
    <tableColumn id="730" xr3:uid="{6021B7EE-88C7-46A0-BE27-C5B0E2D59135}" name="Column730"/>
    <tableColumn id="731" xr3:uid="{A999E081-0DA8-47CB-A022-071B437E27FC}" name="Column731"/>
    <tableColumn id="732" xr3:uid="{9CB7EA38-30C5-4F68-A52F-C120814AFC7C}" name="Column732"/>
    <tableColumn id="733" xr3:uid="{CAA0CC52-7553-41B8-988D-E5396358ED52}" name="Column733"/>
    <tableColumn id="734" xr3:uid="{88CBEC24-9CE2-4FF0-A920-7723DE360427}" name="Column734"/>
    <tableColumn id="735" xr3:uid="{4501E482-210D-48A5-B7CE-9F6806818200}" name="Column735"/>
    <tableColumn id="736" xr3:uid="{BCA4D171-DB1F-4AF2-AEEC-27CAF6879B25}" name="Column736"/>
    <tableColumn id="737" xr3:uid="{402EDF75-2059-4B52-A167-C5DAB8ECF6E0}" name="Column737"/>
    <tableColumn id="738" xr3:uid="{B2DA25E4-765C-4550-A177-B9B8696C194A}" name="Column738"/>
    <tableColumn id="739" xr3:uid="{7D65295E-007D-422B-885D-E7464B9ECD16}" name="Column739"/>
    <tableColumn id="740" xr3:uid="{8608D351-D04C-4C15-9DA0-8059EF20EA32}" name="Column740"/>
    <tableColumn id="741" xr3:uid="{C35C24D9-AF8B-4A69-B65F-709BC57C6E64}" name="Column741"/>
    <tableColumn id="742" xr3:uid="{63B3602A-DE57-4808-95D7-ECAE968EE0B8}" name="Column742"/>
    <tableColumn id="743" xr3:uid="{2CCCB775-CE10-404E-BCA1-F278B42083AC}" name="Column743"/>
    <tableColumn id="744" xr3:uid="{DB4BCF47-AF97-41F2-95DF-42DF245C57C0}" name="Column744"/>
    <tableColumn id="745" xr3:uid="{95D42D51-884D-4AB9-8AB0-20CA6FAA4D0E}" name="Column745"/>
    <tableColumn id="746" xr3:uid="{0F5DA008-842A-4524-86AC-A496931B8BD6}" name="Column746"/>
    <tableColumn id="747" xr3:uid="{E19E0509-BD72-4742-85A4-CF53EE9E3D99}" name="Column747"/>
    <tableColumn id="748" xr3:uid="{31A524E6-7D05-40DD-9B1A-84A54E5824B6}" name="Column748"/>
    <tableColumn id="749" xr3:uid="{A0450CBA-41B9-4518-B307-39E428627D4F}" name="Column749"/>
    <tableColumn id="750" xr3:uid="{11F6B236-AFA1-4D8F-A876-A8AF448D660F}" name="Column750"/>
    <tableColumn id="751" xr3:uid="{4815C78A-74D8-48D8-80BE-FC192C4F9ADE}" name="Column751"/>
    <tableColumn id="752" xr3:uid="{52BD4343-0ABA-4DDB-B9CD-72D70C7BA6A5}" name="Column752"/>
    <tableColumn id="753" xr3:uid="{E0C0B917-7648-4330-8A8C-737C4763B7B6}" name="Column753"/>
    <tableColumn id="754" xr3:uid="{DED03446-82C2-4FDA-A201-63F1042DED4E}" name="Column754"/>
    <tableColumn id="755" xr3:uid="{FFEDD33C-F762-4CD7-8F8B-6EE670B5F2DE}" name="Column755"/>
    <tableColumn id="756" xr3:uid="{CF33C65A-5F7A-41C3-8E7A-1C6D92BC1C57}" name="Column756"/>
    <tableColumn id="757" xr3:uid="{3A0F5188-D153-4C75-8C62-91DFA6DA6132}" name="Column757"/>
    <tableColumn id="758" xr3:uid="{F0EF0874-7759-4FE2-A736-C2E39C8A1557}" name="Column758"/>
    <tableColumn id="759" xr3:uid="{B92ACBC6-42EA-47C1-81E1-A29FE31EF9E4}" name="Column759"/>
    <tableColumn id="760" xr3:uid="{61CAD639-5823-4FC3-9128-819509FFB4E0}" name="Column760"/>
    <tableColumn id="761" xr3:uid="{D88713CA-7E8E-4C4E-AFF4-AE79D016FE6F}" name="Column761"/>
    <tableColumn id="762" xr3:uid="{98C78D3A-0A06-4D21-9839-8A3B5273332D}" name="Column762"/>
    <tableColumn id="763" xr3:uid="{7FF67C66-30F1-41D0-8CE4-A9742BFF847B}" name="Column763"/>
    <tableColumn id="764" xr3:uid="{11DD2CA4-E8A7-4442-869D-1A2C61B57B7A}" name="Column764"/>
    <tableColumn id="765" xr3:uid="{C37D4E00-9F64-4FF6-97D8-32B3CF1DF675}" name="Column765"/>
    <tableColumn id="766" xr3:uid="{21880B4A-CE28-4A34-B45C-20D49D4F2F2D}" name="Column766"/>
    <tableColumn id="767" xr3:uid="{AC35FB85-585D-47C4-810E-DB6EF1683A5D}" name="Column767"/>
    <tableColumn id="768" xr3:uid="{78CDFC11-387B-46AA-BD81-62B503B8BE0A}" name="Column768"/>
    <tableColumn id="769" xr3:uid="{6C2E2074-31E4-4E81-B776-FA7D48D3AA64}" name="Column769"/>
    <tableColumn id="770" xr3:uid="{206686C5-7D53-49D2-B3AA-DD1B4DE298C2}" name="Column770"/>
    <tableColumn id="771" xr3:uid="{1A1A544C-2963-48F7-B443-A626FC1CF0AF}" name="Column771"/>
    <tableColumn id="772" xr3:uid="{48EDA568-5B7A-4FFF-BE75-77E12FF3113E}" name="Column772"/>
    <tableColumn id="773" xr3:uid="{4B26436E-CC13-4DF9-BE2F-BC2A27D361B6}" name="Column773"/>
    <tableColumn id="774" xr3:uid="{174AE788-2D51-4768-91AF-22BC5EDF14A8}" name="Column774"/>
    <tableColumn id="775" xr3:uid="{AAD66F97-A196-4AA4-AF06-3CA6E80C1609}" name="Column775"/>
    <tableColumn id="776" xr3:uid="{955BD505-5E3C-4C2C-A097-8609CDF971F8}" name="Column776"/>
    <tableColumn id="777" xr3:uid="{76177F4E-8ECE-4840-8B82-E31B8E331BF6}" name="Column777"/>
    <tableColumn id="778" xr3:uid="{4A4A24D4-744A-4E71-A111-B197B4CA4845}" name="Column778"/>
    <tableColumn id="779" xr3:uid="{67373056-5BB5-4001-8241-61B30C456D3F}" name="Column779"/>
    <tableColumn id="780" xr3:uid="{A35C23DD-8C25-40DD-9746-CAC313096B29}" name="Column780"/>
    <tableColumn id="781" xr3:uid="{9B2684DE-FAB0-4A63-B963-6251932DF1FA}" name="Column781"/>
    <tableColumn id="782" xr3:uid="{6FAA4DE3-268A-4A4E-814D-24E4AC6A490B}" name="Column782"/>
    <tableColumn id="783" xr3:uid="{F06C0421-9052-4607-B85C-1C7BE9998800}" name="Column783"/>
    <tableColumn id="784" xr3:uid="{9143CCAF-B9AF-4E0E-810D-2DBE2E56DEC5}" name="Column784"/>
    <tableColumn id="785" xr3:uid="{9394241E-B45A-482D-B5E9-3A3AF7C20D33}" name="Column785"/>
    <tableColumn id="786" xr3:uid="{7669DCCC-C757-4416-9BED-3DA9C764634C}" name="Column786"/>
    <tableColumn id="787" xr3:uid="{30F23C6E-2728-4133-A93C-90B80E7440F0}" name="Column787"/>
    <tableColumn id="788" xr3:uid="{855B48CB-BB66-48B3-8B94-F04D08F195DB}" name="Column788"/>
    <tableColumn id="789" xr3:uid="{887313D5-274D-43A3-96EF-30F49E3419D9}" name="Column789"/>
    <tableColumn id="790" xr3:uid="{35BC88B2-B0FB-41C3-A3C9-C41F5B4D8963}" name="Column790"/>
    <tableColumn id="791" xr3:uid="{50A57BFC-498F-4900-8F73-879219B832E9}" name="Column791"/>
    <tableColumn id="792" xr3:uid="{E6590868-68D2-4D6B-9D34-28775D9FF466}" name="Column792"/>
    <tableColumn id="793" xr3:uid="{F2934E1D-CBFB-470F-BF9E-FE1C69F2A737}" name="Column793"/>
    <tableColumn id="794" xr3:uid="{5334F3A4-57E3-46CA-9319-3254AF61155D}" name="Column794"/>
    <tableColumn id="795" xr3:uid="{DDC75E12-7DF2-4492-AE9F-F628DE5C876E}" name="Column795"/>
    <tableColumn id="796" xr3:uid="{85906051-622D-49CA-9370-6D2A033EB7F1}" name="Column796"/>
    <tableColumn id="797" xr3:uid="{D84B0592-32EE-48CC-A822-9EFE3CBD6FEC}" name="Column797"/>
    <tableColumn id="798" xr3:uid="{8916E97C-FD44-4B98-B1F8-47D7C6CF1E31}" name="Column798"/>
    <tableColumn id="799" xr3:uid="{0B4324A1-FA18-4024-BDE7-5E514DBA9EE8}" name="Column799"/>
    <tableColumn id="800" xr3:uid="{2F4D340F-9170-49F9-99D6-D1EAFFD03589}" name="Column800"/>
    <tableColumn id="801" xr3:uid="{084F8AB6-AB6E-437C-9DDE-549F5F5E7B66}" name="Column801"/>
    <tableColumn id="802" xr3:uid="{A1630871-D859-4F30-98D5-09128AD2422D}" name="Column802"/>
    <tableColumn id="803" xr3:uid="{5EFC7778-8DCB-40CB-8808-A80C9B6D26D5}" name="Column803"/>
    <tableColumn id="804" xr3:uid="{590B99C2-E52A-4A2A-8BD3-075DD27DCD3B}" name="Column804"/>
    <tableColumn id="805" xr3:uid="{20A6A1FF-48F2-4B12-A8B8-C135544BDDB7}" name="Column805"/>
    <tableColumn id="806" xr3:uid="{7CB85FE5-3E6B-4230-95AE-67574090C279}" name="Column806"/>
    <tableColumn id="807" xr3:uid="{BA985627-66A6-40D6-8505-7D1184EF0686}" name="Column807"/>
    <tableColumn id="808" xr3:uid="{1CC3639C-C8BE-49B3-B289-519D6F55AD7F}" name="Column808"/>
    <tableColumn id="809" xr3:uid="{DD121DF7-65E4-4EB1-89E9-D75A93DFEE7D}" name="Column809"/>
    <tableColumn id="810" xr3:uid="{32E58E5F-EA4B-4C00-910A-30245351E826}" name="Column810"/>
    <tableColumn id="811" xr3:uid="{DA5382E2-DAF6-4D33-BF96-C934AE3939EA}" name="Column811"/>
    <tableColumn id="812" xr3:uid="{DFB66EB2-357F-49FF-A1EE-B0A2C68ACD88}" name="Column812"/>
    <tableColumn id="813" xr3:uid="{D7A1B704-99EE-4212-A02D-2B5A9ED406AF}" name="Column813"/>
    <tableColumn id="814" xr3:uid="{F8B92CA7-773D-48DF-9C5D-472D8B222449}" name="Column814"/>
    <tableColumn id="815" xr3:uid="{DC2E7F62-5FAC-4E67-8733-DE8F90D6A9AC}" name="Column815"/>
    <tableColumn id="816" xr3:uid="{88CBDAE1-0A5E-4298-A6EC-880C77E72E6F}" name="Column816"/>
    <tableColumn id="817" xr3:uid="{B98F12ED-B008-431E-8786-51E9F3D89A37}" name="Column817"/>
    <tableColumn id="818" xr3:uid="{42FEE6C9-0D32-4B11-9AB8-E712893DB323}" name="Column818"/>
    <tableColumn id="819" xr3:uid="{A5F43A6B-6DAC-4CD2-BC5E-917833029AC8}" name="Column819"/>
    <tableColumn id="820" xr3:uid="{0965AEE5-ED36-4CED-A2DE-D3B5DD9A700C}" name="Column820"/>
    <tableColumn id="821" xr3:uid="{C075E8B9-29F6-4896-8306-F2AE78070188}" name="Column821"/>
    <tableColumn id="822" xr3:uid="{74318D1A-90E7-4467-B3FE-74222957755B}" name="Column822"/>
    <tableColumn id="823" xr3:uid="{B973254B-1012-4CE9-99EC-383B4D77DEAE}" name="Column823"/>
    <tableColumn id="824" xr3:uid="{616A6F41-4B14-43EF-AA8A-747EA8559E58}" name="Column824"/>
    <tableColumn id="825" xr3:uid="{557ADE9D-9800-4373-91F5-FBC1E81F5754}" name="Column825"/>
    <tableColumn id="826" xr3:uid="{DED7E18F-FC19-43A6-98A5-3A5B5826BF5E}" name="Column826"/>
    <tableColumn id="827" xr3:uid="{0D131A1E-48D6-4D49-953A-81A9012529E2}" name="Column827"/>
    <tableColumn id="828" xr3:uid="{B1A856C3-13E9-416E-9B6F-5475857AFA50}" name="Column828"/>
    <tableColumn id="829" xr3:uid="{A154CD41-D4AF-471E-963F-2FFD944B183A}" name="Column829"/>
    <tableColumn id="830" xr3:uid="{FC9EBE10-C8C8-4676-9565-1698AE6A3073}" name="Column830"/>
    <tableColumn id="831" xr3:uid="{2FA84A93-F0BB-481C-811F-4A348B613FE5}" name="Column831"/>
    <tableColumn id="832" xr3:uid="{51BC1488-4B08-4316-A761-FC49A00AB4CB}" name="Column832"/>
    <tableColumn id="833" xr3:uid="{8FCAA502-52E1-4C6E-8F6B-4393AB7D6B1B}" name="Column833"/>
    <tableColumn id="834" xr3:uid="{84ED3286-1CC4-474A-9CC6-BD6DB030B60F}" name="Column834"/>
    <tableColumn id="835" xr3:uid="{EFECAAED-94B5-466C-9C1C-DCE73C77EEE9}" name="Column835"/>
    <tableColumn id="836" xr3:uid="{5B15E85C-B29A-4811-82DD-BFD6E2833EDD}" name="Column836"/>
    <tableColumn id="837" xr3:uid="{C9DCCD33-84B1-4C9B-904D-CBE4ACAE533F}" name="Column837"/>
    <tableColumn id="838" xr3:uid="{A6864B13-178B-49D5-B8F5-2C6E7771153D}" name="Column838"/>
    <tableColumn id="839" xr3:uid="{0823BCB3-4ACA-4225-82F0-940E8A33C8AD}" name="Column839"/>
    <tableColumn id="840" xr3:uid="{C30F14CB-EC1D-455F-A75F-FE22B135C878}" name="Column840"/>
    <tableColumn id="841" xr3:uid="{61A2C440-BB6F-42EF-9C80-4346120561F3}" name="Column841"/>
    <tableColumn id="842" xr3:uid="{6F4B1A85-9D99-4F27-BC14-07CA255955E6}" name="Column842"/>
    <tableColumn id="843" xr3:uid="{1D7C8CDA-7EC8-4D67-AC6C-8B221D9DCC3F}" name="Column843"/>
    <tableColumn id="844" xr3:uid="{FCD1B51E-2ECD-4AF2-8F6E-0654943844C8}" name="Column844"/>
    <tableColumn id="845" xr3:uid="{67ACAB43-9144-47EB-8A7F-E7E0560083CB}" name="Column845"/>
    <tableColumn id="846" xr3:uid="{0D749CCE-D0E0-460F-9256-BD39FD03847B}" name="Column846"/>
    <tableColumn id="847" xr3:uid="{4A694309-62A0-4389-B4E2-EBFD9741594C}" name="Column847"/>
    <tableColumn id="848" xr3:uid="{B8C8F532-47BC-4C81-B58A-E355A15074F1}" name="Column848"/>
    <tableColumn id="849" xr3:uid="{356F3378-2D3D-4E88-85FB-D041C5859CF4}" name="Column849"/>
    <tableColumn id="850" xr3:uid="{121EBDCD-A88C-4963-AD9B-ACC1D0F03AB6}" name="Column850"/>
    <tableColumn id="851" xr3:uid="{AA6A7C23-730D-4C20-92F1-82450AAE3321}" name="Column851"/>
    <tableColumn id="852" xr3:uid="{8CF96644-49B1-41A5-ACC4-DD0C4209BDEB}" name="Column852"/>
    <tableColumn id="853" xr3:uid="{37F2C52D-AF75-418B-8C7F-BD0C1BCC24F4}" name="Column853"/>
    <tableColumn id="854" xr3:uid="{D84D281C-EFF1-4334-BA1B-EF364EB3EC8F}" name="Column854"/>
    <tableColumn id="855" xr3:uid="{8620B7C6-6F60-4A03-921B-93455A6C461C}" name="Column855"/>
    <tableColumn id="856" xr3:uid="{57833BBB-7F7C-40F7-870F-F94D6AA702ED}" name="Column856"/>
    <tableColumn id="857" xr3:uid="{324C7FE5-45DB-4087-967E-DDB41507885F}" name="Column857"/>
    <tableColumn id="858" xr3:uid="{F44736E8-BD3E-4636-9F5B-BAF25F3404CC}" name="Column858"/>
    <tableColumn id="859" xr3:uid="{D4DFAA0E-6B18-4514-B1EA-581636A1C820}" name="Column859"/>
    <tableColumn id="860" xr3:uid="{3A9306B2-3660-4F25-BDF8-63F161BBCB32}" name="Column860"/>
    <tableColumn id="861" xr3:uid="{4CEBD369-8CD7-41A7-9377-933D66A27F71}" name="Column861"/>
    <tableColumn id="862" xr3:uid="{E48CC107-E97F-46C7-9E3C-00068204FEC7}" name="Column862"/>
    <tableColumn id="863" xr3:uid="{C90529EA-AEDA-405A-8A0C-171989C6D927}" name="Column863"/>
    <tableColumn id="864" xr3:uid="{0D54CA18-BDBD-4A4D-BC2D-0157520E41D4}" name="Column864"/>
    <tableColumn id="865" xr3:uid="{E141F001-9ABA-4A12-AA7E-E4A7582240AF}" name="Column865"/>
    <tableColumn id="866" xr3:uid="{8E5DD6DA-5536-4669-8390-264794CF3C41}" name="Column866"/>
    <tableColumn id="867" xr3:uid="{312EEDE2-9E10-4FF1-BC38-2906F8A6713E}" name="Column867"/>
    <tableColumn id="868" xr3:uid="{E7D7CA3B-7026-4B43-948C-CDA1A3B86C46}" name="Column868"/>
    <tableColumn id="869" xr3:uid="{4ABF55ED-0C2F-4F66-B90C-FDE09A220F70}" name="Column869"/>
    <tableColumn id="870" xr3:uid="{FB1C4BF5-4368-4B1A-BC59-79DE330E8DE3}" name="Column870"/>
    <tableColumn id="871" xr3:uid="{2C0FD42B-559D-4DBC-A6EC-A6AB0CB8F646}" name="Column871"/>
    <tableColumn id="872" xr3:uid="{9B5FA683-9E91-4DCC-9813-005A57D3CBE0}" name="Column872"/>
    <tableColumn id="873" xr3:uid="{BEA9DB6E-6222-4C6B-9448-E351C7BEBCF5}" name="Column873"/>
    <tableColumn id="874" xr3:uid="{09FBC491-6C75-446D-8685-2B1B3874DEFD}" name="Column874"/>
    <tableColumn id="875" xr3:uid="{D44ADAB7-F9A5-4E6B-B6FA-835615ADABE9}" name="Column875"/>
    <tableColumn id="876" xr3:uid="{423C4108-F04D-4B65-BAA2-867CA5C4565D}" name="Column876"/>
    <tableColumn id="877" xr3:uid="{D7CA9669-7E9E-4276-A7F7-E150341CE76E}" name="Column877"/>
    <tableColumn id="878" xr3:uid="{5ADC1899-2D4A-48A4-9973-AE021286FA8E}" name="Column878"/>
    <tableColumn id="879" xr3:uid="{2E70BA8E-1625-492D-986A-C5518DB4B861}" name="Column879"/>
    <tableColumn id="880" xr3:uid="{4EB4F33B-492C-4BC1-A2DA-E82333B58045}" name="Column880"/>
    <tableColumn id="881" xr3:uid="{2BC28164-C1D0-4FDB-A490-CA1F2A44C4B7}" name="Column881"/>
    <tableColumn id="882" xr3:uid="{FCB7B09F-E58B-4F83-925D-A06C4A1EEBF8}" name="Column882"/>
    <tableColumn id="883" xr3:uid="{BC5250BB-396C-4A2F-8F4A-63A1B289B25B}" name="Column883"/>
    <tableColumn id="884" xr3:uid="{B59BCD0B-C5FA-4DA3-A3B6-10F72E6EC872}" name="Column884"/>
    <tableColumn id="885" xr3:uid="{007E9558-CA96-4639-8A1F-DB15F5706BEA}" name="Column885"/>
    <tableColumn id="886" xr3:uid="{ED383B60-E185-46D5-9371-35213248538D}" name="Column886"/>
    <tableColumn id="887" xr3:uid="{6CE50AE9-A2E7-4D19-AE52-94A343C14429}" name="Column887"/>
    <tableColumn id="888" xr3:uid="{A49BB2B4-7D61-4806-9059-DACCE5B14E22}" name="Column888"/>
    <tableColumn id="889" xr3:uid="{E568401E-2CD0-4800-A28E-F0B8EB7B89C5}" name="Column889"/>
    <tableColumn id="890" xr3:uid="{619C74CE-3C9C-46B9-8B91-5D480756A5B6}" name="Column890"/>
    <tableColumn id="891" xr3:uid="{157B70FD-30E9-49A4-8100-A3570CAEFE34}" name="Column891"/>
    <tableColumn id="892" xr3:uid="{2F598A0A-D60D-497B-982E-292AD4379CA1}" name="Column892"/>
    <tableColumn id="893" xr3:uid="{930AFFB6-F952-4496-959E-CE01FAFDA73D}" name="Column893"/>
    <tableColumn id="894" xr3:uid="{30CD654F-DC97-490B-B1F0-2E489AA5DF95}" name="Column894"/>
    <tableColumn id="895" xr3:uid="{1C5DED5C-357B-45E9-9804-4B1F2500AB1A}" name="Column895"/>
    <tableColumn id="896" xr3:uid="{F19611EF-B0B3-43AF-ABAA-2F8FE15D279C}" name="Column896"/>
    <tableColumn id="897" xr3:uid="{3A1B26F9-2B56-4A29-BE30-1D653BF5DC75}" name="Column897"/>
    <tableColumn id="898" xr3:uid="{A1CBA37F-48DE-427E-8C45-5F17894861D6}" name="Column898"/>
    <tableColumn id="899" xr3:uid="{D3C4064E-A57E-4CAF-A21D-5B226FC933E5}" name="Column899"/>
    <tableColumn id="900" xr3:uid="{7DAF3402-20EF-412B-8521-5DC6AF6067BB}" name="Column900"/>
    <tableColumn id="901" xr3:uid="{59BBA631-E15D-4334-A280-334560A99AE2}" name="Column901"/>
    <tableColumn id="902" xr3:uid="{14FA10C3-2A98-4251-AE88-76C474B7C157}" name="Column902"/>
    <tableColumn id="903" xr3:uid="{56CBE143-C893-41EA-9735-AD2B95EBC51B}" name="Column903"/>
    <tableColumn id="904" xr3:uid="{A1CE8A1F-AEC2-4016-A5AE-5B697F2621BC}" name="Column904"/>
    <tableColumn id="905" xr3:uid="{BF098FC7-EFDF-4E73-A417-2AB17A47C6F3}" name="Column905"/>
    <tableColumn id="906" xr3:uid="{5B08140D-5F7D-4813-9D2D-C31FE05226E7}" name="Column906"/>
    <tableColumn id="907" xr3:uid="{2D1B628F-A16A-4796-84E7-61E1230B4EC8}" name="Column907"/>
    <tableColumn id="908" xr3:uid="{488AFBEF-1F26-41BB-B697-4FDC34D26154}" name="Column908"/>
    <tableColumn id="909" xr3:uid="{57EE77E9-5331-4FAC-95C8-09CA7091552D}" name="Column909"/>
    <tableColumn id="910" xr3:uid="{03F6EFC2-15E8-4FBB-BFD4-CABDA3E821EB}" name="Column910"/>
    <tableColumn id="911" xr3:uid="{AD9FCB14-C4A9-46A0-A160-4BC6534F2862}" name="Column911"/>
    <tableColumn id="912" xr3:uid="{44FED1C5-976B-48AC-8CB2-CA1EBCA5DBA8}" name="Column912"/>
    <tableColumn id="913" xr3:uid="{537A621C-918C-4044-BE02-A47924696B61}" name="Column913"/>
    <tableColumn id="914" xr3:uid="{1A3B4303-7805-4AFD-9BC2-AF0BCFFBC276}" name="Column914"/>
    <tableColumn id="915" xr3:uid="{37C884B2-5DAA-4EE2-A7A4-D8A00178D670}" name="Column915"/>
    <tableColumn id="916" xr3:uid="{CAA4F337-94B3-4553-B19C-FC70A9DA9B6B}" name="Column916"/>
    <tableColumn id="917" xr3:uid="{42DCF4AB-F198-4D7D-9513-8A4450A7DF2F}" name="Column917"/>
    <tableColumn id="918" xr3:uid="{1FDBCF73-1BB4-4703-AB06-956E042FE9A2}" name="Column918"/>
    <tableColumn id="919" xr3:uid="{815678FD-42BE-4CDB-8B52-CEEA1DC070FE}" name="Column919"/>
    <tableColumn id="920" xr3:uid="{42F8008C-0AF2-40CE-8D8D-AA1828B50FF0}" name="Column920"/>
    <tableColumn id="921" xr3:uid="{408C6B71-633E-4ACC-9D76-D47E674F64C9}" name="Column921"/>
    <tableColumn id="922" xr3:uid="{F454158A-12FB-4B99-94A4-4BE31CA98CC8}" name="Column922"/>
    <tableColumn id="923" xr3:uid="{2D725133-7EC5-4B55-9C28-EAC1FD75D027}" name="Column923"/>
    <tableColumn id="924" xr3:uid="{A7AB97BD-06B5-4A3C-9EB6-2A165930D7EC}" name="Column924"/>
    <tableColumn id="925" xr3:uid="{1E02A1A9-4661-41FF-9001-E4552CFE01C0}" name="Column925"/>
    <tableColumn id="926" xr3:uid="{A3F7AFFB-4379-475C-B374-2713834EA03B}" name="Column926"/>
    <tableColumn id="927" xr3:uid="{DCF833B1-ADBD-48DF-9530-6EA3A48BDCD8}" name="Column927"/>
    <tableColumn id="928" xr3:uid="{E64235D9-C03B-40EB-B5C8-CF5A2C24DE18}" name="Column928"/>
    <tableColumn id="929" xr3:uid="{19D649D0-B4D2-4BFA-81F4-14CC10292209}" name="Column929"/>
    <tableColumn id="930" xr3:uid="{51EB1EBA-0F39-41D6-AB23-11C0235E588F}" name="Column930"/>
    <tableColumn id="931" xr3:uid="{28AA6E28-36AB-4AD0-885B-3E79D09B691A}" name="Column931"/>
    <tableColumn id="932" xr3:uid="{0DAF46DC-A5A0-4CF5-BDB4-CE878F92CAAE}" name="Column932"/>
    <tableColumn id="933" xr3:uid="{17EE70A8-5A90-4F00-B4D8-FD96F76B0758}" name="Column933"/>
    <tableColumn id="934" xr3:uid="{E5A8A9BE-4A86-40EC-A083-938C07D32142}" name="Column934"/>
    <tableColumn id="935" xr3:uid="{9861364D-2D5F-4AE5-B73E-B60130592E74}" name="Column935"/>
    <tableColumn id="936" xr3:uid="{3ACE2D10-B374-4A27-B710-3EA5CF37708E}" name="Column936"/>
    <tableColumn id="937" xr3:uid="{500597CC-5EF4-4DF1-9F79-9BF500753F34}" name="Column937"/>
    <tableColumn id="938" xr3:uid="{52487A75-2A6F-4526-9E85-F26A1587C358}" name="Column938"/>
    <tableColumn id="939" xr3:uid="{6F2541DC-E0EE-4767-A1E5-CC99EC359FFA}" name="Column939"/>
    <tableColumn id="940" xr3:uid="{30037238-39CE-41E6-8960-7B5098A1D8BC}" name="Column940"/>
    <tableColumn id="941" xr3:uid="{1EE5D183-F52D-42DB-8BB1-5B2D7E1A6261}" name="Column941"/>
    <tableColumn id="942" xr3:uid="{F1D7FDE7-3D79-4ADB-B49E-1CD864D0DF4B}" name="Column942"/>
    <tableColumn id="943" xr3:uid="{A964086B-8A42-48C6-9093-2803158C0309}" name="Column943"/>
    <tableColumn id="944" xr3:uid="{1490FC37-82D8-45AA-A459-E2B399F8B112}" name="Column944"/>
    <tableColumn id="945" xr3:uid="{969C77E3-FB38-4EE9-A650-463522D3C04E}" name="Column945"/>
    <tableColumn id="946" xr3:uid="{6994A674-3326-4999-B22B-D1106E6398FB}" name="Column946"/>
    <tableColumn id="947" xr3:uid="{43D6ABDE-2F52-49ED-9641-FD8F835031C9}" name="Column947"/>
    <tableColumn id="948" xr3:uid="{8DC5E139-99D4-492F-9BDB-8296032823D2}" name="Column948"/>
    <tableColumn id="949" xr3:uid="{9BF47055-9A95-4B40-9BC8-1F6AD301BD55}" name="Column949"/>
    <tableColumn id="950" xr3:uid="{ADC658E5-28E5-4C41-8C3B-AED5B7E5B7D2}" name="Column950"/>
    <tableColumn id="951" xr3:uid="{44D3AEB7-0C52-46C8-9A4E-41416B324BCB}" name="Column951"/>
    <tableColumn id="952" xr3:uid="{6748978E-5419-4F07-B68D-DDB64C7C532E}" name="Column952"/>
    <tableColumn id="953" xr3:uid="{813DC7A1-479F-4755-A455-0776ADAA8AD3}" name="Column953"/>
    <tableColumn id="954" xr3:uid="{68BD9C90-8A96-4E4E-A8A4-BB3069D61232}" name="Column954"/>
    <tableColumn id="955" xr3:uid="{C0835A2C-CEC2-4151-BA44-DCFDCF5EDD58}" name="Column955"/>
    <tableColumn id="956" xr3:uid="{806C6376-EF36-4672-AF7B-8ED9B5C63E1D}" name="Column956"/>
    <tableColumn id="957" xr3:uid="{3922F470-C2A3-402D-BBA7-AC716E3166D9}" name="Column957"/>
    <tableColumn id="958" xr3:uid="{091D8F79-3A33-4405-A7B8-6DE553A05527}" name="Column958"/>
    <tableColumn id="959" xr3:uid="{D8F1EB5B-4A1C-46B3-82AB-79682E2B7A5B}" name="Column959"/>
    <tableColumn id="960" xr3:uid="{A4E79154-5728-4FC3-8B22-4DD183E60EC9}" name="Column960"/>
    <tableColumn id="961" xr3:uid="{FA765CE0-DA1A-476D-B056-A5D42622AEEC}" name="Column961"/>
    <tableColumn id="962" xr3:uid="{707BAEC8-BB84-43DD-B392-9DCEA872777A}" name="Column962"/>
    <tableColumn id="963" xr3:uid="{E572AAD9-DC17-421D-A4D1-F5451E924919}" name="Column963"/>
    <tableColumn id="964" xr3:uid="{C1BFB597-8112-44B6-B429-33C9B5735DA9}" name="Column964"/>
    <tableColumn id="965" xr3:uid="{0D9694AB-4D99-4AD7-B682-68E55518B651}" name="Column965"/>
    <tableColumn id="966" xr3:uid="{6341D28C-A7DE-489E-BA3B-52BA37BC7350}" name="Column966"/>
    <tableColumn id="967" xr3:uid="{FC82D13C-BE47-4F38-815C-98C11F8052FE}" name="Column967"/>
    <tableColumn id="968" xr3:uid="{730F8E19-0931-4612-BA16-E692B47C4738}" name="Column968"/>
    <tableColumn id="969" xr3:uid="{E6E01E07-4672-4CCC-85E6-8D682BCE0CC8}" name="Column969"/>
    <tableColumn id="970" xr3:uid="{5511C42B-B259-460C-8210-31C295EF738C}" name="Column970"/>
    <tableColumn id="971" xr3:uid="{BE4E2EA3-0C73-4737-B234-5540667B7C90}" name="Column971"/>
    <tableColumn id="972" xr3:uid="{901215AA-C73C-425F-A451-9C27E8182818}" name="Column972"/>
    <tableColumn id="973" xr3:uid="{F926F114-D6A1-47AD-A161-4B210AC433B8}" name="Column973"/>
    <tableColumn id="974" xr3:uid="{51A23900-A37E-4B51-9B9B-18B1ECEB8B24}" name="Column974"/>
    <tableColumn id="975" xr3:uid="{2BCB2962-55DD-4D30-A99F-3D644E635ABF}" name="Column975"/>
    <tableColumn id="976" xr3:uid="{E5CF5D12-AE44-490F-BE80-37EC88EEAAC7}" name="Column976"/>
    <tableColumn id="977" xr3:uid="{4C33A6F3-733F-41DF-9595-45782846B4E9}" name="Column977"/>
    <tableColumn id="978" xr3:uid="{D9F0909F-C6FE-4827-88F0-C66E8372C535}" name="Column978"/>
    <tableColumn id="979" xr3:uid="{382BF02C-DBDA-4518-9DE2-163285ED57DE}" name="Column979"/>
    <tableColumn id="980" xr3:uid="{E1B2F48E-3719-4B41-9471-3605BDCA0A9B}" name="Column980"/>
    <tableColumn id="981" xr3:uid="{7FD87809-E786-408F-BEA9-DE7D7C29F19D}" name="Column981"/>
    <tableColumn id="982" xr3:uid="{EE704849-A73A-4094-9D4C-AB61CABB2746}" name="Column982"/>
    <tableColumn id="983" xr3:uid="{AEDDF64C-22E5-487B-8196-69DF9431C252}" name="Column983"/>
    <tableColumn id="984" xr3:uid="{20F6AEA1-C6F5-4BEC-9003-575B08FFFCDE}" name="Column984"/>
    <tableColumn id="985" xr3:uid="{C8A48F80-411A-4A57-8B07-A3B0824C52CF}" name="Column985"/>
    <tableColumn id="986" xr3:uid="{01A54EAE-1D27-45C9-84D5-ED017627BC16}" name="Column986"/>
    <tableColumn id="987" xr3:uid="{80D35AAB-7EA9-426F-8831-8E545108581D}" name="Column987"/>
    <tableColumn id="988" xr3:uid="{E5AC8E58-5F31-474A-9A3B-889EDBD78D7C}" name="Column988"/>
    <tableColumn id="989" xr3:uid="{0AB27601-50A0-4F3E-B0C6-39849588F3A3}" name="Column989"/>
    <tableColumn id="990" xr3:uid="{2295C62B-6530-48C6-AA1F-37430D41AD18}" name="Column990"/>
    <tableColumn id="991" xr3:uid="{835E3F4D-C916-41A0-B21A-331A122404C6}" name="Column991"/>
    <tableColumn id="992" xr3:uid="{600DEF5A-E3EF-41C1-A46F-5ED19FED5B3B}" name="Column992"/>
    <tableColumn id="993" xr3:uid="{81A60AFD-5572-4904-A89E-255F63D69F37}" name="Column993"/>
    <tableColumn id="994" xr3:uid="{03C74313-74E3-4B72-8584-5572875439BE}" name="Column994"/>
    <tableColumn id="995" xr3:uid="{711B365E-E479-4676-93FE-D04A00092940}" name="Column995"/>
    <tableColumn id="996" xr3:uid="{9A07861F-8BFC-4ED0-A27A-CFF859F6A5B4}" name="Column996"/>
    <tableColumn id="997" xr3:uid="{503D5225-4EEB-4AE7-94EE-ACA3775A954D}" name="Column997"/>
    <tableColumn id="998" xr3:uid="{D11863EE-A986-4008-806D-767C9FE83924}" name="Column998"/>
    <tableColumn id="999" xr3:uid="{378898D9-A190-415C-8A6C-77D9EC69D029}" name="Column999"/>
    <tableColumn id="1000" xr3:uid="{B4D67C9B-08EC-4705-98E1-2235351F5F18}" name="Column1000"/>
    <tableColumn id="1001" xr3:uid="{02E1463D-17C7-410E-B271-B516423650B0}" name="Column1001"/>
    <tableColumn id="1002" xr3:uid="{9FA27C3F-A95E-409F-B597-D3535F4CCBF4}" name="Column1002"/>
    <tableColumn id="1003" xr3:uid="{4176ABAB-F370-4362-A816-A6757FE1A979}" name="Column1003"/>
    <tableColumn id="1004" xr3:uid="{B5B5E50F-DE56-43C6-A494-BBF10D52FD69}" name="Column1004"/>
    <tableColumn id="1005" xr3:uid="{D63058F1-786C-432F-8DC0-AEE7B0798B60}" name="Column1005"/>
    <tableColumn id="1006" xr3:uid="{0910375E-2D91-4C5B-AD14-23B54ECFB8E5}" name="Column1006"/>
    <tableColumn id="1007" xr3:uid="{E9869C01-782C-4F2D-AF88-931CE7A0B4C5}" name="Column1007"/>
    <tableColumn id="1008" xr3:uid="{0B7E0ECC-CC4E-44C6-95AF-6CBF9DC98348}" name="Column1008"/>
    <tableColumn id="1009" xr3:uid="{9EE0B638-EEC3-4761-A09F-295206E59BDA}" name="Column1009"/>
    <tableColumn id="1010" xr3:uid="{127815B7-3398-461D-9561-79AA6DC7ACB4}" name="Column1010"/>
    <tableColumn id="1011" xr3:uid="{1FFD17CB-C1EA-41DA-B3A9-E398E6811A9B}" name="Column1011"/>
    <tableColumn id="1012" xr3:uid="{9C3B01D6-E5A9-4DC9-A9E9-C5DA5C888DDE}" name="Column1012"/>
    <tableColumn id="1013" xr3:uid="{B1C64377-F229-447F-886C-411BADC22A0A}" name="Column1013"/>
    <tableColumn id="1014" xr3:uid="{14612F69-556C-4235-A019-6681C957EE7E}" name="Column1014"/>
    <tableColumn id="1015" xr3:uid="{2588A041-D25B-4EDE-A31C-9A29C14CDD55}" name="Column1015"/>
    <tableColumn id="1016" xr3:uid="{87271FDF-BD21-4C30-9F3D-6DCC2E993BAF}" name="Column1016"/>
    <tableColumn id="1017" xr3:uid="{08C06229-CE07-42F5-B547-2217CBD60B8B}" name="Column1017"/>
    <tableColumn id="1018" xr3:uid="{D625AE7F-7E2D-4D0A-AB34-6BE67E54E3CA}" name="Column1018"/>
    <tableColumn id="1019" xr3:uid="{B9EC537F-A0F5-4CFE-9AF6-064E504196DC}" name="Column1019"/>
    <tableColumn id="1020" xr3:uid="{3935795D-6F98-4ED2-8A06-BD5E0CF1E7AF}" name="Column1020"/>
    <tableColumn id="1021" xr3:uid="{1654D5EF-8B88-4818-A666-BC788A100715}" name="Column1021"/>
    <tableColumn id="1022" xr3:uid="{81579966-A06B-4887-96D6-6B53D34F92E5}" name="Column1022"/>
    <tableColumn id="1023" xr3:uid="{56E64DC8-903B-4E31-8793-C6B79EA2501B}" name="Column1023"/>
    <tableColumn id="1024" xr3:uid="{28373CD7-D350-4154-98B6-1B53685C0642}" name="Column1024"/>
    <tableColumn id="1025" xr3:uid="{1C8021E9-D452-4E70-B18A-1677221D33C6}" name="Column1025"/>
    <tableColumn id="1026" xr3:uid="{F1C9A8BB-139B-4270-86B9-832B01A7484E}" name="Column1026"/>
    <tableColumn id="1027" xr3:uid="{5CA7C013-98EE-4A55-AE7D-C2A677E46CF1}" name="Column1027"/>
    <tableColumn id="1028" xr3:uid="{98A73038-D906-452F-9097-9DF7F5AFBDB8}" name="Column1028"/>
    <tableColumn id="1029" xr3:uid="{559477AA-345D-4AD3-A995-31FCCDB0BDD2}" name="Column1029"/>
    <tableColumn id="1030" xr3:uid="{10389048-0147-470C-9482-D9A781275244}" name="Column1030"/>
    <tableColumn id="1031" xr3:uid="{4F55730F-469B-41CC-9627-6896BA83C5BF}" name="Column1031"/>
    <tableColumn id="1032" xr3:uid="{6C6511EC-1A0C-43FB-831F-34E83B57812E}" name="Column1032"/>
    <tableColumn id="1033" xr3:uid="{0AD295C2-A3E2-4C27-ADD8-697139B6683E}" name="Column1033"/>
    <tableColumn id="1034" xr3:uid="{1F00F69C-E996-48CF-8737-0EB2D574E5C2}" name="Column1034"/>
    <tableColumn id="1035" xr3:uid="{58592905-16E2-4772-ACA3-8A78CE4E7802}" name="Column1035"/>
    <tableColumn id="1036" xr3:uid="{06E00FBF-A42C-4F75-8549-57A3778992E1}" name="Column1036"/>
    <tableColumn id="1037" xr3:uid="{139114AD-DEC9-4D70-ADE6-B99879CF0131}" name="Column1037"/>
    <tableColumn id="1038" xr3:uid="{5C43EDFC-C010-4CCD-AEC7-C05C2EE7BBE5}" name="Column1038"/>
    <tableColumn id="1039" xr3:uid="{EC954A1B-42DD-4FFA-A04E-D3B1F3864E0A}" name="Column1039"/>
    <tableColumn id="1040" xr3:uid="{63028191-47EB-446F-AB76-4C75A1BD5508}" name="Column1040"/>
    <tableColumn id="1041" xr3:uid="{229FA1AA-F719-49BA-9D08-7ECD039EFCB1}" name="Column1041"/>
    <tableColumn id="1042" xr3:uid="{E37D74EF-2AB1-44A7-A8DE-0F7BA7BC8E75}" name="Column1042"/>
    <tableColumn id="1043" xr3:uid="{D64C5686-309E-4528-9220-193A4A0165A0}" name="Column1043"/>
    <tableColumn id="1044" xr3:uid="{ED4300D0-8E0F-48FB-B9B1-71C6DCDABACA}" name="Column1044"/>
    <tableColumn id="1045" xr3:uid="{111914C4-A67C-4E5A-B42E-5380991ADE15}" name="Column1045"/>
    <tableColumn id="1046" xr3:uid="{F48A300A-C0A2-49F5-9111-6494FC8DCA6D}" name="Column1046"/>
    <tableColumn id="1047" xr3:uid="{414036CB-A03B-42BA-B851-3FA5CBDAA02C}" name="Column1047"/>
    <tableColumn id="1048" xr3:uid="{BFD66D9F-4BE9-4EF4-A9C4-825C65B9BBE7}" name="Column1048"/>
    <tableColumn id="1049" xr3:uid="{FBC6D04C-1D38-4CC0-9DEA-00FB12C8F901}" name="Column1049"/>
    <tableColumn id="1050" xr3:uid="{AD82BCF3-34DE-4614-B3BC-DD46F5F8B9C9}" name="Column1050"/>
    <tableColumn id="1051" xr3:uid="{D9F7AB0C-5875-40B2-B7C6-674F2FA4D0D4}" name="Column1051"/>
    <tableColumn id="1052" xr3:uid="{E84F4E82-D400-4BE1-BF1F-E0AD46BF63A3}" name="Column1052"/>
    <tableColumn id="1053" xr3:uid="{402723B8-C878-4861-84B4-0362D9CBEE1D}" name="Column1053"/>
    <tableColumn id="1054" xr3:uid="{04450D58-FE9F-4B6A-8AEF-1FC9550613DC}" name="Column1054"/>
    <tableColumn id="1055" xr3:uid="{779E42BA-580E-4134-B9B8-5F8D7F3167F4}" name="Column1055"/>
    <tableColumn id="1056" xr3:uid="{D928F391-8A58-4CFD-8809-8C6DC75357BA}" name="Column1056"/>
    <tableColumn id="1057" xr3:uid="{E93CE0F0-4233-499B-97CC-C937C0C71812}" name="Column1057"/>
    <tableColumn id="1058" xr3:uid="{38C81617-BCEB-405C-8385-8CD763DD53F5}" name="Column1058"/>
    <tableColumn id="1059" xr3:uid="{39AE0EB4-662D-43A3-A888-4D8B79CEB2DE}" name="Column1059"/>
    <tableColumn id="1060" xr3:uid="{35325E38-144B-498A-8892-3ED90DB0B820}" name="Column1060"/>
    <tableColumn id="1061" xr3:uid="{5D644EEC-0A51-442E-885F-66E5CE0886EF}" name="Column1061"/>
    <tableColumn id="1062" xr3:uid="{AEFDA5F0-80E9-4901-84A4-90A1054D1440}" name="Column1062"/>
    <tableColumn id="1063" xr3:uid="{E2763DE4-44F9-4D6B-9FD5-CE727E46DA86}" name="Column1063"/>
    <tableColumn id="1064" xr3:uid="{9D84332B-D77E-440F-9565-BE478B22F843}" name="Column1064"/>
    <tableColumn id="1065" xr3:uid="{93262E19-2C71-48D8-8D2A-668FD56693BE}" name="Column1065"/>
    <tableColumn id="1066" xr3:uid="{35D30265-ABD3-47A9-B72D-5CA188FB0D8D}" name="Column1066"/>
    <tableColumn id="1067" xr3:uid="{361BD769-FA02-40F6-9A35-E2BF60DBBED3}" name="Column1067"/>
    <tableColumn id="1068" xr3:uid="{2C5A0094-4E72-45AF-A24B-6647FBF68A3A}" name="Column1068"/>
    <tableColumn id="1069" xr3:uid="{921DFA28-B480-44B1-9B36-93D369AD1BF7}" name="Column1069"/>
    <tableColumn id="1070" xr3:uid="{B2C255EF-E4C4-478E-B262-7D1A9D47FF1C}" name="Column1070"/>
    <tableColumn id="1071" xr3:uid="{E62BF191-5893-4278-9665-33A97E4DB06D}" name="Column1071"/>
    <tableColumn id="1072" xr3:uid="{9A9619C8-38C0-4DFF-9E21-B6EF1BD0B0F4}" name="Column1072"/>
    <tableColumn id="1073" xr3:uid="{EE970592-3E38-42FF-A489-B8DED1465C23}" name="Column1073"/>
    <tableColumn id="1074" xr3:uid="{C0CAD423-8457-4A00-A1B9-D381CF186743}" name="Column1074"/>
    <tableColumn id="1075" xr3:uid="{9138016C-5738-4981-8F3A-24BD95973ACB}" name="Column1075"/>
    <tableColumn id="1076" xr3:uid="{81ED498F-6D10-4B70-BA4C-1FEF180D6866}" name="Column1076"/>
    <tableColumn id="1077" xr3:uid="{04D2266E-41E8-4C14-8CFB-CAC9043336D4}" name="Column1077"/>
    <tableColumn id="1078" xr3:uid="{216DE86E-533F-4967-BAEF-B6F8265B5CB0}" name="Column1078"/>
    <tableColumn id="1079" xr3:uid="{108ED7EC-D25D-46C3-9213-0028DD34FF1D}" name="Column1079"/>
    <tableColumn id="1080" xr3:uid="{E2236782-9E29-4CFC-B67B-6B422FFC79C3}" name="Column1080"/>
    <tableColumn id="1081" xr3:uid="{E90FE97E-2F23-4006-94ED-80C71B61BDF7}" name="Column1081"/>
    <tableColumn id="1082" xr3:uid="{B3B00DD7-EBB5-47CE-AA4A-FCE6135E6E07}" name="Column1082"/>
    <tableColumn id="1083" xr3:uid="{90D6C6A6-69DC-4689-88B5-B88F4235D1FF}" name="Column1083"/>
    <tableColumn id="1084" xr3:uid="{D29D3E25-E874-409B-ABC0-EF32F5FF8E72}" name="Column1084"/>
    <tableColumn id="1085" xr3:uid="{F5DD4BA0-0408-44A4-BAC1-14BEEE50EA5D}" name="Column1085"/>
    <tableColumn id="1086" xr3:uid="{F5E52F7F-DEE4-4D85-95E3-617EB0845EC2}" name="Column1086"/>
    <tableColumn id="1087" xr3:uid="{B14CA132-CA04-478D-9D4F-B5F3F385146A}" name="Column1087"/>
    <tableColumn id="1088" xr3:uid="{AAFC20C0-92AC-4DFB-8912-1CC8E2C373C0}" name="Column1088"/>
    <tableColumn id="1089" xr3:uid="{C0992287-738E-4BDC-ADA0-366F6D86FCDA}" name="Column1089"/>
    <tableColumn id="1090" xr3:uid="{0B2EC609-6ECE-4417-B84F-8708A1191F7E}" name="Column1090"/>
    <tableColumn id="1091" xr3:uid="{D38378BB-CD9B-4BB7-96F9-083581E873A1}" name="Column1091"/>
    <tableColumn id="1092" xr3:uid="{1744E8C0-642B-4A46-8842-24858D6D9895}" name="Column1092"/>
    <tableColumn id="1093" xr3:uid="{E0DE597E-BAD1-4288-8D2B-14FCE2982EA0}" name="Column1093"/>
    <tableColumn id="1094" xr3:uid="{813CFF74-9BF7-43F2-8F47-82CAC983E60F}" name="Column1094"/>
    <tableColumn id="1095" xr3:uid="{B61F71C9-6BEC-4C16-BBA8-8EFF943D4497}" name="Column1095"/>
    <tableColumn id="1096" xr3:uid="{1E693F2B-5928-4F2C-A12C-B3E7DDD1D95B}" name="Column1096"/>
    <tableColumn id="1097" xr3:uid="{B1D7E639-E61E-49B1-AF65-62C90A8FF8F6}" name="Column1097"/>
    <tableColumn id="1098" xr3:uid="{5E19FA18-1AC6-400D-B2E1-BB39CB24C2B7}" name="Column1098"/>
    <tableColumn id="1099" xr3:uid="{88FA23AD-CF94-4784-808F-C00C90E73398}" name="Column1099"/>
    <tableColumn id="1100" xr3:uid="{12EFD72F-E42F-4660-A974-5B3C5B301F7B}" name="Column1100"/>
    <tableColumn id="1101" xr3:uid="{CEE06E07-D5A6-440B-93E5-A61F11E2EF8C}" name="Column1101"/>
    <tableColumn id="1102" xr3:uid="{E7FB9B93-EBFB-4B8C-831B-6AD387694E97}" name="Column1102"/>
    <tableColumn id="1103" xr3:uid="{11E3D9CE-8FA4-4A6C-92C6-C959AE5CC4DD}" name="Column1103"/>
    <tableColumn id="1104" xr3:uid="{B0106D36-84AB-440C-A54D-E2699B25C0F1}" name="Column1104"/>
    <tableColumn id="1105" xr3:uid="{CDFB1DB7-B516-4C44-9C9B-E215F7367E6D}" name="Column1105"/>
    <tableColumn id="1106" xr3:uid="{ABCEB1AF-824D-406E-B134-C9469213D2CB}" name="Column1106"/>
    <tableColumn id="1107" xr3:uid="{D50A495A-E586-4CD6-82CE-677678D08DFE}" name="Column1107"/>
    <tableColumn id="1108" xr3:uid="{F9DC29A8-99C4-4FF6-BA57-D30FFD33D399}" name="Column1108"/>
    <tableColumn id="1109" xr3:uid="{59E6844B-A17C-45D5-8B09-023EA204AD7E}" name="Column1109"/>
    <tableColumn id="1110" xr3:uid="{7C8E31BA-3415-49EB-ABE6-E706221F9CB5}" name="Column1110"/>
    <tableColumn id="1111" xr3:uid="{2483F58B-6B4F-41DB-B569-5FC7F6614B8A}" name="Column1111"/>
    <tableColumn id="1112" xr3:uid="{293132C6-EAC1-4A78-9A07-717DCDEBA366}" name="Column1112"/>
    <tableColumn id="1113" xr3:uid="{827733F5-DC3F-4227-ACDB-F1381AFED0F7}" name="Column1113"/>
    <tableColumn id="1114" xr3:uid="{41998FFB-DC78-4B07-A58B-1111D9388576}" name="Column1114"/>
    <tableColumn id="1115" xr3:uid="{58538722-5EA8-4000-9C6B-EA92B664E43A}" name="Column1115"/>
    <tableColumn id="1116" xr3:uid="{B79BC39C-D7D4-4C0B-BEC5-07F1FFCEC479}" name="Column1116"/>
    <tableColumn id="1117" xr3:uid="{CB7370E8-C641-460C-92CC-8F98A2560D5D}" name="Column1117"/>
    <tableColumn id="1118" xr3:uid="{2110C359-C4DD-4A07-B5C2-2C3A25FD96FC}" name="Column1118"/>
    <tableColumn id="1119" xr3:uid="{A7477851-5E1C-4DFF-A5C9-50541414C8AB}" name="Column1119"/>
    <tableColumn id="1120" xr3:uid="{4DB20EF6-C524-4930-AB11-45C77DA74519}" name="Column1120"/>
    <tableColumn id="1121" xr3:uid="{E151A422-567B-4A42-A6F0-4D7A019DE93A}" name="Column1121"/>
    <tableColumn id="1122" xr3:uid="{6E065239-9EF3-40DF-8246-BE59481FD0C2}" name="Column1122"/>
    <tableColumn id="1123" xr3:uid="{A09AFE2E-0E8A-4CCC-B316-9445E8F66000}" name="Column1123"/>
    <tableColumn id="1124" xr3:uid="{DA344625-6EE6-48FF-BB4C-45296D921518}" name="Column1124"/>
    <tableColumn id="1125" xr3:uid="{6D85D292-FDF9-4841-826E-96EB05978920}" name="Column1125"/>
    <tableColumn id="1126" xr3:uid="{9BDD0A43-A072-47BB-A857-7E166890B93F}" name="Column1126"/>
    <tableColumn id="1127" xr3:uid="{D378378D-4734-495D-AE42-31C864989B94}" name="Column1127"/>
    <tableColumn id="1128" xr3:uid="{37E5CC21-69E5-42BD-813F-A762AAF50C1E}" name="Column1128"/>
    <tableColumn id="1129" xr3:uid="{19BAD7EB-B6A5-40E8-A7B1-CBC4CD0B2DAC}" name="Column1129"/>
    <tableColumn id="1130" xr3:uid="{79DE1916-96FA-482A-A0F6-359E551A703B}" name="Column1130"/>
    <tableColumn id="1131" xr3:uid="{78074751-42A2-4D13-AF24-193DCAFDA289}" name="Column1131"/>
    <tableColumn id="1132" xr3:uid="{9AA667F4-8221-480F-A3A0-7E575784A94B}" name="Column1132"/>
    <tableColumn id="1133" xr3:uid="{82CEC5F8-B411-4D31-A95D-CC9CA77E664E}" name="Column1133"/>
    <tableColumn id="1134" xr3:uid="{8C2EA1E5-A9A0-4DAF-800D-DA0C18CC104A}" name="Column1134"/>
    <tableColumn id="1135" xr3:uid="{9BB8F0E2-85D3-4E37-8816-D5B7948412BC}" name="Column1135"/>
    <tableColumn id="1136" xr3:uid="{CE5AB166-FB69-46D6-A448-8881E7B89C83}" name="Column1136"/>
    <tableColumn id="1137" xr3:uid="{47FBB611-321D-4D8A-BB40-176540E6D75B}" name="Column1137"/>
    <tableColumn id="1138" xr3:uid="{EFBAC63F-E9AD-48BA-9D17-9CE6063463AF}" name="Column1138"/>
    <tableColumn id="1139" xr3:uid="{1AE71426-444A-4C4C-AA19-63F2172BED2F}" name="Column1139"/>
    <tableColumn id="1140" xr3:uid="{5D60C3C2-1360-4CB6-826B-11F65BB618CD}" name="Column1140"/>
    <tableColumn id="1141" xr3:uid="{F4A10FB3-F3CE-431D-B1EA-39E3E4B82027}" name="Column1141"/>
    <tableColumn id="1142" xr3:uid="{8624CE1B-57FF-49A9-9375-6A1C7689EA0A}" name="Column1142"/>
    <tableColumn id="1143" xr3:uid="{39D89F03-AEEC-46F7-A2BA-C9FEC3991B24}" name="Column1143"/>
    <tableColumn id="1144" xr3:uid="{9DAB6975-AF54-4D50-A951-D2F7B9A6CE44}" name="Column1144"/>
    <tableColumn id="1145" xr3:uid="{81A6C9D1-740C-4873-A93F-B622C03EEC38}" name="Column1145"/>
    <tableColumn id="1146" xr3:uid="{749D3C9A-0402-4643-9E5E-305CA1EEC46A}" name="Column1146"/>
    <tableColumn id="1147" xr3:uid="{03C9EE53-BD03-48BC-8F83-4A658142E17F}" name="Column1147"/>
    <tableColumn id="1148" xr3:uid="{1AC614E6-FE74-4F5E-8D00-7787BDD48AB4}" name="Column1148"/>
    <tableColumn id="1149" xr3:uid="{5A67EA26-3B9E-4967-8A99-4BBCBDF76784}" name="Column1149"/>
    <tableColumn id="1150" xr3:uid="{59C862C6-51E4-4929-96C3-753C879C5133}" name="Column1150"/>
    <tableColumn id="1151" xr3:uid="{54C25946-FC37-4BB5-8231-F49C0C336BF3}" name="Column1151"/>
    <tableColumn id="1152" xr3:uid="{3E1115E6-9E30-448D-838E-9E53362019D4}" name="Column1152"/>
    <tableColumn id="1153" xr3:uid="{9ED68FB0-42C0-4E3B-92E7-9BA9A06D6970}" name="Column1153"/>
    <tableColumn id="1154" xr3:uid="{1E6C7C0D-CE8D-41D0-8FF6-E3A67BE49905}" name="Column1154"/>
    <tableColumn id="1155" xr3:uid="{249D97CF-1F20-4A28-92D0-EB2B3B7A24B4}" name="Column1155"/>
    <tableColumn id="1156" xr3:uid="{0FD83812-CF27-45F0-8D71-863EE5402820}" name="Column1156"/>
    <tableColumn id="1157" xr3:uid="{39E1D90D-5570-429A-A594-C9E6ECFBCC0E}" name="Column1157"/>
    <tableColumn id="1158" xr3:uid="{8C12841A-8037-4825-853C-08387C720E8C}" name="Column1158"/>
    <tableColumn id="1159" xr3:uid="{B52CDE58-E37A-4E96-9347-E774F58AFB34}" name="Column1159"/>
    <tableColumn id="1160" xr3:uid="{A2A857A8-7FAF-4E68-8149-A1E2F2441ABC}" name="Column1160"/>
    <tableColumn id="1161" xr3:uid="{2498B5E6-CCF8-410C-A927-407AD3779A12}" name="Column1161"/>
    <tableColumn id="1162" xr3:uid="{E0F3CAAA-FC91-460B-AAD2-9693FB81A6E6}" name="Column1162"/>
    <tableColumn id="1163" xr3:uid="{EC36B5B7-3F1C-4A6D-915C-CDC23A081B0C}" name="Column1163"/>
    <tableColumn id="1164" xr3:uid="{81D5CF65-6478-4AD0-A638-7DB76C8DF3C0}" name="Column1164"/>
    <tableColumn id="1165" xr3:uid="{F884C556-81F9-491A-ADC1-4EDA96028894}" name="Column1165"/>
    <tableColumn id="1166" xr3:uid="{4B6C6407-C179-4B4A-884D-F522595E4F66}" name="Column1166"/>
    <tableColumn id="1167" xr3:uid="{1A84981F-45F6-4A15-87A8-B6F41BA33CC7}" name="Column1167"/>
    <tableColumn id="1168" xr3:uid="{2DEA04C5-6795-477E-8A30-61CCA1832D6D}" name="Column1168"/>
    <tableColumn id="1169" xr3:uid="{B62FA5C6-37CF-4087-94C4-4130058250A4}" name="Column1169"/>
    <tableColumn id="1170" xr3:uid="{C82DA7E9-B57F-43E2-BF91-8B73FDF57B95}" name="Column1170"/>
    <tableColumn id="1171" xr3:uid="{9EA81112-1117-4A7B-BBD6-FC43FFB61490}" name="Column1171"/>
    <tableColumn id="1172" xr3:uid="{12E9BDFC-5712-4AF1-8DBE-5834D97105A0}" name="Column1172"/>
    <tableColumn id="1173" xr3:uid="{CD489DA0-C990-4ABF-9427-B841FDD9685E}" name="Column1173"/>
    <tableColumn id="1174" xr3:uid="{B2D9ACB9-731C-48EF-9F23-D56A2965B317}" name="Column1174"/>
    <tableColumn id="1175" xr3:uid="{29CB6982-ED95-46A0-A2FB-34AE8FF06285}" name="Column1175"/>
    <tableColumn id="1176" xr3:uid="{7DBDA517-3EBB-4384-84F1-A7046C65094F}" name="Column1176"/>
    <tableColumn id="1177" xr3:uid="{5B2AFD66-A379-4AB7-9C0C-5FFFF56134D7}" name="Column1177"/>
    <tableColumn id="1178" xr3:uid="{612E6D8F-BA3A-4D94-9BF0-9A24FC8BB68A}" name="Column1178"/>
    <tableColumn id="1179" xr3:uid="{0AA64A47-6097-4CBF-ADEC-C900D56DDD65}" name="Column1179"/>
    <tableColumn id="1180" xr3:uid="{7EE148E1-27F4-4A48-A08A-9101D48A3505}" name="Column1180"/>
    <tableColumn id="1181" xr3:uid="{DAF68685-A651-454F-8132-1DE814D4391B}" name="Column1181"/>
    <tableColumn id="1182" xr3:uid="{55569334-4074-4D68-973E-1C70E0B3F074}" name="Column1182"/>
    <tableColumn id="1183" xr3:uid="{0F908207-D9C8-4A9F-8223-7EE7BF9CD103}" name="Column1183"/>
    <tableColumn id="1184" xr3:uid="{EC0F7EE9-A961-4085-BC3E-EBFACAEB21B3}" name="Column1184"/>
    <tableColumn id="1185" xr3:uid="{F2EE5813-2B3A-43E1-9DDE-F5A9D41C2660}" name="Column1185"/>
    <tableColumn id="1186" xr3:uid="{A9DC66FB-4804-46E7-8A49-B0DA48A3DD26}" name="Column1186"/>
    <tableColumn id="1187" xr3:uid="{FC72DB44-6ECB-46F8-882C-54BE8C97E67F}" name="Column1187"/>
    <tableColumn id="1188" xr3:uid="{17372EBF-123A-4A2E-9E9C-5AFD24D9764D}" name="Column1188"/>
    <tableColumn id="1189" xr3:uid="{CED575C9-2C16-4C32-A120-4E03B932FD46}" name="Column1189"/>
    <tableColumn id="1190" xr3:uid="{46D51C11-D4FC-464A-9613-D6831319E240}" name="Column1190"/>
    <tableColumn id="1191" xr3:uid="{7FA513BF-EC82-4E09-B1D9-860C4FE104B5}" name="Column1191"/>
    <tableColumn id="1192" xr3:uid="{D214FECB-4ED5-4170-ABFA-162ACC35501F}" name="Column1192"/>
    <tableColumn id="1193" xr3:uid="{1ACF0517-1386-43A6-870C-056C52387BAD}" name="Column1193"/>
    <tableColumn id="1194" xr3:uid="{FC2AE18A-C168-444F-AF7C-700724AEDB24}" name="Column1194"/>
    <tableColumn id="1195" xr3:uid="{9BAC0CF4-633E-4112-8271-B5A0D73E3577}" name="Column1195"/>
    <tableColumn id="1196" xr3:uid="{F8730F9B-9D0F-4ADD-984A-9256CE46827C}" name="Column1196"/>
    <tableColumn id="1197" xr3:uid="{D86C3B54-A0BA-45B6-9FBE-9D35804430EC}" name="Column1197"/>
    <tableColumn id="1198" xr3:uid="{CD730104-1A15-4580-8973-E518DD382185}" name="Column1198"/>
    <tableColumn id="1199" xr3:uid="{A3495DB6-EEC6-4C7C-B610-09EB78928E1D}" name="Column1199"/>
    <tableColumn id="1200" xr3:uid="{C5735D94-0BDC-4364-917A-5DC947F62472}" name="Column1200"/>
    <tableColumn id="1201" xr3:uid="{6BC49FAB-01FC-41A4-9B94-DC92D927B510}" name="Column1201"/>
    <tableColumn id="1202" xr3:uid="{C824B06F-AE1A-4096-BDAA-A52EA80B6498}" name="Column1202"/>
    <tableColumn id="1203" xr3:uid="{6A6B93A2-B3E4-4759-886F-3DE418F99B3F}" name="Column1203"/>
    <tableColumn id="1204" xr3:uid="{30D2886B-A8B1-4C1B-A727-FD7821309913}" name="Column1204"/>
    <tableColumn id="1205" xr3:uid="{FB4CC02A-0EE2-4A63-9CFF-31299A601EF4}" name="Column1205"/>
    <tableColumn id="1206" xr3:uid="{2278ADCC-359A-4C79-9C87-DB71C173EE33}" name="Column1206"/>
    <tableColumn id="1207" xr3:uid="{629CBFF1-DEC3-4898-8436-29BD5F0B455F}" name="Column1207"/>
    <tableColumn id="1208" xr3:uid="{093F18D5-2B10-4E90-96F7-24463BDA1F1A}" name="Column1208"/>
    <tableColumn id="1209" xr3:uid="{2DC62EE5-698E-434A-BD4A-05BE6AEA8108}" name="Column1209"/>
    <tableColumn id="1210" xr3:uid="{36E0E4FA-12E9-4897-97F6-57AA8DA34E0A}" name="Column1210"/>
    <tableColumn id="1211" xr3:uid="{BE02EA77-366E-4305-8EC6-88CC0AB69362}" name="Column1211"/>
    <tableColumn id="1212" xr3:uid="{1BF35532-F24F-4622-A107-32033395AFD9}" name="Column1212"/>
    <tableColumn id="1213" xr3:uid="{FA731E16-EEF4-44BE-AB84-E27C6E72D1FE}" name="Column1213"/>
    <tableColumn id="1214" xr3:uid="{CD05C4EA-51C1-4064-8A4E-0DC42DAD270B}" name="Column1214"/>
    <tableColumn id="1215" xr3:uid="{088116C9-2308-4A5C-82F6-1A8226464DBB}" name="Column1215"/>
    <tableColumn id="1216" xr3:uid="{4A1A419E-6BBD-46D2-A7CA-AF491F3E5FE3}" name="Column1216"/>
    <tableColumn id="1217" xr3:uid="{CB31D3CA-5FF7-43D2-B5C4-8DD73210FFD9}" name="Column1217"/>
    <tableColumn id="1218" xr3:uid="{EB7ABB1F-D23B-467E-9FB8-78FD432FBECB}" name="Column1218"/>
    <tableColumn id="1219" xr3:uid="{4E1B27B7-CB60-4BE5-B289-1A88C1CC320F}" name="Column1219"/>
    <tableColumn id="1220" xr3:uid="{49AB6DA5-539C-4726-976D-C7EE9FAB2E98}" name="Column1220"/>
    <tableColumn id="1221" xr3:uid="{5821634B-C715-4037-9750-9499D53FDDC0}" name="Column1221"/>
    <tableColumn id="1222" xr3:uid="{7A48FEE4-C4B7-4852-9D33-ADD1EE69F7BD}" name="Column1222"/>
    <tableColumn id="1223" xr3:uid="{5DEC5666-8690-4A56-9778-1F8A7FA52E43}" name="Column1223"/>
    <tableColumn id="1224" xr3:uid="{A3F05F8A-4DE0-4B6F-AA48-C69DA526EB9B}" name="Column1224"/>
    <tableColumn id="1225" xr3:uid="{9A9ED3C2-1B2C-43B2-B323-9FB199E4414A}" name="Column1225"/>
    <tableColumn id="1226" xr3:uid="{872E08B2-F12D-474E-B4CE-C72E265982F8}" name="Column1226"/>
    <tableColumn id="1227" xr3:uid="{82A8EDC0-5CDD-407B-839D-50F77B6CC6F2}" name="Column1227"/>
    <tableColumn id="1228" xr3:uid="{F85BE3A5-9669-4CEA-A4F6-069B271F99D6}" name="Column1228"/>
    <tableColumn id="1229" xr3:uid="{B7091671-D9E4-4683-BC89-7B43616B0414}" name="Column1229"/>
    <tableColumn id="1230" xr3:uid="{4E985403-8037-4E89-AF0B-36F6BC5150C9}" name="Column1230"/>
    <tableColumn id="1231" xr3:uid="{E8462A69-BAC8-4202-999C-56D3459EB820}" name="Column1231"/>
    <tableColumn id="1232" xr3:uid="{8674E19B-6D10-4C77-8422-41EA6D69976B}" name="Column1232"/>
    <tableColumn id="1233" xr3:uid="{17C1480E-1C91-4FC3-9E8B-47251A000A1E}" name="Column1233"/>
    <tableColumn id="1234" xr3:uid="{9B60E2D1-FE02-4FD5-B1DE-DAEE5F3889AC}" name="Column1234"/>
    <tableColumn id="1235" xr3:uid="{20851FBB-3CEB-4871-985D-AC49A6418205}" name="Column1235"/>
    <tableColumn id="1236" xr3:uid="{590F8A29-8EB2-44EF-8FFE-B66A386D0BCB}" name="Column1236"/>
    <tableColumn id="1237" xr3:uid="{4BE16961-B9AF-46DD-9C03-9F2AC217A02E}" name="Column1237"/>
    <tableColumn id="1238" xr3:uid="{876DDB60-A88F-46DC-B525-D678B3471AC6}" name="Column1238"/>
    <tableColumn id="1239" xr3:uid="{88023882-C5E7-4972-85ED-5719CCC317B6}" name="Column1239"/>
    <tableColumn id="1240" xr3:uid="{8925BAAD-6240-41BE-B5B8-3376D889196D}" name="Column1240"/>
    <tableColumn id="1241" xr3:uid="{A32AF776-83FB-492A-AAE9-A4E5F62C9D6B}" name="Column1241"/>
    <tableColumn id="1242" xr3:uid="{9E3AD334-5614-44A5-B8FE-06E92AA149D2}" name="Column1242"/>
    <tableColumn id="1243" xr3:uid="{DFBC738E-39C7-447C-9890-726689C05B05}" name="Column1243"/>
    <tableColumn id="1244" xr3:uid="{659DB558-393F-4B89-8825-00AABB0513B3}" name="Column1244"/>
    <tableColumn id="1245" xr3:uid="{34AD2B5D-EF74-4A2F-B610-1C39B297665C}" name="Column1245"/>
    <tableColumn id="1246" xr3:uid="{7E36C2EC-B1A7-4020-9FB5-D6BF2B81C115}" name="Column1246"/>
    <tableColumn id="1247" xr3:uid="{860C63E5-50A0-47B4-9A68-89C439513035}" name="Column1247"/>
    <tableColumn id="1248" xr3:uid="{1ACB2230-6111-4743-A163-58CC9ED70521}" name="Column1248"/>
    <tableColumn id="1249" xr3:uid="{6F8C5F8F-F9DF-463A-A483-88D49DAD55DD}" name="Column1249"/>
    <tableColumn id="1250" xr3:uid="{8DEF99BE-44F5-48A4-A0D7-C7F64451CC21}" name="Column1250"/>
    <tableColumn id="1251" xr3:uid="{9895EAAC-5A33-412A-82E0-A9B5D43D5ACF}" name="Column1251"/>
    <tableColumn id="1252" xr3:uid="{34739C12-0D62-4BC6-A2F6-1DF5E5ACCCA0}" name="Column1252"/>
    <tableColumn id="1253" xr3:uid="{024EF907-0C7D-4F38-9CEE-FFE83DF8E9DA}" name="Column1253"/>
    <tableColumn id="1254" xr3:uid="{AE10D2A8-15DF-47A0-85D5-50BEFBA697A8}" name="Column1254"/>
    <tableColumn id="1255" xr3:uid="{2346E4CB-B580-4375-ADDD-1B24A4EBFC58}" name="Column1255"/>
    <tableColumn id="1256" xr3:uid="{6D1692A3-9776-4CB3-91DB-B91E8FD973BD}" name="Column1256"/>
    <tableColumn id="1257" xr3:uid="{582B9A25-E199-4BC8-90F0-A90D8992AFBC}" name="Column1257"/>
    <tableColumn id="1258" xr3:uid="{F95092BB-0366-42CA-92BD-69C213172C1D}" name="Column1258"/>
    <tableColumn id="1259" xr3:uid="{B62754C5-BCEF-4395-BCC2-787D4FF23B42}" name="Column1259"/>
    <tableColumn id="1260" xr3:uid="{C19F7FCF-9D48-4C65-A251-63FC01E871EF}" name="Column1260"/>
    <tableColumn id="1261" xr3:uid="{B310FDC7-E78A-432D-9AED-F894D2EB014B}" name="Column1261"/>
    <tableColumn id="1262" xr3:uid="{BED8CDAC-B26A-4C2A-AF63-A7CAF76F3111}" name="Column1262"/>
    <tableColumn id="1263" xr3:uid="{4E82AD53-4078-44E7-B375-450871C42F1A}" name="Column1263"/>
    <tableColumn id="1264" xr3:uid="{95102CA2-E263-4ECD-8CD4-9ADCB258BE96}" name="Column1264"/>
    <tableColumn id="1265" xr3:uid="{46FFCFAC-44F1-4D17-9087-CDF09390AF13}" name="Column1265"/>
    <tableColumn id="1266" xr3:uid="{89B816A6-6F2C-49F1-BFF8-FF7596B76BE4}" name="Column1266"/>
    <tableColumn id="1267" xr3:uid="{7AD1E407-B84A-4178-AAE3-60734BA321CD}" name="Column1267"/>
    <tableColumn id="1268" xr3:uid="{A6AA3CE5-DE9E-4D47-9658-8B42D516FE02}" name="Column1268"/>
    <tableColumn id="1269" xr3:uid="{56989027-9565-449C-95C3-FBA8CFDD0F9F}" name="Column1269"/>
    <tableColumn id="1270" xr3:uid="{87FB44CB-6992-4855-A093-2B71133D0906}" name="Column1270"/>
    <tableColumn id="1271" xr3:uid="{3FD3B398-1C3E-4E78-9860-E7B8327EEEE2}" name="Column1271"/>
    <tableColumn id="1272" xr3:uid="{8080D90C-353C-4451-A34D-B2A7D56D6EC7}" name="Column1272"/>
    <tableColumn id="1273" xr3:uid="{40EFF45B-920F-4812-B17A-066796DA956A}" name="Column1273"/>
    <tableColumn id="1274" xr3:uid="{9D7AB22E-CDFC-44F5-85A7-79596A3437FA}" name="Column1274"/>
    <tableColumn id="1275" xr3:uid="{CC678B16-5C84-4119-93AF-11ACE773DF91}" name="Column1275"/>
    <tableColumn id="1276" xr3:uid="{DB9CC4CB-B5D6-473E-9EDA-9E3A0703E59E}" name="Column1276"/>
    <tableColumn id="1277" xr3:uid="{02EE55AB-C066-40EA-9232-07D3ECA4144A}" name="Column1277"/>
    <tableColumn id="1278" xr3:uid="{11439567-9826-431C-AD82-A8D883BFAA6A}" name="Column1278"/>
    <tableColumn id="1279" xr3:uid="{E34BB9EC-5088-479F-B83B-0E8AD3E3AAA0}" name="Column1279"/>
    <tableColumn id="1280" xr3:uid="{66C59B29-BAC5-47A2-A004-E5464970D66A}" name="Column1280"/>
    <tableColumn id="1281" xr3:uid="{93DBE0DA-435F-4873-909E-FAB6533417E3}" name="Column1281"/>
    <tableColumn id="1282" xr3:uid="{6E3F4698-23C3-4CE1-929C-23AD1B9702A5}" name="Column1282"/>
    <tableColumn id="1283" xr3:uid="{D8DFEA6D-E896-4D95-A5DE-880D5BD66365}" name="Column1283"/>
    <tableColumn id="1284" xr3:uid="{2237DDF2-5E09-491C-AA68-5E07F123503F}" name="Column1284"/>
    <tableColumn id="1285" xr3:uid="{6FD538F4-A412-43CB-B0F4-57123D0A7332}" name="Column1285"/>
    <tableColumn id="1286" xr3:uid="{3995FB47-829D-4682-8DC7-014673DA2DE2}" name="Column1286"/>
    <tableColumn id="1287" xr3:uid="{A20060A4-F6A2-47FF-A3E7-B1D7CE27C8C9}" name="Column1287"/>
    <tableColumn id="1288" xr3:uid="{428422E3-049C-40FD-9119-583621EE0CA2}" name="Column1288"/>
    <tableColumn id="1289" xr3:uid="{0B85B784-41F7-48C1-9376-624717663238}" name="Column1289"/>
    <tableColumn id="1290" xr3:uid="{F99F4D93-F009-4CE6-9560-D541BC9FD26A}" name="Column1290"/>
    <tableColumn id="1291" xr3:uid="{E2819AE6-8CA0-4266-9B4C-344A889B93C9}" name="Column1291"/>
    <tableColumn id="1292" xr3:uid="{47122A7F-CF2C-4C75-B534-AA0EE90AAA2E}" name="Column1292"/>
    <tableColumn id="1293" xr3:uid="{B312E1AA-F4B6-4697-998F-B0EB87619B14}" name="Column1293"/>
    <tableColumn id="1294" xr3:uid="{574DD628-6939-4F8B-A51E-9716CC3ACA12}" name="Column1294"/>
    <tableColumn id="1295" xr3:uid="{3D70C4A6-E055-402E-92C0-DBF1CCB66EF4}" name="Column1295"/>
    <tableColumn id="1296" xr3:uid="{88B58DEB-BE76-4C16-A03B-04CD9737CAD2}" name="Column1296"/>
    <tableColumn id="1297" xr3:uid="{DFCF6280-234C-420E-A5A7-2D18BCC6C301}" name="Column1297"/>
    <tableColumn id="1298" xr3:uid="{240CD460-A8C2-4C0F-BDBC-56F928D9EC02}" name="Column1298"/>
    <tableColumn id="1299" xr3:uid="{FC28E7E8-C2E7-4ECC-B4C7-E38B603FFBD1}" name="Column1299"/>
    <tableColumn id="1300" xr3:uid="{75EF1BEF-3187-4114-93A3-80CE191B0E6D}" name="Column1300"/>
    <tableColumn id="1301" xr3:uid="{AE1D5414-AB0A-4DF5-A65F-4C3A4A0F2964}" name="Column1301"/>
    <tableColumn id="1302" xr3:uid="{F464BDAC-FB61-4480-B7B6-A5EFDEC86C0E}" name="Column1302"/>
    <tableColumn id="1303" xr3:uid="{F2A40909-BB0B-4402-BF8F-CC7A8663DAD4}" name="Column1303"/>
    <tableColumn id="1304" xr3:uid="{45923996-AB3A-4724-889A-26587167B70A}" name="Column1304"/>
    <tableColumn id="1305" xr3:uid="{6610E150-BB23-4E4D-93F9-8F7E1CA03BE3}" name="Column1305"/>
    <tableColumn id="1306" xr3:uid="{E7CB79EE-5BA8-4AC7-AC61-D2D7E6DB3045}" name="Column1306"/>
    <tableColumn id="1307" xr3:uid="{910052C9-87D4-4BE5-9D84-59A13D2BF4DF}" name="Column1307"/>
    <tableColumn id="1308" xr3:uid="{160B8586-DC71-48EE-A5B4-F02418ED17B7}" name="Column1308"/>
    <tableColumn id="1309" xr3:uid="{ACBDE861-ED7D-469E-9D7F-1B637DAE6557}" name="Column1309"/>
    <tableColumn id="1310" xr3:uid="{A9F06CC8-7407-42D6-A9D0-5EFFFD51DCAE}" name="Column1310"/>
    <tableColumn id="1311" xr3:uid="{3CD94B73-8CED-4F7A-A291-81F5CBF47A22}" name="Column1311"/>
    <tableColumn id="1312" xr3:uid="{57A082C0-3A00-426D-8C7B-F4AD5BA6946B}" name="Column1312"/>
    <tableColumn id="1313" xr3:uid="{CF38DCC8-2EF4-4996-851E-E8DD7041C1BD}" name="Column1313"/>
    <tableColumn id="1314" xr3:uid="{256C3BC9-1B3C-4606-8FDA-EBE2753AEA1A}" name="Column1314"/>
    <tableColumn id="1315" xr3:uid="{4FB74E49-076B-407D-95CE-39EE295B6E57}" name="Column1315"/>
    <tableColumn id="1316" xr3:uid="{3B4AC020-1761-4BC4-816B-DD6388B4CA7B}" name="Column1316"/>
    <tableColumn id="1317" xr3:uid="{2F4F5FA1-9D74-41D9-B2CB-D219FA4B0FA2}" name="Column1317"/>
    <tableColumn id="1318" xr3:uid="{6D157154-A65E-4A47-807A-699F5BF82C7F}" name="Column1318"/>
    <tableColumn id="1319" xr3:uid="{E9B79B9E-D454-4374-A3B0-4EF90438BE97}" name="Column1319"/>
    <tableColumn id="1320" xr3:uid="{0616B08A-4F5B-4248-96A6-99042C3C8BC3}" name="Column1320"/>
    <tableColumn id="1321" xr3:uid="{F6129375-5CA7-45D4-8AB9-F59B6C47E294}" name="Column1321"/>
    <tableColumn id="1322" xr3:uid="{ED8D124C-B86C-4349-8937-1D44DAF039A0}" name="Column1322"/>
    <tableColumn id="1323" xr3:uid="{6CD6DB3B-F375-4364-A3C6-686A8F816AFB}" name="Column1323"/>
    <tableColumn id="1324" xr3:uid="{F7C26621-A30C-4212-BE8B-BDF9BC76B378}" name="Column1324"/>
    <tableColumn id="1325" xr3:uid="{EDAE7D09-6A13-4FCF-9267-8936B8CB4290}" name="Column1325"/>
    <tableColumn id="1326" xr3:uid="{E67F541B-F605-4C8E-BD38-B06B3A3199D5}" name="Column1326"/>
    <tableColumn id="1327" xr3:uid="{5944C732-DA28-4812-9E69-BC420D27722C}" name="Column1327"/>
    <tableColumn id="1328" xr3:uid="{6E274EA6-5930-4DB7-8D92-9DF58A724BD8}" name="Column1328"/>
    <tableColumn id="1329" xr3:uid="{18A9E49F-C8B4-4FEB-8B24-396D7FB852A0}" name="Column1329"/>
    <tableColumn id="1330" xr3:uid="{33C5F9FD-51D8-4A46-B6C0-EB52C607C086}" name="Column1330"/>
    <tableColumn id="1331" xr3:uid="{27014F8B-9180-498D-A684-D76600428D38}" name="Column1331"/>
    <tableColumn id="1332" xr3:uid="{04ACF94C-5247-49C8-9D62-D8FAADE9093B}" name="Column1332"/>
    <tableColumn id="1333" xr3:uid="{A9133D33-128B-4D29-A110-ABB46DE2EE85}" name="Column1333"/>
    <tableColumn id="1334" xr3:uid="{D818D42B-3702-48EC-99BD-3513B88D8DC7}" name="Column1334"/>
    <tableColumn id="1335" xr3:uid="{D53AD750-C24D-477D-97CA-DC703D3A7C3C}" name="Column1335"/>
    <tableColumn id="1336" xr3:uid="{70205B53-10E9-41EB-B35D-DA5AB38458B1}" name="Column1336"/>
    <tableColumn id="1337" xr3:uid="{46ACB2EE-824D-4DE9-A37B-C64D5FC2C764}" name="Column1337"/>
    <tableColumn id="1338" xr3:uid="{69396581-0A49-4ACA-BDC8-7FB2A73246CA}" name="Column1338"/>
    <tableColumn id="1339" xr3:uid="{AD6A0979-DC56-4A87-8CF9-CC2A9111E3BE}" name="Column1339"/>
    <tableColumn id="1340" xr3:uid="{1107FDF2-18A5-4A9A-9D3F-F52A9EA27D80}" name="Column1340"/>
    <tableColumn id="1341" xr3:uid="{6F5F3F41-EED8-41CE-90CE-A0077138EA10}" name="Column1341"/>
    <tableColumn id="1342" xr3:uid="{5B13FDC2-F4F0-4490-88B0-70DFF90AEFF0}" name="Column1342"/>
    <tableColumn id="1343" xr3:uid="{2EF38414-97A6-4FF5-8619-3D91810BD9F2}" name="Column1343"/>
    <tableColumn id="1344" xr3:uid="{4330DF25-F22E-446A-B04A-D940FAA29B67}" name="Column1344"/>
    <tableColumn id="1345" xr3:uid="{99D62F3B-DE44-407C-BFB0-0909826EB1C1}" name="Column1345"/>
    <tableColumn id="1346" xr3:uid="{E9E67874-C8F2-473B-9807-E1B2534B6F3B}" name="Column1346"/>
    <tableColumn id="1347" xr3:uid="{B72C4F1D-F7D9-410A-A38B-722B6C8451D2}" name="Column1347"/>
    <tableColumn id="1348" xr3:uid="{8AB7CB76-55AF-4F7A-8907-005C6FD91501}" name="Column1348"/>
    <tableColumn id="1349" xr3:uid="{302C16CE-C36F-4AE3-AC5A-8811DFC91945}" name="Column1349"/>
    <tableColumn id="1350" xr3:uid="{D5882971-ACA4-45D2-82A9-BAE1C412D7D5}" name="Column1350"/>
    <tableColumn id="1351" xr3:uid="{BB7B4C40-5F94-4580-87D8-85CDA2F1E1AC}" name="Column1351"/>
    <tableColumn id="1352" xr3:uid="{957074BB-C38B-42EB-A5EC-B010DDF81D9A}" name="Column1352"/>
    <tableColumn id="1353" xr3:uid="{EAA1634A-7D9E-46AC-B92E-0F3D17C2CD42}" name="Column1353"/>
    <tableColumn id="1354" xr3:uid="{EE019989-6066-46FF-95EC-749D7D6A184B}" name="Column1354"/>
    <tableColumn id="1355" xr3:uid="{227384AD-E0C2-495F-8DFB-DA7E8BB5AE2E}" name="Column1355"/>
    <tableColumn id="1356" xr3:uid="{5786FD00-7CB4-4EE1-ACD2-2613909D4984}" name="Column1356"/>
    <tableColumn id="1357" xr3:uid="{85755A85-11CA-4001-82D1-83B2A4DF3349}" name="Column1357"/>
    <tableColumn id="1358" xr3:uid="{F68FD28F-6F82-49A2-B867-4FFEDBA19C36}" name="Column1358"/>
    <tableColumn id="1359" xr3:uid="{F1AF901A-7E96-41D3-B7F0-FD98E628C31D}" name="Column1359"/>
    <tableColumn id="1360" xr3:uid="{89ACC552-7D6E-4559-B3A2-E3BDB04A3B89}" name="Column1360"/>
    <tableColumn id="1361" xr3:uid="{5390E117-B6ED-4C95-A81E-D59454184528}" name="Column1361"/>
    <tableColumn id="1362" xr3:uid="{B233EDCB-34D0-4684-B7FE-D0B2CAD5903F}" name="Column1362"/>
    <tableColumn id="1363" xr3:uid="{EB2F4058-2B6A-46C1-844E-8EC5520A136C}" name="Column1363"/>
    <tableColumn id="1364" xr3:uid="{F8E1F635-F530-464B-B93E-72D065346121}" name="Column1364"/>
    <tableColumn id="1365" xr3:uid="{12912596-87EF-4D90-830A-507CE57095C3}" name="Column1365"/>
    <tableColumn id="1366" xr3:uid="{C4957F37-05BC-46A0-9E12-7A8936E4F9D5}" name="Column1366"/>
    <tableColumn id="1367" xr3:uid="{6212CA75-F235-484D-B7DE-39A5912759C7}" name="Column1367"/>
    <tableColumn id="1368" xr3:uid="{A901BAC8-FFEB-4BEE-BFD4-5CB8764CC57F}" name="Column1368"/>
    <tableColumn id="1369" xr3:uid="{A3D52ED0-6B3D-4617-B852-DBD8FD284689}" name="Column1369"/>
    <tableColumn id="1370" xr3:uid="{9DD6B630-F2D0-4ABF-9884-FB8ED6E6752C}" name="Column1370"/>
    <tableColumn id="1371" xr3:uid="{15B2A619-57C3-4DC6-8A7E-C46EE0096C7D}" name="Column1371"/>
    <tableColumn id="1372" xr3:uid="{9EC21693-1457-434D-8441-86A51CFAAE79}" name="Column1372"/>
    <tableColumn id="1373" xr3:uid="{732D35A3-8754-4F0B-A263-51745840BA65}" name="Column1373"/>
    <tableColumn id="1374" xr3:uid="{86CCEC8C-A4EE-4CBF-B319-28B7BD4F33D6}" name="Column1374"/>
    <tableColumn id="1375" xr3:uid="{E466A27C-3156-4B43-8B9E-2E299C0D075B}" name="Column1375"/>
    <tableColumn id="1376" xr3:uid="{D29F61D2-4297-45A5-BB1D-8A5B312AE351}" name="Column1376"/>
    <tableColumn id="1377" xr3:uid="{F2216AAF-C233-40A3-A409-9FA5A47C0FDE}" name="Column1377"/>
    <tableColumn id="1378" xr3:uid="{89888340-01EC-4615-882B-47DB0A248503}" name="Column1378"/>
    <tableColumn id="1379" xr3:uid="{6C266070-7EE8-4949-A596-BE7C6ACDEA46}" name="Column1379"/>
    <tableColumn id="1380" xr3:uid="{7B25DB15-636D-4EBB-8B77-E7AEA3FA396E}" name="Column1380"/>
    <tableColumn id="1381" xr3:uid="{09D901D9-A04D-40AD-B3AE-2120B43C7C74}" name="Column1381"/>
    <tableColumn id="1382" xr3:uid="{DA960C06-A2F5-4A90-ABBD-0BFDBA48AA6D}" name="Column1382"/>
    <tableColumn id="1383" xr3:uid="{1B37382F-C594-4BE4-A752-9CF04B19ABAB}" name="Column1383"/>
    <tableColumn id="1384" xr3:uid="{00E61EC1-B192-4306-AA7A-37949A88132C}" name="Column1384"/>
    <tableColumn id="1385" xr3:uid="{089EA870-7930-4A89-9CAF-80C9AA1E3A1F}" name="Column1385"/>
    <tableColumn id="1386" xr3:uid="{716711CC-372F-4D7C-87A6-03672CF0449C}" name="Column1386"/>
    <tableColumn id="1387" xr3:uid="{D84695CD-FCE4-438A-A2FD-1EC51F449B97}" name="Column1387"/>
    <tableColumn id="1388" xr3:uid="{58D5BF66-1AB8-4D08-818A-FDD7FB7C94C7}" name="Column1388"/>
    <tableColumn id="1389" xr3:uid="{3F7EAE0D-0AEF-4A6B-97C1-C5A656AD5424}" name="Column1389"/>
    <tableColumn id="1390" xr3:uid="{48D8ECFC-1B90-45ED-823A-2D2B8BA616D3}" name="Column1390"/>
    <tableColumn id="1391" xr3:uid="{23BC6EEF-5BE2-4008-8CA9-BB2139DF6A57}" name="Column1391"/>
    <tableColumn id="1392" xr3:uid="{96D9E400-318C-44F2-B846-49D4EEEA9CC0}" name="Column1392"/>
    <tableColumn id="1393" xr3:uid="{C4D9512D-144A-4ED5-A6E5-7271431F858C}" name="Column1393"/>
    <tableColumn id="1394" xr3:uid="{05C515DC-A00E-4095-B514-C2E70E2B342E}" name="Column1394"/>
    <tableColumn id="1395" xr3:uid="{ABA24898-499B-43AC-9846-364695C7F7D6}" name="Column1395"/>
    <tableColumn id="1396" xr3:uid="{57DEFD23-3E9B-492B-97D5-D9211B5412B6}" name="Column1396"/>
    <tableColumn id="1397" xr3:uid="{09CF2FEB-4815-43DC-9476-419DE3278925}" name="Column1397"/>
    <tableColumn id="1398" xr3:uid="{AB4E0B48-4199-40C8-A4E5-D200368CEEB4}" name="Column1398"/>
    <tableColumn id="1399" xr3:uid="{5AC2BC45-B579-402B-9866-2947EF3D961B}" name="Column1399"/>
    <tableColumn id="1400" xr3:uid="{AD008447-0154-4982-AD59-67390FBEC2A4}" name="Column1400"/>
    <tableColumn id="1401" xr3:uid="{4B0D7142-A297-4867-A5F9-A63EF17CE2A2}" name="Column1401"/>
    <tableColumn id="1402" xr3:uid="{DDCFCFE0-F70C-47A5-ADA1-F00D4F77DC5C}" name="Column1402"/>
    <tableColumn id="1403" xr3:uid="{80F0249C-74ED-444E-99EA-7E308B45FE50}" name="Column1403"/>
    <tableColumn id="1404" xr3:uid="{10404887-5445-4614-8371-9B26830926AB}" name="Column1404"/>
    <tableColumn id="1405" xr3:uid="{1EDDF9CF-5C35-4E31-B719-ACC8094EA89A}" name="Column1405"/>
    <tableColumn id="1406" xr3:uid="{7D541FA4-8420-4229-843F-C9621B58CD1B}" name="Column1406"/>
    <tableColumn id="1407" xr3:uid="{D3A33CBE-A1E8-4338-8F29-23F829122595}" name="Column1407"/>
    <tableColumn id="1408" xr3:uid="{2C40D0BA-2123-47C8-A469-07A92A3E7447}" name="Column1408"/>
    <tableColumn id="1409" xr3:uid="{3B548B7F-A2D3-40CE-B885-5EE0E283F2A7}" name="Column1409"/>
    <tableColumn id="1410" xr3:uid="{860BBD36-A089-436D-B58E-E0EA126CBF24}" name="Column1410"/>
    <tableColumn id="1411" xr3:uid="{10B7ABE2-1224-4F7C-88C0-55B0A67DC0CD}" name="Column1411"/>
    <tableColumn id="1412" xr3:uid="{9C399952-4E67-45AF-A5B8-6BE2E5FE69A3}" name="Column1412"/>
    <tableColumn id="1413" xr3:uid="{C6C88127-9E33-42DB-AB76-0C346BE17898}" name="Column1413"/>
    <tableColumn id="1414" xr3:uid="{2FAAE359-A692-4FCF-B7FB-06F22773AD3B}" name="Column1414"/>
    <tableColumn id="1415" xr3:uid="{9B0D7F11-DE9F-48F8-820D-CD61B2C0EBAA}" name="Column1415"/>
    <tableColumn id="1416" xr3:uid="{37C9D594-1B62-44B2-82B0-D8C084AAB456}" name="Column1416"/>
    <tableColumn id="1417" xr3:uid="{673C06D1-7925-4433-A694-871E0FCEAE9C}" name="Column1417"/>
    <tableColumn id="1418" xr3:uid="{DDE91B63-9516-4794-BF8A-5B27B78A136E}" name="Column1418"/>
    <tableColumn id="1419" xr3:uid="{3AE98BD9-F63B-452D-B750-7AF92DF3562D}" name="Column1419"/>
    <tableColumn id="1420" xr3:uid="{A7864284-14E3-4F9D-B980-0D2BC99DAB0B}" name="Column1420"/>
    <tableColumn id="1421" xr3:uid="{E1D9B450-941F-4846-BC9A-066B204E24E9}" name="Column1421"/>
    <tableColumn id="1422" xr3:uid="{9B1CBC84-5BDF-4388-A6FB-F02BE4C4D70E}" name="Column1422"/>
    <tableColumn id="1423" xr3:uid="{FD6EF8CF-A2F5-4397-8A9B-8E763940247B}" name="Column1423"/>
    <tableColumn id="1424" xr3:uid="{69B80758-0EFB-4A63-8CF2-F1DA657C8203}" name="Column1424"/>
    <tableColumn id="1425" xr3:uid="{E769A834-1C99-4120-A710-40B7A3DC8358}" name="Column1425"/>
    <tableColumn id="1426" xr3:uid="{8EFA67C5-15EB-45D4-A6CE-BAF31B5D91BD}" name="Column1426"/>
    <tableColumn id="1427" xr3:uid="{0C9AC093-B07A-4A15-8B6B-94F42418F4B8}" name="Column1427"/>
    <tableColumn id="1428" xr3:uid="{8502895B-DD23-4D29-B78B-50712BBE7A7D}" name="Column1428"/>
    <tableColumn id="1429" xr3:uid="{D17C0DE8-2343-4411-BA40-7ACEA3C7AAC8}" name="Column1429"/>
    <tableColumn id="1430" xr3:uid="{2C29EF8A-058D-4CA1-B909-3E532848A530}" name="Column1430"/>
    <tableColumn id="1431" xr3:uid="{0E3F08A7-04FE-4D10-A571-0A98130C59A7}" name="Column1431"/>
    <tableColumn id="1432" xr3:uid="{487B691D-DF84-41A8-80ED-25B90C15C672}" name="Column1432"/>
    <tableColumn id="1433" xr3:uid="{F39D0A9F-C932-4B7D-AF13-BF7CB28EA890}" name="Column1433"/>
    <tableColumn id="1434" xr3:uid="{6E2CF3F2-6A20-4F63-A903-335CF24D19EE}" name="Column1434"/>
    <tableColumn id="1435" xr3:uid="{566A63AF-0953-4CDD-8907-73D7067009AF}" name="Column1435"/>
    <tableColumn id="1436" xr3:uid="{7A31D672-6BBF-4801-80F4-6B3549743C9E}" name="Column1436"/>
    <tableColumn id="1437" xr3:uid="{8E690B81-346A-46E6-938E-6C0937998D43}" name="Column1437"/>
    <tableColumn id="1438" xr3:uid="{53C6A6D9-59F1-41D4-BF0A-1FC4E292CE1A}" name="Column1438"/>
    <tableColumn id="1439" xr3:uid="{C88AC5B1-876E-446E-9761-5791AC5A59BC}" name="Column1439"/>
    <tableColumn id="1440" xr3:uid="{0462A8C9-4429-450D-8D66-7D110B5A5FDA}" name="Column1440"/>
    <tableColumn id="1441" xr3:uid="{C1818C90-8258-4544-8683-22DF69107373}" name="Column1441"/>
    <tableColumn id="1442" xr3:uid="{1DCAAD27-DF3F-4C0D-B5B9-F7027FBA0A56}" name="Column1442"/>
    <tableColumn id="1443" xr3:uid="{F1E2BFE5-2E84-4C44-9485-2F224F8BB7F9}" name="Column1443"/>
    <tableColumn id="1444" xr3:uid="{1DEF1B15-FC9F-43C5-9F58-2DEB49624E7E}" name="Column1444"/>
    <tableColumn id="1445" xr3:uid="{F69DE68C-2374-4452-A693-0877A3B8C7B4}" name="Column1445"/>
    <tableColumn id="1446" xr3:uid="{8712EC8F-D374-4C49-937F-A5F101389D66}" name="Column1446"/>
    <tableColumn id="1447" xr3:uid="{E2E2C002-93F1-4971-A3CC-9150BD1400D3}" name="Column1447"/>
    <tableColumn id="1448" xr3:uid="{125574E0-A226-4C18-8737-E82A5E899787}" name="Column1448"/>
    <tableColumn id="1449" xr3:uid="{30137196-47CA-4B08-8C93-C47755D22EAE}" name="Column1449"/>
    <tableColumn id="1450" xr3:uid="{DCDC8B1E-7272-4095-B6F9-F05E766EB415}" name="Column1450"/>
    <tableColumn id="1451" xr3:uid="{7E5E2122-2D08-4598-8AF2-74A795F99BF8}" name="Column1451"/>
    <tableColumn id="1452" xr3:uid="{FE8DBEAB-6FD6-4495-9CEB-E17B06B13882}" name="Column1452"/>
    <tableColumn id="1453" xr3:uid="{D187B445-C2EE-4DAB-8673-FAD8048E1347}" name="Column1453"/>
    <tableColumn id="1454" xr3:uid="{F19FD5AB-2C53-4BFD-94E4-3C7571977A4B}" name="Column1454"/>
    <tableColumn id="1455" xr3:uid="{4A5A3C36-8207-4EBF-91AC-81E17F85547C}" name="Column1455"/>
    <tableColumn id="1456" xr3:uid="{F19C6ED1-6DB5-4973-BF8D-CB80D61416B2}" name="Column1456"/>
    <tableColumn id="1457" xr3:uid="{48DE9A61-F7BB-499D-8E55-2FE7E49F50E1}" name="Column1457"/>
    <tableColumn id="1458" xr3:uid="{0A547275-75B6-4F1C-A1E8-3138E8F37E27}" name="Column1458"/>
    <tableColumn id="1459" xr3:uid="{C0400E12-9CB4-495C-BEBF-353C3432DBE0}" name="Column1459"/>
    <tableColumn id="1460" xr3:uid="{BD6D88A9-0A70-4A9A-8B98-E7C4B39D90A3}" name="Column1460"/>
    <tableColumn id="1461" xr3:uid="{CBE9A461-94E6-4832-A94D-8539F48C46A9}" name="Column1461"/>
    <tableColumn id="1462" xr3:uid="{D3C5595F-0F56-4A05-AD21-1DC537F4BC44}" name="Column1462"/>
    <tableColumn id="1463" xr3:uid="{7668750A-691B-485D-8E6E-8CA28F07A15B}" name="Column1463"/>
    <tableColumn id="1464" xr3:uid="{814CC047-7506-4C8C-95F2-D86BF3C63DCB}" name="Column1464"/>
    <tableColumn id="1465" xr3:uid="{90D863D1-0EB3-41B9-AEF3-F917C6F4C9D3}" name="Column1465"/>
    <tableColumn id="1466" xr3:uid="{885925AC-D303-4742-8DD9-F5108BEC2671}" name="Column1466"/>
    <tableColumn id="1467" xr3:uid="{1A74588C-D713-4A2E-866D-40DC1B2D127E}" name="Column1467"/>
    <tableColumn id="1468" xr3:uid="{C2D100A8-BF30-41F5-9D1F-663F910E5792}" name="Column1468"/>
    <tableColumn id="1469" xr3:uid="{4D31160A-BE8F-4267-9856-4769FAD1F54D}" name="Column1469"/>
    <tableColumn id="1470" xr3:uid="{FE65A347-A718-4FC3-BD6E-FB8EE31BC720}" name="Column1470"/>
    <tableColumn id="1471" xr3:uid="{C6F2C1F4-A10E-467B-BB62-C00ECBAC1E61}" name="Column1471"/>
    <tableColumn id="1472" xr3:uid="{CE0FEFFC-8C97-40BB-8A33-45E2588D1F2A}" name="Column1472"/>
    <tableColumn id="1473" xr3:uid="{DBFCD28C-217F-4414-BF92-5C822F43D1C7}" name="Column1473"/>
    <tableColumn id="1474" xr3:uid="{ED98151F-57AC-4501-8CB1-18C8094910A0}" name="Column1474"/>
    <tableColumn id="1475" xr3:uid="{BBF55ABE-93EA-43DD-B04D-774A52914890}" name="Column1475"/>
    <tableColumn id="1476" xr3:uid="{5477EA96-DCD9-45BD-B166-9AEB1C672BEB}" name="Column1476"/>
    <tableColumn id="1477" xr3:uid="{611DBB55-2FEC-49CD-B3E0-02DA87F4EBA5}" name="Column1477"/>
    <tableColumn id="1478" xr3:uid="{7AE15481-3155-4421-B5D4-09F74C658171}" name="Column1478"/>
    <tableColumn id="1479" xr3:uid="{A877E210-4D07-4251-B687-E27998ACC223}" name="Column1479"/>
    <tableColumn id="1480" xr3:uid="{052CA67C-E1E8-46D8-9A55-F702185C256C}" name="Column1480"/>
    <tableColumn id="1481" xr3:uid="{13E8C91A-DBFB-432F-84F0-5C6D14D151F0}" name="Column1481"/>
    <tableColumn id="1482" xr3:uid="{0647F40C-3961-4E35-B2FA-334C1BC80174}" name="Column1482"/>
    <tableColumn id="1483" xr3:uid="{8C3C85BB-2005-4F48-9142-133A706BB429}" name="Column1483"/>
    <tableColumn id="1484" xr3:uid="{FFF6BBBC-D4DE-4569-8665-DAB2B7A5681F}" name="Column1484"/>
    <tableColumn id="1485" xr3:uid="{247EE455-8395-4091-9023-32024ACA86A0}" name="Column1485"/>
    <tableColumn id="1486" xr3:uid="{77099DF0-BAB9-4811-A7DC-02B0DC52E441}" name="Column1486"/>
    <tableColumn id="1487" xr3:uid="{AF489481-5A40-40DC-94E8-037FCF8697F7}" name="Column1487"/>
    <tableColumn id="1488" xr3:uid="{AC3719FF-E7C6-4EDF-A6F8-E1513936B614}" name="Column1488"/>
    <tableColumn id="1489" xr3:uid="{1A19BD16-DD2C-426B-A599-93AF3247EDD5}" name="Column1489"/>
    <tableColumn id="1490" xr3:uid="{B8D0DF2A-C142-4018-B256-C8A6BF7B33AA}" name="Column1490"/>
    <tableColumn id="1491" xr3:uid="{671B4866-5974-458A-AE79-7D7F0AF44BC0}" name="Column1491"/>
    <tableColumn id="1492" xr3:uid="{897E3881-091F-46F2-BC56-8D52D2F4D3CE}" name="Column1492"/>
    <tableColumn id="1493" xr3:uid="{0F5BACF9-EBB2-4CDA-8616-E80A1BDB7B0F}" name="Column1493"/>
    <tableColumn id="1494" xr3:uid="{2BF8FFCC-22B1-4802-B5B4-85FF1925CD28}" name="Column1494"/>
    <tableColumn id="1495" xr3:uid="{28F73129-FD70-4454-8881-AA9705B112A5}" name="Column1495"/>
    <tableColumn id="1496" xr3:uid="{EDF54EDC-5F3A-4E4D-B31E-18ACD17A5EE2}" name="Column1496"/>
    <tableColumn id="1497" xr3:uid="{A7648CFE-CC17-400A-9121-20594DE4920B}" name="Column1497"/>
    <tableColumn id="1498" xr3:uid="{5660F3B3-332F-4335-972D-DDAD24866BF4}" name="Column1498"/>
    <tableColumn id="1499" xr3:uid="{01EB7DA1-2845-469B-B2F1-292351C5FFD2}" name="Column1499"/>
    <tableColumn id="1500" xr3:uid="{331CE355-3EA5-4F1B-B9C9-DAB4D458827A}" name="Column1500"/>
    <tableColumn id="1501" xr3:uid="{EC121ACE-B5AD-481A-8017-91348E25BDD7}" name="Column1501"/>
    <tableColumn id="1502" xr3:uid="{CDA5CAA8-70BE-4965-8D9B-A7BC1883BD1C}" name="Column1502"/>
    <tableColumn id="1503" xr3:uid="{A985F6A7-F3E8-487E-9CD4-D648CE8603AA}" name="Column1503"/>
    <tableColumn id="1504" xr3:uid="{31F68411-8427-445B-B90C-567B88D5E3CA}" name="Column1504"/>
    <tableColumn id="1505" xr3:uid="{662B0917-C97A-4316-BB70-96805FBE50EC}" name="Column1505"/>
    <tableColumn id="1506" xr3:uid="{9B863576-7906-4074-8AE0-3F4B99172A7A}" name="Column1506"/>
    <tableColumn id="1507" xr3:uid="{85A31AB9-46D2-4AE8-AE4B-2998D30DF5D6}" name="Column1507"/>
    <tableColumn id="1508" xr3:uid="{C4572A49-E37F-45F3-A6B0-748A28BCF36C}" name="Column1508"/>
    <tableColumn id="1509" xr3:uid="{75B0BF91-7891-416A-94FA-C9CD72747735}" name="Column1509"/>
    <tableColumn id="1510" xr3:uid="{3D029F5C-8920-4EEB-A56B-74E81B64E10A}" name="Column1510"/>
    <tableColumn id="1511" xr3:uid="{C6B688FF-8257-4FEE-A20B-382D9016E03E}" name="Column1511"/>
    <tableColumn id="1512" xr3:uid="{F7C8A699-DB53-4B4E-ADED-CCB84E4B81D5}" name="Column1512"/>
    <tableColumn id="1513" xr3:uid="{FFB4CE5F-8ADB-4678-BCCC-D88AD198EDC0}" name="Column1513"/>
    <tableColumn id="1514" xr3:uid="{93F4D26D-838A-4E5E-8F30-B2C5399E2E92}" name="Column1514"/>
    <tableColumn id="1515" xr3:uid="{EB2D4207-48F5-4496-B05B-D6193789126C}" name="Column1515"/>
    <tableColumn id="1516" xr3:uid="{2A29A54D-7113-4EDF-A74F-AC6CD1FA3A30}" name="Column1516"/>
    <tableColumn id="1517" xr3:uid="{5C6932BD-9DEC-4E8C-8113-54B55B9EC883}" name="Column1517"/>
    <tableColumn id="1518" xr3:uid="{55B5AE15-E77D-49AB-B775-49CC118CA9B4}" name="Column1518"/>
    <tableColumn id="1519" xr3:uid="{C84CE01F-1D37-407B-896B-3BE997A40BB5}" name="Column1519"/>
    <tableColumn id="1520" xr3:uid="{9A6CDFBB-77CA-4507-B2DA-BEBAEB6B7B8D}" name="Column1520"/>
    <tableColumn id="1521" xr3:uid="{32D32C41-2445-45C7-958F-F18F130E9AFC}" name="Column1521"/>
    <tableColumn id="1522" xr3:uid="{179216A9-4EA4-4E92-B479-143D84A83106}" name="Column1522"/>
    <tableColumn id="1523" xr3:uid="{2084AFAC-7E8D-44C1-8B44-A61BCD35B5BF}" name="Column1523"/>
    <tableColumn id="1524" xr3:uid="{5282324B-0B2D-4123-9F48-CAB328027CD1}" name="Column1524"/>
    <tableColumn id="1525" xr3:uid="{FCCFEE03-B50C-431B-892C-3669860A2870}" name="Column1525"/>
    <tableColumn id="1526" xr3:uid="{7D8A4875-6754-4E51-BB1D-3F7817E1D529}" name="Column1526"/>
    <tableColumn id="1527" xr3:uid="{38CD6CD8-6840-423C-AF6F-2870BAAF010F}" name="Column1527"/>
    <tableColumn id="1528" xr3:uid="{46ED073F-5A3E-435F-B03E-6A884F883A84}" name="Column1528"/>
    <tableColumn id="1529" xr3:uid="{18E86CEF-1026-4C91-BC00-D5DD12A05BBB}" name="Column1529"/>
    <tableColumn id="1530" xr3:uid="{22075C28-4088-4187-BD44-8D2F1F140A43}" name="Column1530"/>
    <tableColumn id="1531" xr3:uid="{6DDB21A0-42AA-4794-BCAC-435AC7FEABF3}" name="Column1531"/>
    <tableColumn id="1532" xr3:uid="{291D811F-6260-4480-8391-551CD7BF17DA}" name="Column1532"/>
    <tableColumn id="1533" xr3:uid="{CB0FA5F2-D3F5-4B67-95FE-317900A572DB}" name="Column1533"/>
    <tableColumn id="1534" xr3:uid="{A3EF0FE9-92BB-4CBF-A4E8-121AD47CDC21}" name="Column1534"/>
    <tableColumn id="1535" xr3:uid="{793DF54D-07D6-4815-8E2E-378AD18D1D7F}" name="Column1535"/>
    <tableColumn id="1536" xr3:uid="{9DA671F5-38E2-45DC-B90F-CDFE626BE321}" name="Column1536"/>
    <tableColumn id="1537" xr3:uid="{7C0A924C-3668-463A-AA22-A6B5BBFAF7EE}" name="Column1537"/>
    <tableColumn id="1538" xr3:uid="{101B7B27-B82D-47B6-9A84-E3823FDA54D3}" name="Column1538"/>
    <tableColumn id="1539" xr3:uid="{57C6B1AD-A55D-4908-B55C-D7EAB64BAC34}" name="Column1539"/>
    <tableColumn id="1540" xr3:uid="{C4859692-7E96-4794-95A9-8028963D3462}" name="Column1540"/>
    <tableColumn id="1541" xr3:uid="{B5E1CEAF-5F11-44ED-BAC9-E3C9A507A324}" name="Column1541"/>
    <tableColumn id="1542" xr3:uid="{CE4DE571-628B-410D-B5A2-A549A648DFBB}" name="Column1542"/>
    <tableColumn id="1543" xr3:uid="{5F4F72BC-85DE-4AC7-9D40-518180328D5E}" name="Column1543"/>
    <tableColumn id="1544" xr3:uid="{20A0A0FC-3905-4BF5-B923-4C09B3142557}" name="Column1544"/>
    <tableColumn id="1545" xr3:uid="{C44E135C-1835-4F49-B796-37F2512DAD88}" name="Column1545"/>
    <tableColumn id="1546" xr3:uid="{E3A3F8FC-386B-48FB-9EEA-ED60D7CCA260}" name="Column1546"/>
    <tableColumn id="1547" xr3:uid="{39909C9C-D61D-46C5-90B0-519E8DECDBA9}" name="Column1547"/>
    <tableColumn id="1548" xr3:uid="{089672B5-3095-4A38-8724-1F369E1030CC}" name="Column1548"/>
    <tableColumn id="1549" xr3:uid="{0BC6D646-0636-479B-9509-DFA1B24B534A}" name="Column1549"/>
    <tableColumn id="1550" xr3:uid="{9AF1715F-0563-4135-A767-7BA76B815867}" name="Column1550"/>
    <tableColumn id="1551" xr3:uid="{B6F70343-8333-4AE4-9273-2550A751D8FC}" name="Column1551"/>
    <tableColumn id="1552" xr3:uid="{5770C232-20F1-4A26-9392-0E86F1A318FF}" name="Column1552"/>
    <tableColumn id="1553" xr3:uid="{3B4DB8E2-F481-4843-AD71-FEE4EC9C0067}" name="Column1553"/>
    <tableColumn id="1554" xr3:uid="{56977442-2EE1-4487-8CC2-1FDD87BB2BD4}" name="Column1554"/>
    <tableColumn id="1555" xr3:uid="{3571B001-5019-4506-A5EE-DF077E8BBB4D}" name="Column1555"/>
    <tableColumn id="1556" xr3:uid="{25ADEC27-8C0D-424E-A644-FD20B5054829}" name="Column1556"/>
    <tableColumn id="1557" xr3:uid="{0A8DFE19-F40B-42A9-B5CB-A333371EC3F6}" name="Column1557"/>
    <tableColumn id="1558" xr3:uid="{2C4C427A-F35B-4E5C-87DD-D9DF0C007181}" name="Column1558"/>
    <tableColumn id="1559" xr3:uid="{87F98EA6-2382-4850-81A6-47A50A6A9D29}" name="Column1559"/>
    <tableColumn id="1560" xr3:uid="{C0E4730F-5D06-4049-8894-9EE946D6BBB2}" name="Column1560"/>
    <tableColumn id="1561" xr3:uid="{5509F019-38D6-4713-BFFE-00C9C277D164}" name="Column1561"/>
    <tableColumn id="1562" xr3:uid="{242B82A3-DF77-49E3-839E-9A5BD3EA2BE1}" name="Column1562"/>
    <tableColumn id="1563" xr3:uid="{C763F538-609D-420B-8E70-12D106DECA15}" name="Column1563"/>
    <tableColumn id="1564" xr3:uid="{00EC2C65-AEF0-465C-9948-C54C0FB9D154}" name="Column1564"/>
    <tableColumn id="1565" xr3:uid="{0A7A604E-E0CD-43E9-A07A-3404736A522B}" name="Column1565"/>
    <tableColumn id="1566" xr3:uid="{13D08343-E2DC-47E0-A701-3576DCED4435}" name="Column1566"/>
    <tableColumn id="1567" xr3:uid="{683EF4EA-237A-4A86-8B79-359F24C2D5EB}" name="Column1567"/>
    <tableColumn id="1568" xr3:uid="{7C8E833F-B595-4CB0-B733-2FB0C9B7411E}" name="Column1568"/>
    <tableColumn id="1569" xr3:uid="{F367B0CB-7B4E-41E4-B716-4F0F7EA13625}" name="Column1569"/>
    <tableColumn id="1570" xr3:uid="{B4BA6C02-F390-421D-80DD-02F938987922}" name="Column1570"/>
    <tableColumn id="1571" xr3:uid="{2AF02DDC-704E-4EF6-B9FD-F24BFA435404}" name="Column1571"/>
    <tableColumn id="1572" xr3:uid="{68F30946-E4A3-4B99-BC84-43251C6D0CEE}" name="Column1572"/>
    <tableColumn id="1573" xr3:uid="{84E77D08-7B3C-4FF8-BA6F-07DBE8E05F86}" name="Column1573"/>
    <tableColumn id="1574" xr3:uid="{1CA11EF9-A5F3-4804-AF10-0E8645C974C5}" name="Column1574"/>
    <tableColumn id="1575" xr3:uid="{367E24E8-FACC-48BA-A31D-C55C089BD58B}" name="Column1575"/>
    <tableColumn id="1576" xr3:uid="{3E3E40D2-C961-4673-B9FC-90BAC5698CDF}" name="Column1576"/>
    <tableColumn id="1577" xr3:uid="{3C228B75-A2AF-41A2-A4B3-3DE1EB74509B}" name="Column1577"/>
    <tableColumn id="1578" xr3:uid="{2E62C891-7B90-41E9-8C49-9EFB48357222}" name="Column1578"/>
    <tableColumn id="1579" xr3:uid="{F61A8A71-8744-48F9-818B-C47A1A4AF3D1}" name="Column1579"/>
    <tableColumn id="1580" xr3:uid="{57C34B1D-8862-4F9F-8770-15748566652E}" name="Column1580"/>
    <tableColumn id="1581" xr3:uid="{433B3377-BE80-4155-8C0A-C3CF328B2FE2}" name="Column1581"/>
    <tableColumn id="1582" xr3:uid="{A1220CF4-C3E5-4E94-885C-FE8676BF0B43}" name="Column1582"/>
    <tableColumn id="1583" xr3:uid="{F39BEAC0-F434-4EB0-A34C-204EDBB0B661}" name="Column1583"/>
    <tableColumn id="1584" xr3:uid="{5AE424B7-B133-48EF-8B45-B2BD69DCEBCA}" name="Column1584"/>
    <tableColumn id="1585" xr3:uid="{91AF1DCB-3EB8-4C7E-BF46-6F1E5C4F685B}" name="Column1585"/>
    <tableColumn id="1586" xr3:uid="{00DCEC99-C50E-4F7E-B2DD-F21FA9FFABCA}" name="Column1586"/>
    <tableColumn id="1587" xr3:uid="{8FE197FF-DDF7-4F5E-B92C-C6C021B31D35}" name="Column1587"/>
    <tableColumn id="1588" xr3:uid="{B22EC3B1-2C8A-45C1-9F1F-C177A5F18E79}" name="Column1588"/>
    <tableColumn id="1589" xr3:uid="{BA70697D-6FC3-4F6F-85F0-AF52E8B26DC7}" name="Column1589"/>
    <tableColumn id="1590" xr3:uid="{4E3F1E8B-0294-45F6-AACB-721ADD6422F4}" name="Column1590"/>
    <tableColumn id="1591" xr3:uid="{2DFB692E-C401-4FA5-B5F2-9B098498BAE3}" name="Column1591"/>
    <tableColumn id="1592" xr3:uid="{F54DBF71-28C1-42CA-A843-FCD32E09EADB}" name="Column1592"/>
    <tableColumn id="1593" xr3:uid="{F367E9DE-A2B7-43D3-B2B0-A21092DC63EF}" name="Column1593"/>
    <tableColumn id="1594" xr3:uid="{1F2BBBBA-04DE-437E-A6CD-5654040DBED9}" name="Column1594"/>
    <tableColumn id="1595" xr3:uid="{B3A60BE3-7D09-4B19-9DDE-CD8C3A5BDEB5}" name="Column1595"/>
    <tableColumn id="1596" xr3:uid="{CACF0482-1EB9-4CFA-BA38-C4EA5ED92423}" name="Column1596"/>
    <tableColumn id="1597" xr3:uid="{A14B0214-1FFA-4709-A153-BF8D43A4181A}" name="Column1597"/>
    <tableColumn id="1598" xr3:uid="{98111B24-7FD2-494E-86BD-24BA6539EAE1}" name="Column1598"/>
    <tableColumn id="1599" xr3:uid="{5A75705E-B6A7-4558-8EFE-19AB3ADB2B14}" name="Column1599"/>
    <tableColumn id="1600" xr3:uid="{6E9FF21E-E226-4454-965D-F03565D1063E}" name="Column1600"/>
    <tableColumn id="1601" xr3:uid="{F7594FEE-CFFB-4CC6-8F6A-06B133145381}" name="Column1601"/>
    <tableColumn id="1602" xr3:uid="{ED740415-BBC7-4264-9576-0923CCBF20AA}" name="Column1602"/>
    <tableColumn id="1603" xr3:uid="{02ED9C2E-A7E0-43C1-B1DA-1C202B13EF24}" name="Column1603"/>
    <tableColumn id="1604" xr3:uid="{B7FEE9A1-07B8-4EC6-81D0-121DFD363B6A}" name="Column1604"/>
    <tableColumn id="1605" xr3:uid="{21D89FA5-D2DE-40AB-9D37-CCF715312BDC}" name="Column1605"/>
    <tableColumn id="1606" xr3:uid="{6A01A455-D2F5-45A1-B953-47B328532261}" name="Column1606"/>
    <tableColumn id="1607" xr3:uid="{D69E6F56-A220-449F-B8B7-511970AE99C8}" name="Column1607"/>
    <tableColumn id="1608" xr3:uid="{2201A72A-6906-4432-9AA2-76C3E3D3BF9E}" name="Column1608"/>
    <tableColumn id="1609" xr3:uid="{BAAA8B0B-6673-4221-813D-157E5A68F07F}" name="Column1609"/>
    <tableColumn id="1610" xr3:uid="{DFC45A5B-8F06-4D27-9357-022A0E89965A}" name="Column1610"/>
    <tableColumn id="1611" xr3:uid="{5D6E491C-4A2D-456B-9D7C-6545B142D54D}" name="Column1611"/>
    <tableColumn id="1612" xr3:uid="{B2A1A9A3-A758-4646-B960-E0E4C6070D8A}" name="Column1612"/>
    <tableColumn id="1613" xr3:uid="{F663ED95-5AA6-4A09-977D-B6BA4C5DCCDD}" name="Column1613"/>
    <tableColumn id="1614" xr3:uid="{5F0CD063-6920-4CE6-8CE1-383499310CA1}" name="Column1614"/>
    <tableColumn id="1615" xr3:uid="{D1B8C10F-4363-4E58-B523-DA6CA8986B42}" name="Column1615"/>
    <tableColumn id="1616" xr3:uid="{2435E218-F95E-499B-9B81-493ED1AE2731}" name="Column1616"/>
    <tableColumn id="1617" xr3:uid="{6502250D-D6DD-4563-ACA9-0BD379E52C49}" name="Column1617"/>
    <tableColumn id="1618" xr3:uid="{D43A6133-14FC-4AB9-A3D2-D8B5ECB50EA6}" name="Column1618"/>
    <tableColumn id="1619" xr3:uid="{AF447DAD-577E-4E5C-9457-CF02CBEE215C}" name="Column1619"/>
    <tableColumn id="1620" xr3:uid="{AA901688-ABF5-4229-BADC-E9BDE6FAF091}" name="Column1620"/>
    <tableColumn id="1621" xr3:uid="{7B418438-86E4-42BE-B435-B333C5DC645E}" name="Column1621"/>
    <tableColumn id="1622" xr3:uid="{E7CB36D5-0DD8-4D56-9AFA-5CBA5E9FC5EE}" name="Column1622"/>
    <tableColumn id="1623" xr3:uid="{881E959A-E109-4DDC-8221-CA39EF8D865E}" name="Column1623"/>
    <tableColumn id="1624" xr3:uid="{6D0EF08A-F453-4D44-970D-2FD46D80F8B6}" name="Column1624"/>
    <tableColumn id="1625" xr3:uid="{579BED2D-13E1-4F38-987C-D4F06A36C04F}" name="Column1625"/>
    <tableColumn id="1626" xr3:uid="{C72988F6-5217-47DA-9D72-53309974D3F4}" name="Column1626"/>
    <tableColumn id="1627" xr3:uid="{4C645F69-84C7-4FC9-8B4F-BDA19692146D}" name="Column1627"/>
    <tableColumn id="1628" xr3:uid="{BD4DACF5-7A4F-4D83-9D2E-47DDAB1BB529}" name="Column1628"/>
    <tableColumn id="1629" xr3:uid="{1F8C7DE2-5079-4F98-AB36-EFA08E7FDDC0}" name="Column1629"/>
    <tableColumn id="1630" xr3:uid="{177B07E5-A109-491D-81E5-C881AEAD8131}" name="Column1630"/>
    <tableColumn id="1631" xr3:uid="{026BC2CE-E850-4ECA-8948-7BC93416E533}" name="Column1631"/>
    <tableColumn id="1632" xr3:uid="{173A7D0C-40BE-48B7-A611-37EBAA587EF4}" name="Column1632"/>
    <tableColumn id="1633" xr3:uid="{ECD5F6BE-17CB-4027-B384-1CE0DD0DE9F5}" name="Column1633"/>
    <tableColumn id="1634" xr3:uid="{E4BBD212-6FDD-409D-9B44-DBBBDC1CC90D}" name="Column1634"/>
    <tableColumn id="1635" xr3:uid="{DF6C38A6-19CC-4C14-BC19-B05D03937B4D}" name="Column1635"/>
    <tableColumn id="1636" xr3:uid="{9BB98315-CE49-45EE-8062-702CA40AD40B}" name="Column1636"/>
    <tableColumn id="1637" xr3:uid="{00A52829-5703-4144-B3FD-EA1DF5BC2D9C}" name="Column1637"/>
    <tableColumn id="1638" xr3:uid="{D2FE7E04-B028-4035-9A3B-F78AAA12A83E}" name="Column1638"/>
    <tableColumn id="1639" xr3:uid="{AEC7B21C-7563-4FDD-981A-4C8FD04C6C19}" name="Column1639"/>
    <tableColumn id="1640" xr3:uid="{5C4E8446-DC80-49A2-8D99-2ADAF2F0785D}" name="Column1640"/>
    <tableColumn id="1641" xr3:uid="{DC4A4D8F-9250-4374-BDEE-D3952C52A74B}" name="Column1641"/>
    <tableColumn id="1642" xr3:uid="{C3E4A0A4-7523-45C6-B657-943B2B818801}" name="Column1642"/>
    <tableColumn id="1643" xr3:uid="{D602D2A8-4B2A-41E0-BEB0-567766A68284}" name="Column1643"/>
    <tableColumn id="1644" xr3:uid="{EF06EB00-6B55-4DCC-B6AC-49EEF5115EB4}" name="Column1644"/>
    <tableColumn id="1645" xr3:uid="{85092698-AF40-4AA2-86F8-81B603888781}" name="Column1645"/>
    <tableColumn id="1646" xr3:uid="{1D01D170-4116-4555-B3B6-8DB67CB392FF}" name="Column1646"/>
    <tableColumn id="1647" xr3:uid="{7D7BFEF4-A40C-4166-A4E0-F5E401EBF331}" name="Column1647"/>
    <tableColumn id="1648" xr3:uid="{EF368EB2-C8A7-40A2-A68B-6C13028D0B9E}" name="Column1648"/>
    <tableColumn id="1649" xr3:uid="{69AC1F54-C993-4C73-B8F5-2374040F9DAC}" name="Column1649"/>
    <tableColumn id="1650" xr3:uid="{F0D6F15B-388A-4E5F-8C43-1F084C97D8BA}" name="Column1650"/>
    <tableColumn id="1651" xr3:uid="{A4B60A72-B7F5-4F18-BFD8-D6A78C3D27C4}" name="Column1651"/>
    <tableColumn id="1652" xr3:uid="{FA9AB50C-B497-4884-A153-04EB0DD20CC8}" name="Column1652"/>
    <tableColumn id="1653" xr3:uid="{FB7EC239-C345-435D-AE72-B0E84A380420}" name="Column1653"/>
    <tableColumn id="1654" xr3:uid="{CAD6D091-DBD0-4D77-9B38-686FFC61C0F4}" name="Column1654"/>
    <tableColumn id="1655" xr3:uid="{70F282F0-7038-49B2-90E3-2D53E006FC82}" name="Column1655"/>
    <tableColumn id="1656" xr3:uid="{C7196F33-634C-4231-884E-E4DDE33C1342}" name="Column1656"/>
    <tableColumn id="1657" xr3:uid="{D98CD51A-4286-4627-8AE2-C616692C9CED}" name="Column1657"/>
    <tableColumn id="1658" xr3:uid="{B4C186F0-BD58-4EC3-AE7B-75E51483D2CF}" name="Column1658"/>
    <tableColumn id="1659" xr3:uid="{BF714975-A574-4C0B-9F33-7E4493E115F4}" name="Column1659"/>
    <tableColumn id="1660" xr3:uid="{814017CF-8AFF-499E-8933-D3E724CA1A19}" name="Column1660"/>
    <tableColumn id="1661" xr3:uid="{4F2FCBDE-FFD8-45F9-BB08-257CA2EB1734}" name="Column1661"/>
    <tableColumn id="1662" xr3:uid="{4DEF3D50-B9BD-44E5-A9E5-70CD280A2AFE}" name="Column1662"/>
    <tableColumn id="1663" xr3:uid="{9959C6CD-16D3-4B1E-AA37-EEC81A30FF4F}" name="Column1663"/>
    <tableColumn id="1664" xr3:uid="{F845D75B-B3D3-4E23-B282-429CA1F2BAB9}" name="Column1664"/>
    <tableColumn id="1665" xr3:uid="{D6DDA881-7266-4677-B313-01087036E7E3}" name="Column1665"/>
    <tableColumn id="1666" xr3:uid="{0EE9FCB2-7227-40BA-BC83-81C2095F0641}" name="Column1666"/>
    <tableColumn id="1667" xr3:uid="{77602C6C-324E-45B6-98C2-654CC3D7E1AF}" name="Column1667"/>
    <tableColumn id="1668" xr3:uid="{3CF31D80-BEAC-42E1-8898-B11B1BA5DC1A}" name="Column1668"/>
    <tableColumn id="1669" xr3:uid="{0C9C2581-012F-4FF8-B7E1-59FEF43EAC78}" name="Column1669"/>
    <tableColumn id="1670" xr3:uid="{2799013B-5D8B-4C33-9456-1D676846D8DD}" name="Column1670"/>
    <tableColumn id="1671" xr3:uid="{83B99926-306B-47BF-B3E3-F7D01C32607C}" name="Column1671"/>
    <tableColumn id="1672" xr3:uid="{FEA82214-5B17-46C7-A413-73F596453A01}" name="Column1672"/>
    <tableColumn id="1673" xr3:uid="{E279812E-C070-4B55-BE77-985B15B17350}" name="Column1673"/>
    <tableColumn id="1674" xr3:uid="{34A31476-FB6E-45C7-8340-BF2AD6A71F8B}" name="Column1674"/>
    <tableColumn id="1675" xr3:uid="{488CF00F-2730-4E88-8EF7-EEE113873F7A}" name="Column1675"/>
    <tableColumn id="1676" xr3:uid="{85045B52-966E-4EE3-A0BF-006C21DC0E1F}" name="Column1676"/>
    <tableColumn id="1677" xr3:uid="{BB083B50-726D-4EBA-9DAE-639F3FA57DAF}" name="Column1677"/>
    <tableColumn id="1678" xr3:uid="{FA9CA022-FF1A-4BF0-ACD7-42A70CACCF36}" name="Column1678"/>
    <tableColumn id="1679" xr3:uid="{807801F1-8B2A-4BF0-8114-FAC4A151D7BE}" name="Column1679"/>
    <tableColumn id="1680" xr3:uid="{205F7EE7-3DFC-42A8-BB44-F618F03F4587}" name="Column1680"/>
    <tableColumn id="1681" xr3:uid="{2B6B0FA4-D290-4742-A20E-5103AB39334C}" name="Column1681"/>
    <tableColumn id="1682" xr3:uid="{B1A7CD85-D577-4A34-9A68-B0E9DA5FE136}" name="Column1682"/>
    <tableColumn id="1683" xr3:uid="{11E7DAAD-074C-4057-A038-B56B74C1C08E}" name="Column1683"/>
    <tableColumn id="1684" xr3:uid="{5B0A57A0-88A4-4D04-A0D5-F92FA0FE9AA8}" name="Column1684"/>
    <tableColumn id="1685" xr3:uid="{F73F0583-D815-4968-AABE-62EC97B0A3FF}" name="Column1685"/>
    <tableColumn id="1686" xr3:uid="{4F106AEB-E299-4DFE-B8B6-0FE877A78026}" name="Column1686"/>
    <tableColumn id="1687" xr3:uid="{4A519268-4D55-448A-8257-CBE6466D9E58}" name="Column1687"/>
    <tableColumn id="1688" xr3:uid="{BE64A4D4-3E9C-49DF-A223-41C21B3A1FD5}" name="Column1688"/>
    <tableColumn id="1689" xr3:uid="{6F87F4DA-95A9-4EE5-B5D0-7A1D13A0CF86}" name="Column1689"/>
    <tableColumn id="1690" xr3:uid="{28DD6FC9-D63B-4CDB-A80F-C388055D867E}" name="Column1690"/>
    <tableColumn id="1691" xr3:uid="{4A717A69-F3B9-4CB6-851C-D6AA9BB99CE3}" name="Column1691"/>
    <tableColumn id="1692" xr3:uid="{893D0921-6F06-44FB-AD2E-FBC91344FEB1}" name="Column1692"/>
    <tableColumn id="1693" xr3:uid="{33B761C5-485A-4555-BCF3-32BB0E11DDCA}" name="Column1693"/>
    <tableColumn id="1694" xr3:uid="{4DBB159D-4C06-4020-B7B2-BD5802DE8B8D}" name="Column1694"/>
    <tableColumn id="1695" xr3:uid="{2DF91DFF-A8C4-4A15-8373-312A0D811A86}" name="Column1695"/>
    <tableColumn id="1696" xr3:uid="{517A1E00-256D-47A6-A16E-DA3E8F5761D8}" name="Column1696"/>
    <tableColumn id="1697" xr3:uid="{4E0F2DCD-6464-4149-A674-FE0CBDFA72D5}" name="Column1697"/>
    <tableColumn id="1698" xr3:uid="{1DBC07E0-5698-43A1-8CA9-D52A6E16AE17}" name="Column1698"/>
    <tableColumn id="1699" xr3:uid="{DEEE3B1C-1F31-4665-A80C-666F35DF9BAB}" name="Column1699"/>
    <tableColumn id="1700" xr3:uid="{F556278F-1DD1-4CA5-B199-6B401EC740EE}" name="Column1700"/>
    <tableColumn id="1701" xr3:uid="{88184061-E4C5-498C-A8D1-2156B76F644C}" name="Column1701"/>
    <tableColumn id="1702" xr3:uid="{08FDCCEB-1550-4D7C-A6DD-AFFB60972643}" name="Column1702"/>
    <tableColumn id="1703" xr3:uid="{B33459FD-5252-4DA4-A546-2163F62A649B}" name="Column1703"/>
    <tableColumn id="1704" xr3:uid="{A95B953A-D183-4AF6-8F4D-D6C4AABDC127}" name="Column1704"/>
    <tableColumn id="1705" xr3:uid="{6EC1C277-B9DE-48C1-9AF5-EB0C811EEE8E}" name="Column1705"/>
    <tableColumn id="1706" xr3:uid="{E7CF927C-6B04-43DB-81AE-38FDD0952F03}" name="Column1706"/>
    <tableColumn id="1707" xr3:uid="{77303632-738B-45AE-8250-A1A457E91E52}" name="Column1707"/>
    <tableColumn id="1708" xr3:uid="{ABA6EA97-EA60-486C-9D13-9ECC376F3BFD}" name="Column1708"/>
    <tableColumn id="1709" xr3:uid="{EE6A0D20-3046-4D32-BF18-C78473673994}" name="Column1709"/>
    <tableColumn id="1710" xr3:uid="{EE1F5BE6-7E61-4CED-82C0-A8DA7283A8FA}" name="Column1710"/>
    <tableColumn id="1711" xr3:uid="{CA348376-15AB-4EA3-9924-D40C24F1091F}" name="Column1711"/>
    <tableColumn id="1712" xr3:uid="{FF692719-B0ED-444E-A411-D823AE96F7BB}" name="Column1712"/>
    <tableColumn id="1713" xr3:uid="{31CA597F-A68F-448B-8706-C553BA88C8E9}" name="Column1713"/>
    <tableColumn id="1714" xr3:uid="{6426456F-6909-491B-9752-C938F176B4B8}" name="Column1714"/>
    <tableColumn id="1715" xr3:uid="{11BA35CC-A4E6-40CC-BA6F-AB88A6E3C671}" name="Column1715"/>
    <tableColumn id="1716" xr3:uid="{F02E97D0-A955-4761-A067-472F66B1ECFB}" name="Column1716"/>
    <tableColumn id="1717" xr3:uid="{A0729F7D-103A-4A6A-9CB4-38D72E68421B}" name="Column1717"/>
    <tableColumn id="1718" xr3:uid="{A36C5D65-8B6F-4632-BCEE-C7A5430ED902}" name="Column1718"/>
    <tableColumn id="1719" xr3:uid="{841BA132-4B3B-4F54-B337-80FAB1D51B72}" name="Column1719"/>
    <tableColumn id="1720" xr3:uid="{E1D04C7C-3201-4E9B-9073-53D58C6717C5}" name="Column1720"/>
    <tableColumn id="1721" xr3:uid="{DC28F498-E315-492B-A126-4F0458B02F08}" name="Column1721"/>
    <tableColumn id="1722" xr3:uid="{A54891F0-A6DD-4355-8F19-69D2860CF983}" name="Column1722"/>
    <tableColumn id="1723" xr3:uid="{E12B6CAD-29E5-401C-ABAA-66408A6C3D4C}" name="Column1723"/>
    <tableColumn id="1724" xr3:uid="{DFF52735-FA3A-4AFC-B53A-7F73B3763B70}" name="Column1724"/>
    <tableColumn id="1725" xr3:uid="{7D18752B-EE3F-4055-93EA-C7537DE3C192}" name="Column1725"/>
    <tableColumn id="1726" xr3:uid="{BA132BC5-9639-4D35-A2ED-377A04D948F5}" name="Column1726"/>
    <tableColumn id="1727" xr3:uid="{7BCC8D18-ECA0-4C23-90E7-640E571CA4E0}" name="Column1727"/>
    <tableColumn id="1728" xr3:uid="{8274D579-94C0-4C02-8CBB-13396BEA9B36}" name="Column1728"/>
    <tableColumn id="1729" xr3:uid="{6D30240A-04A6-49F9-9FA4-88A65C450356}" name="Column1729"/>
    <tableColumn id="1730" xr3:uid="{2B0EE1BA-11B5-4F82-88F9-2525940364B4}" name="Column1730"/>
    <tableColumn id="1731" xr3:uid="{62B5F815-C612-46B3-9A7A-8C595A034238}" name="Column1731"/>
    <tableColumn id="1732" xr3:uid="{0FE48FFC-6224-4024-ADFB-CBA532182671}" name="Column1732"/>
    <tableColumn id="1733" xr3:uid="{AB208228-52CB-4516-BAF9-85E97F5761FA}" name="Column1733"/>
    <tableColumn id="1734" xr3:uid="{B0A581CA-1D98-4333-9743-F8F576EB24B2}" name="Column1734"/>
    <tableColumn id="1735" xr3:uid="{9B7B825A-551D-4D55-B995-03241CAF1AA9}" name="Column1735"/>
    <tableColumn id="1736" xr3:uid="{BC40D4EA-F64E-4A36-97E4-70BF18711B6F}" name="Column1736"/>
    <tableColumn id="1737" xr3:uid="{AF357D0B-149F-4C80-A1A4-1899F63370CF}" name="Column1737"/>
    <tableColumn id="1738" xr3:uid="{271DB04D-4E22-40E4-A04E-47A5FF1CA108}" name="Column1738"/>
    <tableColumn id="1739" xr3:uid="{54E40C9A-3E73-4592-A1AE-DEC15B36421D}" name="Column1739"/>
    <tableColumn id="1740" xr3:uid="{5F7B1A72-5C8C-499C-B1EE-32AF44E0BA30}" name="Column1740"/>
    <tableColumn id="1741" xr3:uid="{EB3C5A03-280C-48F4-B066-88E345D34B76}" name="Column1741"/>
    <tableColumn id="1742" xr3:uid="{EE0AB0B0-3596-4C55-B8DE-0652D20F963E}" name="Column1742"/>
    <tableColumn id="1743" xr3:uid="{6C0AE797-7D85-4131-B2DC-79BA0B198F6B}" name="Column1743"/>
    <tableColumn id="1744" xr3:uid="{5FAED50F-366E-41F5-B5FC-3222EC1DD6EF}" name="Column1744"/>
    <tableColumn id="1745" xr3:uid="{DAFD68DF-3745-4556-A980-3784D6C9184C}" name="Column1745"/>
    <tableColumn id="1746" xr3:uid="{ACFDFDC4-8EE0-414F-945D-923CF58FB436}" name="Column1746"/>
    <tableColumn id="1747" xr3:uid="{82086B42-C5E4-4EA6-9C13-C63098425B31}" name="Column1747"/>
    <tableColumn id="1748" xr3:uid="{74779D9D-B38B-40A7-9997-53D979348F44}" name="Column1748"/>
    <tableColumn id="1749" xr3:uid="{C78D7F19-3B53-4DA1-B535-5A3D447DD97D}" name="Column1749"/>
    <tableColumn id="1750" xr3:uid="{3269BD35-5E6D-4E24-8A75-CAA6C878F4B8}" name="Column1750"/>
    <tableColumn id="1751" xr3:uid="{F7B47658-47FC-49E6-BD15-C38778D048A9}" name="Column1751"/>
    <tableColumn id="1752" xr3:uid="{2F848686-F708-4885-BD1E-C1A3A9C3C68C}" name="Column1752"/>
    <tableColumn id="1753" xr3:uid="{105DB702-E228-4688-BA1A-4541554A9358}" name="Column1753"/>
    <tableColumn id="1754" xr3:uid="{EE41E5FD-3667-4546-B52E-5D8A2BC99C1E}" name="Column1754"/>
    <tableColumn id="1755" xr3:uid="{7E5A4E90-35CB-4CD6-85A2-684726EB98A1}" name="Column1755"/>
    <tableColumn id="1756" xr3:uid="{7B59E0BC-DB8A-4FDB-B93C-D02D9FD63231}" name="Column1756"/>
    <tableColumn id="1757" xr3:uid="{DC28D17A-751B-4F1E-9800-9332C8E5210A}" name="Column1757"/>
    <tableColumn id="1758" xr3:uid="{E3E28A15-1ACE-4AE6-A1E5-2191266B3328}" name="Column1758"/>
    <tableColumn id="1759" xr3:uid="{F6D412CF-49FC-4C0A-9044-EF117BB5329A}" name="Column1759"/>
    <tableColumn id="1760" xr3:uid="{089A30B6-BCEF-4E4C-99E8-0D7AD1C65E75}" name="Column1760"/>
    <tableColumn id="1761" xr3:uid="{47E7905A-34B8-4ACE-8316-75737D514F4E}" name="Column1761"/>
    <tableColumn id="1762" xr3:uid="{A97E67EC-2F34-45E5-9E9A-B5D8016F2B62}" name="Column1762"/>
    <tableColumn id="1763" xr3:uid="{A7D9ABA1-1933-4007-9F6E-6FF0673F95D3}" name="Column1763"/>
    <tableColumn id="1764" xr3:uid="{4AD93118-6ED4-4549-B8D3-B2269090A6D6}" name="Column1764"/>
    <tableColumn id="1765" xr3:uid="{7411618C-4294-47EF-97EA-EC0FFEB53060}" name="Column1765"/>
    <tableColumn id="1766" xr3:uid="{103D04BF-9805-4ECE-A2B5-90A8AAE4A602}" name="Column1766"/>
    <tableColumn id="1767" xr3:uid="{B06BCDA6-D7D8-4C58-A77A-7C676DEA4B05}" name="Column1767"/>
    <tableColumn id="1768" xr3:uid="{7B686F91-A5EA-4037-A629-68BD14C6A0AB}" name="Column1768"/>
    <tableColumn id="1769" xr3:uid="{7C4B7244-6520-46DB-A6DF-479235CD228A}" name="Column1769"/>
    <tableColumn id="1770" xr3:uid="{31C65E9E-9656-4A4F-905A-3305DD132A5B}" name="Column1770"/>
    <tableColumn id="1771" xr3:uid="{254164BA-F2E9-43E4-8A3E-3E7DF8239496}" name="Column1771"/>
    <tableColumn id="1772" xr3:uid="{455782F6-FBB0-4C8A-928C-2DFD1A01FC51}" name="Column1772"/>
    <tableColumn id="1773" xr3:uid="{7919828E-ACEF-4E09-A4FF-6DD364DE307C}" name="Column1773"/>
    <tableColumn id="1774" xr3:uid="{CADABF47-D515-4AAF-B497-2151E66BD3E7}" name="Column1774"/>
    <tableColumn id="1775" xr3:uid="{F5897ED0-6036-44C0-8E31-D1AE1A9F8AA4}" name="Column1775"/>
    <tableColumn id="1776" xr3:uid="{733446CF-2539-4D93-A6A4-31D58319A579}" name="Column1776"/>
    <tableColumn id="1777" xr3:uid="{72963BBF-2137-418B-8229-3871E8578B39}" name="Column1777"/>
    <tableColumn id="1778" xr3:uid="{3AB6F421-D2BA-4A04-95CD-ADC9A4D9687A}" name="Column1778"/>
    <tableColumn id="1779" xr3:uid="{B96D71E5-7229-44E2-9862-32E5ABFEAFE3}" name="Column1779"/>
    <tableColumn id="1780" xr3:uid="{3CE8369A-7C05-463F-8D3E-D9234D925E8F}" name="Column1780"/>
    <tableColumn id="1781" xr3:uid="{EBDEB197-4C0E-494F-ACC9-6DB1F26DBADB}" name="Column1781"/>
    <tableColumn id="1782" xr3:uid="{8F8783F1-B8A6-4508-BF16-FE0C1E9C1077}" name="Column1782"/>
    <tableColumn id="1783" xr3:uid="{6E4931F3-D408-4CAD-BB45-B6C496EDECDF}" name="Column1783"/>
    <tableColumn id="1784" xr3:uid="{7CDCC177-6496-42D5-A211-D73039930DAD}" name="Column1784"/>
    <tableColumn id="1785" xr3:uid="{7CDAC8A5-EB88-40A1-A8A5-3D8E7A1AD377}" name="Column1785"/>
    <tableColumn id="1786" xr3:uid="{06ED4C47-9A25-4B4D-AB26-C252BEC5445A}" name="Column1786"/>
    <tableColumn id="1787" xr3:uid="{D904F4AD-8E14-465D-AE02-8DF23119DFD3}" name="Column1787"/>
    <tableColumn id="1788" xr3:uid="{275A7D2E-C19E-44A5-AEDB-46CC9868BB66}" name="Column1788"/>
    <tableColumn id="1789" xr3:uid="{83BD802B-B0D0-459D-84BB-633947B437FC}" name="Column1789"/>
    <tableColumn id="1790" xr3:uid="{59261A73-2CF5-4EC4-B7CA-D12BC558726A}" name="Column1790"/>
    <tableColumn id="1791" xr3:uid="{7CF29319-A41C-4C41-A40C-149FC1EDE5E2}" name="Column1791"/>
    <tableColumn id="1792" xr3:uid="{4679A9C6-6D26-47E9-BB58-7F91B311B8D2}" name="Column1792"/>
    <tableColumn id="1793" xr3:uid="{CFC28612-8B3E-4D34-BF32-8CAACC9FAB95}" name="Column1793"/>
    <tableColumn id="1794" xr3:uid="{4D6FE416-B5DD-4068-A7FD-800EB4C06F22}" name="Column1794"/>
    <tableColumn id="1795" xr3:uid="{44ED10FE-B632-40E2-9F4C-5A7672F19314}" name="Column1795"/>
    <tableColumn id="1796" xr3:uid="{0A84A840-9964-4CFF-A5BC-5A9B49E3D45A}" name="Column1796"/>
    <tableColumn id="1797" xr3:uid="{71A72ADB-F698-4724-BE28-FE0A20B131FB}" name="Column1797"/>
    <tableColumn id="1798" xr3:uid="{DEA6236F-E78A-41C5-B1A1-1DF9D689CF34}" name="Column1798"/>
    <tableColumn id="1799" xr3:uid="{9622B443-42A1-488B-9C51-11FBF918272C}" name="Column1799"/>
    <tableColumn id="1800" xr3:uid="{5E033387-A3DB-487E-BFD5-08418B98293A}" name="Column1800"/>
    <tableColumn id="1801" xr3:uid="{12BB8815-842F-4D3D-810A-63A2464B0666}" name="Column1801"/>
    <tableColumn id="1802" xr3:uid="{EF2642E5-2FA9-434B-9038-26D34EED7619}" name="Column1802"/>
    <tableColumn id="1803" xr3:uid="{CC17018F-3787-4EA2-AABB-A4D11E7FF0E0}" name="Column1803"/>
    <tableColumn id="1804" xr3:uid="{59FFDD7D-6C2D-47A5-B1AD-F605BFF03654}" name="Column1804"/>
    <tableColumn id="1805" xr3:uid="{128F0205-2115-4231-83EF-6D33546EA7CC}" name="Column1805"/>
    <tableColumn id="1806" xr3:uid="{91AF8BCC-EAFF-47BA-B3D0-6A47F58BC421}" name="Column1806"/>
    <tableColumn id="1807" xr3:uid="{D46D2A4C-ADC7-4A8E-9E76-3F33DDAF356F}" name="Column1807"/>
    <tableColumn id="1808" xr3:uid="{83B0CE9D-257E-4417-AA52-15C6BFDE1EB5}" name="Column1808"/>
    <tableColumn id="1809" xr3:uid="{65990F9A-2646-4FB8-9F3B-D4D6C2B574D4}" name="Column1809"/>
    <tableColumn id="1810" xr3:uid="{900EF07E-587D-4291-8598-D0A14489A9F2}" name="Column1810"/>
    <tableColumn id="1811" xr3:uid="{81E86E24-65BB-470C-9EEB-DEF4792983B8}" name="Column1811"/>
    <tableColumn id="1812" xr3:uid="{FC897662-642D-4985-9813-9EC97BD569C9}" name="Column1812"/>
    <tableColumn id="1813" xr3:uid="{BADA5DAC-E82A-492C-91B0-7FFBD14C4B1E}" name="Column1813"/>
    <tableColumn id="1814" xr3:uid="{290EFF32-69F4-4DF1-A1F6-C224C634E352}" name="Column1814"/>
    <tableColumn id="1815" xr3:uid="{21BE18BC-FB3A-4776-9479-9A5DAB7F8669}" name="Column1815"/>
    <tableColumn id="1816" xr3:uid="{A8711A0F-21F4-4228-9EDA-2FB4E4604A3A}" name="Column1816"/>
    <tableColumn id="1817" xr3:uid="{46D29F7B-91B2-4C1C-937E-0E80475AB222}" name="Column1817"/>
    <tableColumn id="1818" xr3:uid="{FCD97A5A-E9AA-4B96-AAD4-DB0BCA08D9FB}" name="Column1818"/>
    <tableColumn id="1819" xr3:uid="{A0EED315-D87B-4A3D-B733-82EED3357EF4}" name="Column1819"/>
    <tableColumn id="1820" xr3:uid="{0F7986C1-AA3C-480A-A72E-1C2861B7C8F7}" name="Column1820"/>
    <tableColumn id="1821" xr3:uid="{A9DAB0C1-DCFF-43F1-AA17-F36568D30F65}" name="Column1821"/>
    <tableColumn id="1822" xr3:uid="{76C92399-A694-4481-8BCD-49749E15CCAF}" name="Column1822"/>
    <tableColumn id="1823" xr3:uid="{7DFBEAD7-4BA9-47DB-9FEF-A50A232FF528}" name="Column1823"/>
    <tableColumn id="1824" xr3:uid="{C3BA7E86-FE42-4CE1-B1D1-B4ACA24C41E1}" name="Column1824"/>
    <tableColumn id="1825" xr3:uid="{9F5F709E-6E24-4794-872A-04FCF8B349BC}" name="Column1825"/>
    <tableColumn id="1826" xr3:uid="{8CD2F2BE-99B7-49C0-9D33-779A0F72E305}" name="Column1826"/>
    <tableColumn id="1827" xr3:uid="{7FC56DEA-AFD8-4FC6-B9E7-2404E1F2C34E}" name="Column1827"/>
    <tableColumn id="1828" xr3:uid="{8D7BDEFC-832B-4C30-9895-2A83EF6EC67A}" name="Column1828"/>
    <tableColumn id="1829" xr3:uid="{AD66936B-6764-4D53-99E4-CB516C6DB3A8}" name="Column1829"/>
    <tableColumn id="1830" xr3:uid="{733E6FCD-174A-4980-A8D9-FD631CB1A3D9}" name="Column1830"/>
    <tableColumn id="1831" xr3:uid="{60949998-26A0-4F92-B053-4313E3903D47}" name="Column1831"/>
    <tableColumn id="1832" xr3:uid="{52FA5A18-0500-43CB-A0E9-126B62EAD1F3}" name="Column1832"/>
    <tableColumn id="1833" xr3:uid="{A6DC196E-3A35-4D5C-8D09-29113DDDFA8F}" name="Column1833"/>
    <tableColumn id="1834" xr3:uid="{D90E6103-1A3E-4480-9950-398C2EBCAC00}" name="Column1834"/>
    <tableColumn id="1835" xr3:uid="{C6E15A3C-C910-4CC1-9058-92110076B6A4}" name="Column1835"/>
    <tableColumn id="1836" xr3:uid="{9222133D-6B64-471E-AB69-56D7D10F65EC}" name="Column1836"/>
    <tableColumn id="1837" xr3:uid="{6985B6B0-995A-4FF0-A5CA-31B8077A1F0C}" name="Column1837"/>
    <tableColumn id="1838" xr3:uid="{F077F066-FEAA-4C29-AA78-A3ADCEFFC28A}" name="Column1838"/>
    <tableColumn id="1839" xr3:uid="{5CB00357-F8A1-4C03-AFA7-29AD3877267C}" name="Column1839"/>
    <tableColumn id="1840" xr3:uid="{E94023A2-83AD-4069-B412-BB48C3DB72CE}" name="Column1840"/>
    <tableColumn id="1841" xr3:uid="{5438BFF0-B24F-468B-AC12-1EDEA63D38EE}" name="Column1841"/>
    <tableColumn id="1842" xr3:uid="{E17300DF-5C8F-4996-9C9D-CCD638B3FBEE}" name="Column1842"/>
    <tableColumn id="1843" xr3:uid="{FF088CD6-175D-4F43-9935-E31EAECEB513}" name="Column1843"/>
    <tableColumn id="1844" xr3:uid="{AC3987C9-1588-478E-9C59-DB90D771E980}" name="Column1844"/>
    <tableColumn id="1845" xr3:uid="{9BBC8675-D33B-40E1-9727-C36B40913365}" name="Column1845"/>
    <tableColumn id="1846" xr3:uid="{B62EEA7D-76EA-43ED-9572-1AB1AD8562E2}" name="Column1846"/>
    <tableColumn id="1847" xr3:uid="{2187B82F-D605-416B-81FA-2036972F65A9}" name="Column1847"/>
    <tableColumn id="1848" xr3:uid="{00924721-6E64-4A31-B908-722F47890459}" name="Column1848"/>
    <tableColumn id="1849" xr3:uid="{33F1DAD4-02F8-4C8F-ACC9-E24731484C27}" name="Column1849"/>
    <tableColumn id="1850" xr3:uid="{51DCEB7A-57D1-4D11-B320-8D5B84D65490}" name="Column1850"/>
    <tableColumn id="1851" xr3:uid="{FB34AA33-5F4A-4447-91E0-41B3B5E03A9B}" name="Column1851"/>
    <tableColumn id="1852" xr3:uid="{6CCD1848-00D7-4588-A9D5-ABFC37D811BC}" name="Column1852"/>
    <tableColumn id="1853" xr3:uid="{22E7989E-E018-416A-A92F-A2A7C77F80AF}" name="Column1853"/>
    <tableColumn id="1854" xr3:uid="{3E55A3BE-E3EF-4F09-B04D-8FF3095971ED}" name="Column1854"/>
    <tableColumn id="1855" xr3:uid="{A55D1F37-ACDE-4319-A373-BB4278E0D327}" name="Column1855"/>
    <tableColumn id="1856" xr3:uid="{C2FC23A3-D62B-4CEE-8691-09C7B708DB57}" name="Column1856"/>
    <tableColumn id="1857" xr3:uid="{82FE1B78-A645-4A41-864E-8DACDE9B4C7B}" name="Column1857"/>
    <tableColumn id="1858" xr3:uid="{B048E48A-0C99-4DE3-81A4-40FFCFF6DFAE}" name="Column1858"/>
    <tableColumn id="1859" xr3:uid="{15ACB2CE-FD8E-40EF-A1A2-A90203D3277E}" name="Column1859"/>
    <tableColumn id="1860" xr3:uid="{5F9CD5DB-2C7F-4D8E-914B-D74AB6E24801}" name="Column1860"/>
    <tableColumn id="1861" xr3:uid="{E16974DF-0FAC-41C9-B5DB-4948CC475A70}" name="Column1861"/>
    <tableColumn id="1862" xr3:uid="{E0C1FFBC-640F-4236-A697-8FBFF38DBDB9}" name="Column1862"/>
    <tableColumn id="1863" xr3:uid="{5031C8AD-5CE5-44A4-A8B7-BF4F8D741722}" name="Column1863"/>
    <tableColumn id="1864" xr3:uid="{40A398B9-CB3B-4C83-9561-1AEBEC126C01}" name="Column1864"/>
    <tableColumn id="1865" xr3:uid="{520713B0-FC0E-4974-AA3E-52E93F5D6BAB}" name="Column1865"/>
    <tableColumn id="1866" xr3:uid="{D2CE9DDD-FF3D-499B-9588-17DD555CDC1B}" name="Column1866"/>
    <tableColumn id="1867" xr3:uid="{CD293631-D186-4453-8932-568B4D27CC7A}" name="Column1867"/>
    <tableColumn id="1868" xr3:uid="{BE3AD2A4-A29A-4623-9A37-BEE269866521}" name="Column1868"/>
    <tableColumn id="1869" xr3:uid="{C3FDA1C5-B45D-4AE5-85AF-BFEB9B818924}" name="Column1869"/>
    <tableColumn id="1870" xr3:uid="{097EE1B8-1E88-4858-9062-E065EA04B153}" name="Column1870"/>
    <tableColumn id="1871" xr3:uid="{D5B87969-AA23-41EE-AE64-C248E952FF8F}" name="Column1871"/>
    <tableColumn id="1872" xr3:uid="{A693A59B-06E5-4CBB-982E-DB8A70229832}" name="Column1872"/>
    <tableColumn id="1873" xr3:uid="{A1BE02B6-B4CF-440F-8F21-D889FF19B0E6}" name="Column1873"/>
    <tableColumn id="1874" xr3:uid="{1F03CD5B-F336-4845-9AAA-1A7EA7622FE5}" name="Column1874"/>
    <tableColumn id="1875" xr3:uid="{9AFF48BC-CFD7-4087-956D-A6EAC8C6E047}" name="Column1875"/>
    <tableColumn id="1876" xr3:uid="{C2A119CD-2CFA-484A-9775-C290C26FE0F7}" name="Column1876"/>
    <tableColumn id="1877" xr3:uid="{4BE14EAF-A344-4DE1-9C5F-2FAC32501A8B}" name="Column1877"/>
    <tableColumn id="1878" xr3:uid="{2E40BB7A-06EF-4535-91C4-80CDDF57A0AA}" name="Column1878"/>
    <tableColumn id="1879" xr3:uid="{0C25E325-A18F-4641-BAC1-D3A1AA18F1B1}" name="Column1879"/>
    <tableColumn id="1880" xr3:uid="{CE7E6CFE-2518-41A5-AA0B-C47A623A500B}" name="Column1880"/>
    <tableColumn id="1881" xr3:uid="{7AF9FC05-D5BF-4231-92F2-77D9DB9E9118}" name="Column1881"/>
    <tableColumn id="1882" xr3:uid="{0F31C6A2-D257-47F3-96FA-098BB8A2985B}" name="Column1882"/>
    <tableColumn id="1883" xr3:uid="{4327D796-A344-4038-80A6-2E95D5DDB8A2}" name="Column1883"/>
    <tableColumn id="1884" xr3:uid="{6FA68084-8D6C-4AB6-A888-199FE3C2955B}" name="Column1884"/>
    <tableColumn id="1885" xr3:uid="{B103378F-054B-44E5-98E2-2F8B886C365A}" name="Column1885"/>
    <tableColumn id="1886" xr3:uid="{4E94714E-8BCD-4853-978B-41C15FC3ED8C}" name="Column1886"/>
    <tableColumn id="1887" xr3:uid="{289821A4-0963-4430-9A1F-A10E7979DAFD}" name="Column1887"/>
    <tableColumn id="1888" xr3:uid="{E85BE6F4-D0F5-4C90-A240-B49DBFD62539}" name="Column1888"/>
    <tableColumn id="1889" xr3:uid="{95A45DD9-917E-462E-8515-E9000AE986E9}" name="Column1889"/>
    <tableColumn id="1890" xr3:uid="{C38B42E0-1A97-428D-A916-E5334D1149E5}" name="Column1890"/>
    <tableColumn id="1891" xr3:uid="{A089ECE8-60D6-4478-97C3-322FF5BD4B40}" name="Column1891"/>
    <tableColumn id="1892" xr3:uid="{0ABC9356-F863-4867-8BB6-FCF979A8373C}" name="Column1892"/>
    <tableColumn id="1893" xr3:uid="{8AF7C27A-6A6B-4A74-BFC3-E1171A6AB98E}" name="Column1893"/>
    <tableColumn id="1894" xr3:uid="{9BCEA6EC-9759-4FD3-B887-5F6F177863FA}" name="Column1894"/>
    <tableColumn id="1895" xr3:uid="{BFCBD897-8F94-4698-87F6-CA8582BA2A39}" name="Column1895"/>
    <tableColumn id="1896" xr3:uid="{1C7944C5-9253-4E9B-93E7-27C0EFEABDF1}" name="Column1896"/>
    <tableColumn id="1897" xr3:uid="{8E46EB1E-7F65-4B69-8DFC-EFC49A60F12D}" name="Column1897"/>
    <tableColumn id="1898" xr3:uid="{32A7C9E6-404F-46DE-9D6B-9CF57A8C3889}" name="Column1898"/>
    <tableColumn id="1899" xr3:uid="{EAA0FD5A-DD0A-4076-8783-0C525466B0DF}" name="Column1899"/>
    <tableColumn id="1900" xr3:uid="{18A1A21D-74E3-4D2C-A01E-D9EB7DF5A5B4}" name="Column1900"/>
    <tableColumn id="1901" xr3:uid="{DDAF5A05-A9F5-4091-8071-1953E7CEBFC7}" name="Column1901"/>
    <tableColumn id="1902" xr3:uid="{F762E54F-3765-48BA-8AF9-89D5667E75C0}" name="Column1902"/>
    <tableColumn id="1903" xr3:uid="{30258CAD-A9C3-40D7-96F0-8104DE0EDCC0}" name="Column1903"/>
    <tableColumn id="1904" xr3:uid="{1AA54F09-055F-40FB-B65A-6A2D4686215D}" name="Column1904"/>
    <tableColumn id="1905" xr3:uid="{149E38AD-5C84-464F-BCFB-A207BB3D6E92}" name="Column1905"/>
    <tableColumn id="1906" xr3:uid="{DB436CD9-70C8-4572-8621-F1FBDE858364}" name="Column1906"/>
    <tableColumn id="1907" xr3:uid="{5AEBA8CA-EF1C-44F5-9694-9B4FD8B80268}" name="Column1907"/>
    <tableColumn id="1908" xr3:uid="{E96CEF60-3A85-4E5C-9D20-7A2DD35451ED}" name="Column1908"/>
    <tableColumn id="1909" xr3:uid="{9B6D24EF-BBC8-43B1-8F22-B108AF511BF4}" name="Column1909"/>
    <tableColumn id="1910" xr3:uid="{DEFB3330-8DF6-4916-8505-420BD9F294CD}" name="Column1910"/>
    <tableColumn id="1911" xr3:uid="{435A3B96-D5AE-4160-AC5E-634E3982DB01}" name="Column1911"/>
    <tableColumn id="1912" xr3:uid="{FF81DC7D-469D-4AF8-9BA6-55F684815D5E}" name="Column1912"/>
    <tableColumn id="1913" xr3:uid="{37F9C48F-5386-4072-B066-B4009154CB75}" name="Column1913"/>
    <tableColumn id="1914" xr3:uid="{AF26A07B-062B-4F9E-A028-3B7F8BE77777}" name="Column1914"/>
    <tableColumn id="1915" xr3:uid="{42D2C186-9DC8-4EEE-AE15-D537C2624542}" name="Column1915"/>
    <tableColumn id="1916" xr3:uid="{13F20D21-175F-457C-A5F9-EBBF7736FD32}" name="Column1916"/>
    <tableColumn id="1917" xr3:uid="{4FE76931-CBF5-4F3E-AA3B-6C1A9F98A1E4}" name="Column1917"/>
    <tableColumn id="1918" xr3:uid="{5059F51B-362C-40BF-8DC8-5BE07000951A}" name="Column1918"/>
    <tableColumn id="1919" xr3:uid="{3CCEA21A-6207-49ED-A2B8-7213D14334D2}" name="Column1919"/>
    <tableColumn id="1920" xr3:uid="{4CC3FABA-948D-4666-BFE5-51227A2257BE}" name="Column1920"/>
    <tableColumn id="1921" xr3:uid="{0B7435AD-D2F8-46A1-9B04-07961B2F0F8C}" name="Column1921"/>
    <tableColumn id="1922" xr3:uid="{E3FABC23-1DC7-4156-BE09-85F68CF705B7}" name="Column1922"/>
    <tableColumn id="1923" xr3:uid="{33B0C6F0-93DE-40E8-8905-642D494C2EC0}" name="Column1923"/>
    <tableColumn id="1924" xr3:uid="{D10A5819-572C-4ACB-8485-F34494D5C278}" name="Column1924"/>
    <tableColumn id="1925" xr3:uid="{8821529F-FEDB-4875-AA02-05244CA5D220}" name="Column1925"/>
    <tableColumn id="1926" xr3:uid="{EB809CA3-6DD8-42F6-9844-CD7B79B34D45}" name="Column1926"/>
    <tableColumn id="1927" xr3:uid="{AA9264A7-213C-4FA6-8A31-37ED950DB2DA}" name="Column1927"/>
    <tableColumn id="1928" xr3:uid="{EAAF0E25-80D4-415E-847F-8998495FF436}" name="Column1928"/>
    <tableColumn id="1929" xr3:uid="{AC32D8D4-F221-4BE4-9805-F773F5825A1B}" name="Column1929"/>
    <tableColumn id="1930" xr3:uid="{E6031AF0-ECC7-4944-B3E5-4FCC12669647}" name="Column1930"/>
    <tableColumn id="1931" xr3:uid="{732526C5-E994-4620-A279-C53591494B0B}" name="Column1931"/>
    <tableColumn id="1932" xr3:uid="{F51C3FF9-0A30-42A2-82B3-0DA291DF0EB2}" name="Column1932"/>
    <tableColumn id="1933" xr3:uid="{747DAD99-0258-4DCC-A2E6-2DFEEC5B5712}" name="Column1933"/>
    <tableColumn id="1934" xr3:uid="{EC42BB9C-243B-437B-A177-5579B922BC64}" name="Column1934"/>
    <tableColumn id="1935" xr3:uid="{51A4D0D1-79EB-47AF-898A-F0E923BAE6C5}" name="Column1935"/>
    <tableColumn id="1936" xr3:uid="{7D373EA8-BC0F-4323-B955-4BCD76C2E0F2}" name="Column1936"/>
    <tableColumn id="1937" xr3:uid="{CE274AD2-469D-43AB-BBE4-50634A43A6F5}" name="Column1937"/>
    <tableColumn id="1938" xr3:uid="{4FB7A147-F8E2-4229-ADE9-5735CD6AABB5}" name="Column1938"/>
    <tableColumn id="1939" xr3:uid="{5751A654-EC27-4017-83C4-E394EB2D3CF0}" name="Column1939"/>
    <tableColumn id="1940" xr3:uid="{4BBBCC38-17A0-4C8A-842E-7FD76051D951}" name="Column1940"/>
    <tableColumn id="1941" xr3:uid="{56140D67-38CE-40E2-AA7A-7CC1F4B664E9}" name="Column1941"/>
    <tableColumn id="1942" xr3:uid="{10AFD270-B3BA-47B5-84E1-5E09A37588B3}" name="Column1942"/>
    <tableColumn id="1943" xr3:uid="{249CAC2A-F388-43D0-9D9E-58E0DA28F654}" name="Column1943"/>
    <tableColumn id="1944" xr3:uid="{93C3F348-E114-4432-BA8E-4D65D6CD4D45}" name="Column1944"/>
    <tableColumn id="1945" xr3:uid="{EF495E30-7658-493B-9C43-787330609CF8}" name="Column1945"/>
    <tableColumn id="1946" xr3:uid="{F2091541-D905-4D14-8A77-F30970330933}" name="Column1946"/>
    <tableColumn id="1947" xr3:uid="{E89E190B-DA6A-4C3A-9FE8-2F148862253F}" name="Column1947"/>
    <tableColumn id="1948" xr3:uid="{2C4E9FE2-19F9-4826-A8D1-DB3A7A5B0A94}" name="Column1948"/>
    <tableColumn id="1949" xr3:uid="{E04102D2-1914-4CF7-BB4F-AF083D39B659}" name="Column1949"/>
    <tableColumn id="1950" xr3:uid="{C2942134-B616-4E85-BF98-3ABFB9D35260}" name="Column1950"/>
    <tableColumn id="1951" xr3:uid="{9613026F-B661-4900-B5CD-CF2ABE3D5425}" name="Column1951"/>
    <tableColumn id="1952" xr3:uid="{E57D37CD-67B0-4D27-80EA-F83D546DC1FB}" name="Column1952"/>
    <tableColumn id="1953" xr3:uid="{3B3B3D1D-2C81-4C38-B9AB-CEFD3F5B4F81}" name="Column1953"/>
    <tableColumn id="1954" xr3:uid="{DD0F0128-56E5-43EE-8E2F-54213BC6074C}" name="Column1954"/>
    <tableColumn id="1955" xr3:uid="{5A995F53-0EB8-4BB7-9C7E-BF78C4E0ABA6}" name="Column1955"/>
    <tableColumn id="1956" xr3:uid="{F5A0FF1E-39DB-468A-9C10-8563C570ABB1}" name="Column1956"/>
    <tableColumn id="1957" xr3:uid="{41DCC7EC-C6EF-472B-BB90-CECF36EE74F5}" name="Column1957"/>
    <tableColumn id="1958" xr3:uid="{12DD9AD8-D663-440A-B0E3-2B02E1BE5955}" name="Column1958"/>
    <tableColumn id="1959" xr3:uid="{18D31DEB-77A9-47CB-91C5-D9EF8A240B86}" name="Column1959"/>
    <tableColumn id="1960" xr3:uid="{6B98D395-A474-4CD6-812D-5B76FA71EBBE}" name="Column1960"/>
    <tableColumn id="1961" xr3:uid="{69A8A324-0170-4613-A005-0C5943E42A06}" name="Column1961"/>
    <tableColumn id="1962" xr3:uid="{693A02F3-3D58-43A8-B2A6-5E5CFFE456A7}" name="Column1962"/>
    <tableColumn id="1963" xr3:uid="{C690ED8D-1C48-42FF-9F38-383651C9D0CE}" name="Column1963"/>
    <tableColumn id="1964" xr3:uid="{DF39A7C3-8D6B-4E84-839E-B33D47EE7694}" name="Column1964"/>
    <tableColumn id="1965" xr3:uid="{2DAF6780-4EB9-475A-9435-A18BC07899FC}" name="Column1965"/>
    <tableColumn id="1966" xr3:uid="{F8D83BC0-19E7-4E48-89FD-B0D6CFA5D28E}" name="Column1966"/>
    <tableColumn id="1967" xr3:uid="{ACCB1DED-F2BD-46F0-B30C-9F31D2DEC3F1}" name="Column1967"/>
    <tableColumn id="1968" xr3:uid="{3B933A9F-C880-489C-B073-23DCF456A841}" name="Column1968"/>
    <tableColumn id="1969" xr3:uid="{C7B303E2-BF25-4587-9785-0699A209EAB4}" name="Column1969"/>
    <tableColumn id="1970" xr3:uid="{10F8D614-8D44-4552-8FCA-BB0836987A29}" name="Column1970"/>
    <tableColumn id="1971" xr3:uid="{8B7DF119-A5C7-48B5-870A-71CFEEE6F2E1}" name="Column1971"/>
    <tableColumn id="1972" xr3:uid="{04840B6F-4B12-42FB-ABC1-D5E63F06ED92}" name="Column1972"/>
    <tableColumn id="1973" xr3:uid="{2F13D762-BAC0-489B-AD81-B8DF3C03DF85}" name="Column1973"/>
    <tableColumn id="1974" xr3:uid="{7BA6E513-A35F-4BED-AC77-D838505F2E5C}" name="Column1974"/>
    <tableColumn id="1975" xr3:uid="{D99CF636-6B93-4987-8201-E78FAFFFFC71}" name="Column1975"/>
    <tableColumn id="1976" xr3:uid="{4B9AAF74-C7A0-46C1-8ADB-6BF8F6C1CF67}" name="Column1976"/>
    <tableColumn id="1977" xr3:uid="{CFFB2397-ABF8-442B-900F-7026043E14C3}" name="Column1977"/>
    <tableColumn id="1978" xr3:uid="{61AF4AE3-FA78-4344-B76F-6CBBF3832C16}" name="Column1978"/>
    <tableColumn id="1979" xr3:uid="{5B9AF1EB-5DC3-451C-9E59-CE6621473C05}" name="Column1979"/>
    <tableColumn id="1980" xr3:uid="{218C9D43-74DD-47F5-AA2C-AA40A8F0D1B7}" name="Column1980"/>
    <tableColumn id="1981" xr3:uid="{6095F16D-7F66-4BBA-A322-BA5460ABFCD5}" name="Column1981"/>
    <tableColumn id="1982" xr3:uid="{84219EFD-98F2-495E-9622-EA1CE0D3E82B}" name="Column1982"/>
    <tableColumn id="1983" xr3:uid="{46E67C52-FC7A-4B08-92CD-381C6E62FCF9}" name="Column1983"/>
    <tableColumn id="1984" xr3:uid="{8BAED0CE-2605-40B3-A053-462D68746254}" name="Column1984"/>
    <tableColumn id="1985" xr3:uid="{71592FD4-3AA4-4564-A1E9-12CB6112CF4E}" name="Column1985"/>
    <tableColumn id="1986" xr3:uid="{CAB309D3-74C1-4EA2-B79D-22ACE368E520}" name="Column1986"/>
    <tableColumn id="1987" xr3:uid="{FCD427C9-215B-404A-8545-471C8731E645}" name="Column1987"/>
    <tableColumn id="1988" xr3:uid="{4A03B115-2D11-4D9B-A012-4D0DFA8C547F}" name="Column1988"/>
    <tableColumn id="1989" xr3:uid="{4BCF90D7-12D3-45D7-AD1D-941FA75B8932}" name="Column1989"/>
    <tableColumn id="1990" xr3:uid="{F5A13DC0-9631-49E4-B772-81680F3063C2}" name="Column1990"/>
    <tableColumn id="1991" xr3:uid="{1F19BB7C-1CC9-4D22-93A9-33F5A496DD92}" name="Column1991"/>
    <tableColumn id="1992" xr3:uid="{61DBAA78-182F-435C-B373-7E5A15BBFDB9}" name="Column1992"/>
    <tableColumn id="1993" xr3:uid="{3C50BD65-088C-4A16-B1ED-3C6E6D4E25EA}" name="Column1993"/>
    <tableColumn id="1994" xr3:uid="{E6ADBB3A-98CA-46BE-9DEC-637D6172E91C}" name="Column1994"/>
    <tableColumn id="1995" xr3:uid="{A4E37FDD-B440-4ADA-AF83-BA446615E39C}" name="Column1995"/>
    <tableColumn id="1996" xr3:uid="{36456C88-ED4A-4B11-B493-6CB7784D1012}" name="Column1996"/>
    <tableColumn id="1997" xr3:uid="{48E4771F-BCC2-4526-BBC1-56154373A68C}" name="Column1997"/>
    <tableColumn id="1998" xr3:uid="{F1C9C398-5115-43C3-A391-6E6E24A657A1}" name="Column1998"/>
    <tableColumn id="1999" xr3:uid="{5039F0A4-8067-4821-AF7A-EA30DAD80DA2}" name="Column1999"/>
    <tableColumn id="2000" xr3:uid="{481B6693-D48A-4E2B-A592-DEC9B051D608}" name="Column2000"/>
    <tableColumn id="2001" xr3:uid="{32CE22D6-95AD-42BE-9244-E90E80C5FA14}" name="Column2001"/>
    <tableColumn id="2002" xr3:uid="{40E36A73-0B58-4174-B609-7CC9E7E76492}" name="Column2002"/>
    <tableColumn id="2003" xr3:uid="{BA6E6B1C-7E07-473D-8644-63DACE39F54E}" name="Column2003"/>
    <tableColumn id="2004" xr3:uid="{93A7293D-76C7-472F-AC1A-79E39F925A16}" name="Column2004"/>
    <tableColumn id="2005" xr3:uid="{0A79FE6D-4217-4DAC-804B-FF9910E698C4}" name="Column2005"/>
    <tableColumn id="2006" xr3:uid="{FF7B31E5-B600-438F-85C4-8E88CFC85DA8}" name="Column2006"/>
    <tableColumn id="2007" xr3:uid="{EB5C4A47-97B8-47A7-9802-DA9E57465373}" name="Column2007"/>
    <tableColumn id="2008" xr3:uid="{18F702E5-ECBD-4310-BB33-3DCD8C9B3D26}" name="Column2008"/>
    <tableColumn id="2009" xr3:uid="{8F7DEC92-C32C-4568-9854-B2DE118D6CD2}" name="Column2009"/>
    <tableColumn id="2010" xr3:uid="{7CCB9B40-7BDF-4DDB-AFBA-4861572993C3}" name="Column2010"/>
    <tableColumn id="2011" xr3:uid="{ADABFCC6-ADEE-41B7-8950-11050E79B9AD}" name="Column2011"/>
    <tableColumn id="2012" xr3:uid="{0672149E-1A3F-4CA8-9D51-428EF103F07E}" name="Column2012"/>
    <tableColumn id="2013" xr3:uid="{03CAA2CA-4791-420B-A07B-7D5972A591BC}" name="Column2013"/>
    <tableColumn id="2014" xr3:uid="{323266E9-5D6A-4A49-B664-5EBCFC9807DF}" name="Column2014"/>
    <tableColumn id="2015" xr3:uid="{1DB9E873-32C3-422F-8A6D-49FDD8D93F6A}" name="Column2015"/>
    <tableColumn id="2016" xr3:uid="{85BF5741-71C0-4F9F-AF39-026EB2C4B063}" name="Column2016"/>
    <tableColumn id="2017" xr3:uid="{0C779ED9-0139-439C-9FFE-447FE468FDE7}" name="Column2017"/>
    <tableColumn id="2018" xr3:uid="{970907E8-E6A7-44D2-8717-D5696234AFC5}" name="Column2018"/>
    <tableColumn id="2019" xr3:uid="{A981CBCD-88D4-465E-89C8-6FFBD9A5ABD7}" name="Column2019"/>
    <tableColumn id="2020" xr3:uid="{4D6F672B-762F-498B-A2AA-E7544B4BDBCC}" name="Column2020"/>
    <tableColumn id="2021" xr3:uid="{C4C974FF-E1A5-47F9-BD80-41A23016AAAE}" name="Column2021"/>
    <tableColumn id="2022" xr3:uid="{444F5B0B-E401-44D3-B7C0-82FD4A562A1F}" name="Column2022"/>
    <tableColumn id="2023" xr3:uid="{09A2E529-83A4-4191-BC33-C9AC2FF7F195}" name="Column2023"/>
    <tableColumn id="2024" xr3:uid="{298FC7B1-6275-4CAC-9733-875BFA63985E}" name="Column2024"/>
    <tableColumn id="2025" xr3:uid="{AAC49DC9-C811-4084-94FD-5892713EAAC5}" name="Column2025"/>
    <tableColumn id="2026" xr3:uid="{FE18697D-A316-4FEB-8D00-9386F33A4027}" name="Column2026"/>
    <tableColumn id="2027" xr3:uid="{A7877C95-0AC3-40CF-8A62-B27A41C586E8}" name="Column2027"/>
    <tableColumn id="2028" xr3:uid="{28D5F062-E71A-420B-A915-DBD105ABE14B}" name="Column2028"/>
    <tableColumn id="2029" xr3:uid="{75DAB039-B8C4-4829-9723-0C7A398E80D0}" name="Column2029"/>
    <tableColumn id="2030" xr3:uid="{AEE1C962-E1C9-4CC4-83AB-11BC9C5184F7}" name="Column2030"/>
    <tableColumn id="2031" xr3:uid="{C7BCE4FA-E35A-49F3-824F-8101F7EDA932}" name="Column2031"/>
    <tableColumn id="2032" xr3:uid="{E1675B25-21F7-49D7-B5F1-6EF896D420DF}" name="Column2032"/>
    <tableColumn id="2033" xr3:uid="{2652477D-083F-4DCE-BA75-073D82E8CE0F}" name="Column2033"/>
    <tableColumn id="2034" xr3:uid="{D55101D2-D1DA-48EC-9F8D-E9F6F25F1369}" name="Column2034"/>
    <tableColumn id="2035" xr3:uid="{F26AAFE2-AA0F-4F05-9BB2-C94FF409722D}" name="Column2035"/>
    <tableColumn id="2036" xr3:uid="{26D683C6-6DC6-46DA-9429-64B0EFF5421E}" name="Column2036"/>
    <tableColumn id="2037" xr3:uid="{CDF59912-97D4-4CA1-9BF0-49351CB61D1C}" name="Column2037"/>
    <tableColumn id="2038" xr3:uid="{5A46B227-DD40-44C9-92C6-E44FE274B122}" name="Column2038"/>
    <tableColumn id="2039" xr3:uid="{18A703A2-0E96-4FDC-9C32-44470403C06F}" name="Column2039"/>
    <tableColumn id="2040" xr3:uid="{A6EF3253-121C-408E-A245-A9C5756219E1}" name="Column2040"/>
    <tableColumn id="2041" xr3:uid="{6A36AB17-D343-45D3-B090-B7F7667A49B5}" name="Column2041"/>
    <tableColumn id="2042" xr3:uid="{F2327B7D-79D6-4742-B06D-0B36897FEC6D}" name="Column2042"/>
    <tableColumn id="2043" xr3:uid="{E3223BE5-FC20-4346-B894-844F47944DEE}" name="Column2043"/>
    <tableColumn id="2044" xr3:uid="{46E13B1C-6C91-4351-B385-005360AAEAF2}" name="Column2044"/>
    <tableColumn id="2045" xr3:uid="{0213BDEE-8EE0-45CA-ACFF-B2484AD7CDA1}" name="Column2045"/>
    <tableColumn id="2046" xr3:uid="{379F07C6-6CD4-400A-8C02-F6275E82ABB7}" name="Column2046"/>
    <tableColumn id="2047" xr3:uid="{CE220DB8-B5C5-43E9-B669-D0E3336A125A}" name="Column2047"/>
    <tableColumn id="2048" xr3:uid="{8B6F8859-BAD0-425D-95F2-B3F569126D67}" name="Column2048"/>
    <tableColumn id="2049" xr3:uid="{4BE81E83-0B45-4D60-B5A3-3641A39420C8}" name="Column2049"/>
    <tableColumn id="2050" xr3:uid="{8E326407-911A-4437-AA60-24C674830E0E}" name="Column2050"/>
    <tableColumn id="2051" xr3:uid="{487E8D13-68B1-42B1-A595-B98B46DEE885}" name="Column2051"/>
    <tableColumn id="2052" xr3:uid="{01C25493-1646-4627-857C-5610DD563944}" name="Column2052"/>
    <tableColumn id="2053" xr3:uid="{9148E669-295A-4BA8-B2AC-7EB9D8E40796}" name="Column2053"/>
    <tableColumn id="2054" xr3:uid="{8A3917C6-50BB-4DFD-B829-A6D6502C7B47}" name="Column2054"/>
    <tableColumn id="2055" xr3:uid="{70CD4A26-5AA1-440F-8885-D8BA9146130D}" name="Column2055"/>
    <tableColumn id="2056" xr3:uid="{37BCE3B8-68E0-4511-A19C-AF3275AC1D73}" name="Column2056"/>
    <tableColumn id="2057" xr3:uid="{A6FC0B60-B975-48A6-8C6D-28EC5D92E672}" name="Column2057"/>
    <tableColumn id="2058" xr3:uid="{EC4AC86E-CC98-409F-8CAB-C03424599124}" name="Column2058"/>
    <tableColumn id="2059" xr3:uid="{34135635-6472-40E9-B0CF-63DDC3C460A3}" name="Column2059"/>
    <tableColumn id="2060" xr3:uid="{CD4F5B1A-E466-428C-B5BD-88EBC8EBE8E7}" name="Column2060"/>
    <tableColumn id="2061" xr3:uid="{E299DF4F-C8A3-45C1-B778-FF254935019A}" name="Column2061"/>
    <tableColumn id="2062" xr3:uid="{40766466-299F-4309-B2E8-9C2662D75774}" name="Column2062"/>
    <tableColumn id="2063" xr3:uid="{7AD1F815-89B5-41FF-954E-30C87776309E}" name="Column2063"/>
    <tableColumn id="2064" xr3:uid="{4072B88E-1B0B-465C-A784-CBBAAF311061}" name="Column2064"/>
    <tableColumn id="2065" xr3:uid="{51F0EA8D-D163-4812-8B41-913D73D18EF0}" name="Column2065"/>
    <tableColumn id="2066" xr3:uid="{77E92203-E119-4046-9F53-842E4648ECC7}" name="Column2066"/>
    <tableColumn id="2067" xr3:uid="{23074F70-7169-4222-879D-BC8D38995B98}" name="Column2067"/>
    <tableColumn id="2068" xr3:uid="{C8E1F9F5-C376-4E60-A485-C7470270AF96}" name="Column2068"/>
    <tableColumn id="2069" xr3:uid="{C2EDEEC7-4E29-4031-AE75-D1E1F2C2C2BC}" name="Column2069"/>
    <tableColumn id="2070" xr3:uid="{347A76FB-63EB-411E-AAA3-54D27EA1B195}" name="Column2070"/>
    <tableColumn id="2071" xr3:uid="{54BC7E09-80CD-4A46-ADD1-B5766DBD0EBA}" name="Column2071"/>
    <tableColumn id="2072" xr3:uid="{417BABD8-8C81-4D2A-BFEC-4EF3E4005966}" name="Column2072"/>
    <tableColumn id="2073" xr3:uid="{013417BF-E4E3-4ED6-A235-E6A01A1CF34E}" name="Column2073"/>
    <tableColumn id="2074" xr3:uid="{457EBCD7-ACBB-42D9-8566-A4574832DB06}" name="Column2074"/>
    <tableColumn id="2075" xr3:uid="{A07254CA-F519-4F4B-AFBB-DB1E86F4EB6F}" name="Column2075"/>
    <tableColumn id="2076" xr3:uid="{2890246C-8EA1-4CA2-B88F-BDFDD2B337B3}" name="Column2076"/>
    <tableColumn id="2077" xr3:uid="{DEEDCF67-B764-4770-B221-7A5F77A95C7A}" name="Column2077"/>
    <tableColumn id="2078" xr3:uid="{34908F68-6235-4677-9DD5-D585F164DD07}" name="Column2078"/>
    <tableColumn id="2079" xr3:uid="{2ACE2839-7851-4701-89A3-41849741BA52}" name="Column2079"/>
    <tableColumn id="2080" xr3:uid="{457B5E91-3F68-494F-ACA9-B11800A7E67C}" name="Column2080"/>
    <tableColumn id="2081" xr3:uid="{71B220AA-7D33-4F10-A310-A45D4B7E5B10}" name="Column2081"/>
    <tableColumn id="2082" xr3:uid="{7A694E5D-C8EB-4885-AD30-2CE92A35AEFB}" name="Column2082"/>
    <tableColumn id="2083" xr3:uid="{518444B6-60AE-4E23-A5A6-F7792D79F4CC}" name="Column2083"/>
    <tableColumn id="2084" xr3:uid="{4AFDFEA1-E924-4CD3-963D-65EDF76B1E56}" name="Column2084"/>
    <tableColumn id="2085" xr3:uid="{D2985EA1-5D17-485F-9409-BD615EC7C0E1}" name="Column2085"/>
    <tableColumn id="2086" xr3:uid="{73E7399F-B4C3-4346-B926-88FD9024137C}" name="Column2086"/>
    <tableColumn id="2087" xr3:uid="{DBDBD771-8899-49A9-BFC1-CA6FEC66EC1F}" name="Column2087"/>
    <tableColumn id="2088" xr3:uid="{F0DEF674-6417-456F-9B54-8CF139621897}" name="Column2088"/>
    <tableColumn id="2089" xr3:uid="{CEB24AE9-5A6E-47C4-8556-07986486B71A}" name="Column2089"/>
    <tableColumn id="2090" xr3:uid="{55634C59-1C50-4AD2-B5BA-27E358B94118}" name="Column2090"/>
    <tableColumn id="2091" xr3:uid="{E70A849C-D3BF-42D4-8A8E-14EFA6B4F062}" name="Column2091"/>
    <tableColumn id="2092" xr3:uid="{7A7FBFEB-CD63-4D83-B98D-73FDB4BF70E5}" name="Column2092"/>
    <tableColumn id="2093" xr3:uid="{F7F4E97E-E586-432B-85DC-5AA521720D75}" name="Column2093"/>
    <tableColumn id="2094" xr3:uid="{A51722AB-96FD-4551-8D25-C0ED50B7C5C3}" name="Column2094"/>
    <tableColumn id="2095" xr3:uid="{E6E1AAB2-43E5-4ED2-B821-30E45C66E4A4}" name="Column2095"/>
    <tableColumn id="2096" xr3:uid="{4A211141-20D3-49E1-A7FF-02F3FD9885A3}" name="Column2096"/>
    <tableColumn id="2097" xr3:uid="{9AB7E840-A1AE-4FBE-9CC5-462CBBE88DD7}" name="Column2097"/>
    <tableColumn id="2098" xr3:uid="{D06EF505-23C2-4F1F-9961-7D7B1A2A5AA5}" name="Column2098"/>
    <tableColumn id="2099" xr3:uid="{2EB033EE-5D56-409A-8F4F-3E477A0EDE34}" name="Column2099"/>
    <tableColumn id="2100" xr3:uid="{F38CF4F5-59C4-47C3-B85B-F1388BC2F7F1}" name="Column2100"/>
    <tableColumn id="2101" xr3:uid="{52451EBD-5E24-43EA-991C-048AEE686D36}" name="Column2101"/>
    <tableColumn id="2102" xr3:uid="{699A4A1A-7878-4C51-96F5-BD900F7F4C81}" name="Column2102"/>
    <tableColumn id="2103" xr3:uid="{D92F1767-459D-44A3-A530-D4BC73F6849F}" name="Column2103"/>
    <tableColumn id="2104" xr3:uid="{2FC7674B-CE92-4ECC-8F71-E848329A79FE}" name="Column2104"/>
    <tableColumn id="2105" xr3:uid="{5F8C5B63-0354-48B9-B01C-889120901C77}" name="Column2105"/>
    <tableColumn id="2106" xr3:uid="{F325172F-338F-4FCD-9E89-BBBA3BCDBC77}" name="Column2106"/>
    <tableColumn id="2107" xr3:uid="{C28075A1-C827-4C9C-9DD5-8B8C35AEE80F}" name="Column2107"/>
    <tableColumn id="2108" xr3:uid="{3C7E701A-A612-4ED4-AEA8-E0A4F4925C6A}" name="Column2108"/>
    <tableColumn id="2109" xr3:uid="{52FFCA85-7E3F-42CE-B0B7-2F9E7E6CEDBA}" name="Column2109"/>
    <tableColumn id="2110" xr3:uid="{A1D7150F-83BE-4057-8B40-8205790EC2F2}" name="Column2110"/>
    <tableColumn id="2111" xr3:uid="{A4820970-CAAB-4A0E-AE5E-6454578165C4}" name="Column2111"/>
    <tableColumn id="2112" xr3:uid="{C996AD15-1727-4239-A380-C48A93149434}" name="Column2112"/>
    <tableColumn id="2113" xr3:uid="{E4AA03DF-4890-4298-9320-E77B2CE2C4F7}" name="Column2113"/>
    <tableColumn id="2114" xr3:uid="{BE0279AE-CD05-4B5A-BF9B-9A9BD3ECA127}" name="Column2114"/>
    <tableColumn id="2115" xr3:uid="{4832583C-B431-4C0D-81B6-8BA4411A9082}" name="Column2115"/>
    <tableColumn id="2116" xr3:uid="{B17D8F92-2915-4C68-A462-35462124797B}" name="Column2116"/>
    <tableColumn id="2117" xr3:uid="{E99A2E2A-7020-4664-889E-9DAEF9B957D1}" name="Column2117"/>
    <tableColumn id="2118" xr3:uid="{96865B3F-A8E2-472E-A962-E87B5D636121}" name="Column2118"/>
    <tableColumn id="2119" xr3:uid="{330955EC-3DF1-47C3-9FF3-AE9861F494C2}" name="Column2119"/>
    <tableColumn id="2120" xr3:uid="{76D5A161-B717-4ECE-9AF7-62B015DAA535}" name="Column2120"/>
    <tableColumn id="2121" xr3:uid="{0B340137-4976-41D6-B155-1E5313D5355F}" name="Column2121"/>
    <tableColumn id="2122" xr3:uid="{7279124F-1B31-4A87-BD0E-D2CCD2AF0382}" name="Column2122"/>
    <tableColumn id="2123" xr3:uid="{D8D51F9E-7F8A-49AD-B6A9-E3FCDDE0E02D}" name="Column2123"/>
    <tableColumn id="2124" xr3:uid="{587A40EF-30B3-4FB8-8394-86A4D6D1268E}" name="Column2124"/>
    <tableColumn id="2125" xr3:uid="{4EB120DA-4C39-41DC-B524-0F9DC1ECACA7}" name="Column2125"/>
    <tableColumn id="2126" xr3:uid="{536CCCA0-0198-4892-A352-57ABB6909CA9}" name="Column2126"/>
    <tableColumn id="2127" xr3:uid="{8543B9DA-678D-4710-B7BA-FD2102D177F6}" name="Column2127"/>
    <tableColumn id="2128" xr3:uid="{88BF3E06-F103-4F54-88DC-92049F90632A}" name="Column2128"/>
    <tableColumn id="2129" xr3:uid="{066A2471-1D6D-4E4B-8D72-60DE1F2AF475}" name="Column2129"/>
    <tableColumn id="2130" xr3:uid="{53379E8F-ED25-4C62-9FCF-8D45749A5EB8}" name="Column2130"/>
    <tableColumn id="2131" xr3:uid="{D4AD19B5-B476-420A-A8DB-A4F31F925751}" name="Column2131"/>
    <tableColumn id="2132" xr3:uid="{56E25250-D948-40C4-A3B2-13485C5C7FA9}" name="Column2132"/>
    <tableColumn id="2133" xr3:uid="{F2BFCD07-8C15-486D-A12A-87A355337926}" name="Column2133"/>
    <tableColumn id="2134" xr3:uid="{78318AA5-5335-43B1-B888-DAE793B766B5}" name="Column2134"/>
    <tableColumn id="2135" xr3:uid="{0FBF429A-DC99-423D-8C43-5CFDE848CC64}" name="Column2135"/>
    <tableColumn id="2136" xr3:uid="{812FEA53-9D7A-4E58-8F17-D30067F790CD}" name="Column2136"/>
    <tableColumn id="2137" xr3:uid="{5D9925BC-F263-4C5A-A086-95F20756B76C}" name="Column2137"/>
    <tableColumn id="2138" xr3:uid="{1448C174-C4C5-49ED-AA43-F0DF08EAF309}" name="Column2138"/>
    <tableColumn id="2139" xr3:uid="{AD7AABFA-0E54-4AA2-A17A-5F6904C9DAED}" name="Column2139"/>
    <tableColumn id="2140" xr3:uid="{AAB38A49-1E10-47FE-B59D-CB8C35531BEC}" name="Column2140"/>
    <tableColumn id="2141" xr3:uid="{781377C1-611F-45BF-8C4C-8BDD64EBD510}" name="Column2141"/>
    <tableColumn id="2142" xr3:uid="{9D1F6515-7D73-4D0F-8B82-B390C7C93171}" name="Column2142"/>
    <tableColumn id="2143" xr3:uid="{DA77D195-A71E-4DAE-899D-5E161296A9D8}" name="Column2143"/>
    <tableColumn id="2144" xr3:uid="{82E297FD-356B-47EF-A3C8-E99014B95A2E}" name="Column2144"/>
    <tableColumn id="2145" xr3:uid="{B9C93C65-C618-4351-A08B-209A620A9D7B}" name="Column2145"/>
    <tableColumn id="2146" xr3:uid="{DD782FD0-C104-4447-BD28-41CFFFFFE444}" name="Column2146"/>
    <tableColumn id="2147" xr3:uid="{CFF78CFB-7349-48A2-BF2E-67891634DFC6}" name="Column2147"/>
    <tableColumn id="2148" xr3:uid="{82DB071C-8DFA-4C0F-A5DA-664CE535FF07}" name="Column2148"/>
    <tableColumn id="2149" xr3:uid="{D7976F72-5B85-45F1-B8E2-EED33D1AC57D}" name="Column2149"/>
    <tableColumn id="2150" xr3:uid="{ACB2E142-68E4-42DE-A737-7857E4E874D5}" name="Column2150"/>
    <tableColumn id="2151" xr3:uid="{7DE633EB-E486-4CB7-98BD-F340F3F646DA}" name="Column2151"/>
    <tableColumn id="2152" xr3:uid="{375DE2F5-ECCE-49D8-98FE-F468C61CE9CA}" name="Column2152"/>
    <tableColumn id="2153" xr3:uid="{B6612FAD-CB0D-4732-8328-BAF5ECB32692}" name="Column2153"/>
    <tableColumn id="2154" xr3:uid="{CA5F148F-E28B-45B1-A2D2-A6778DF05AAD}" name="Column2154"/>
    <tableColumn id="2155" xr3:uid="{192018C1-00C1-4621-9BE2-15513F9D6305}" name="Column2155"/>
    <tableColumn id="2156" xr3:uid="{F603381C-D57B-48F0-A058-6DA60E5D0B8F}" name="Column2156"/>
    <tableColumn id="2157" xr3:uid="{56BA30FB-370E-49B4-93AA-7E9DBC566482}" name="Column2157"/>
    <tableColumn id="2158" xr3:uid="{D3D73B4A-1F1F-4830-AF98-B042A4861876}" name="Column2158"/>
    <tableColumn id="2159" xr3:uid="{64ABF516-BA51-4397-B9D0-DCCD4CB69784}" name="Column2159"/>
    <tableColumn id="2160" xr3:uid="{588E1D8C-8288-4E7A-BF8C-650E13CAF721}" name="Column2160"/>
    <tableColumn id="2161" xr3:uid="{5F7EC50D-3074-44D6-82C6-3F20307577D0}" name="Column2161"/>
    <tableColumn id="2162" xr3:uid="{F00025DB-0835-410A-AC05-DF5A6BD3BB2F}" name="Column2162"/>
    <tableColumn id="2163" xr3:uid="{2BAA7772-732B-4334-A866-111495B514BB}" name="Column2163"/>
    <tableColumn id="2164" xr3:uid="{D9F48A3D-A8E6-42E4-A3C6-7ECA47207037}" name="Column2164"/>
    <tableColumn id="2165" xr3:uid="{3F0FFA31-83BB-4518-BFD8-5C07BBA14BAC}" name="Column2165"/>
    <tableColumn id="2166" xr3:uid="{65E98C5E-3178-4706-A9A2-A0F770C45616}" name="Column2166"/>
    <tableColumn id="2167" xr3:uid="{04F56F6A-10E4-4B1D-A210-84711686DA1D}" name="Column2167"/>
    <tableColumn id="2168" xr3:uid="{54258EDB-2C5A-4B3A-850F-3F46BC23E751}" name="Column2168"/>
    <tableColumn id="2169" xr3:uid="{A45E6967-9A64-4E2C-A251-2CAC76D6BFBC}" name="Column2169"/>
    <tableColumn id="2170" xr3:uid="{E912B193-0CC9-44E0-A1B8-3F9D92FF782F}" name="Column2170"/>
    <tableColumn id="2171" xr3:uid="{BBA26C2F-64C5-46E4-8242-F36E9A03954A}" name="Column2171"/>
    <tableColumn id="2172" xr3:uid="{678715FB-9473-4E6C-8519-4AC8E5C5FE17}" name="Column2172"/>
    <tableColumn id="2173" xr3:uid="{13746F8B-637C-4176-AFBE-53C299588EE1}" name="Column2173"/>
    <tableColumn id="2174" xr3:uid="{80F4774A-2F4B-4777-885C-F81B39BCA27D}" name="Column2174"/>
    <tableColumn id="2175" xr3:uid="{591DE8E5-FD88-4A21-8329-BF5BC790156A}" name="Column2175"/>
    <tableColumn id="2176" xr3:uid="{CF0BCEE1-941A-496F-BB50-E666DCFD58B4}" name="Column2176"/>
    <tableColumn id="2177" xr3:uid="{BAB3BEFA-BB2E-48FF-88F5-89824ACFA4C6}" name="Column2177"/>
    <tableColumn id="2178" xr3:uid="{EBEF0EF2-D6E1-41A8-905F-15231D18E990}" name="Column2178"/>
    <tableColumn id="2179" xr3:uid="{08B600EE-6F4F-46D6-ACB9-E7D2CB39F285}" name="Column2179"/>
    <tableColumn id="2180" xr3:uid="{D339EA64-D6F7-4F2F-AC4B-AABDDB9DE0B4}" name="Column2180"/>
    <tableColumn id="2181" xr3:uid="{215A8F38-E876-4FCD-8AF5-8912D3D2F4D4}" name="Column2181"/>
    <tableColumn id="2182" xr3:uid="{1EC481E5-967E-47DE-9F9C-146BBE783EFC}" name="Column2182"/>
    <tableColumn id="2183" xr3:uid="{093AD15C-B28A-4F5E-8CF5-AA5DDC184BA9}" name="Column2183"/>
    <tableColumn id="2184" xr3:uid="{C8734BE7-57C3-430E-8440-D6862970BC6F}" name="Column2184"/>
    <tableColumn id="2185" xr3:uid="{538EF13D-2D96-4734-BAF3-AB345033CE16}" name="Column2185"/>
    <tableColumn id="2186" xr3:uid="{D649671F-1003-4651-864F-FD454DB86ABD}" name="Column2186"/>
    <tableColumn id="2187" xr3:uid="{777FAF8D-31EA-4556-A114-F06D676E0889}" name="Column2187"/>
    <tableColumn id="2188" xr3:uid="{2337069F-47D8-4416-BA5F-29E65B2A1C82}" name="Column2188"/>
    <tableColumn id="2189" xr3:uid="{E699630B-1AB1-47FB-A39C-D44BF36C3737}" name="Column2189"/>
    <tableColumn id="2190" xr3:uid="{6E5C2F38-7FF7-4F03-B82B-0F604AFF385D}" name="Column2190"/>
    <tableColumn id="2191" xr3:uid="{62722E09-6CB5-4CEE-A585-A8D2DB2D6B05}" name="Column2191"/>
    <tableColumn id="2192" xr3:uid="{0F723AA8-5FB7-4526-8D19-99DBAB2E6459}" name="Column2192"/>
    <tableColumn id="2193" xr3:uid="{02589BF2-77E9-4D22-AE8A-A665ADB223E6}" name="Column2193"/>
    <tableColumn id="2194" xr3:uid="{D8778FB4-D880-48AC-A734-1A63852EA0B0}" name="Column2194"/>
    <tableColumn id="2195" xr3:uid="{C737238E-7F06-41CB-8CE6-0352DA655F97}" name="Column2195"/>
    <tableColumn id="2196" xr3:uid="{10754256-9FF7-4DF4-A86F-5D382757B039}" name="Column2196"/>
    <tableColumn id="2197" xr3:uid="{8FD28DE0-E98A-4104-AAF8-4F984D7AEF67}" name="Column2197"/>
    <tableColumn id="2198" xr3:uid="{21BD3E3F-BD68-4EA2-A252-16728194AAF4}" name="Column2198"/>
    <tableColumn id="2199" xr3:uid="{B8414FA9-0435-4334-8092-CF76CDAA2AA9}" name="Column2199"/>
    <tableColumn id="2200" xr3:uid="{CCF77F18-FC0C-4FAC-9FA5-74FB07CA3CD2}" name="Column2200"/>
    <tableColumn id="2201" xr3:uid="{01840C61-2416-49E0-ACBE-B0C70612924A}" name="Column2201"/>
    <tableColumn id="2202" xr3:uid="{829E4B82-A7C2-4783-BADE-BF08C97CA7F4}" name="Column2202"/>
    <tableColumn id="2203" xr3:uid="{A04F8C7A-DCA0-4594-B149-E58ED006E1CE}" name="Column2203"/>
    <tableColumn id="2204" xr3:uid="{F26725EC-B366-474D-A4EC-FF2D1B569A61}" name="Column2204"/>
    <tableColumn id="2205" xr3:uid="{A78D158B-817B-4ACD-898A-8D12BF3F1463}" name="Column2205"/>
    <tableColumn id="2206" xr3:uid="{C7137BD1-8EB9-449F-90CA-D408BCEBD548}" name="Column2206"/>
    <tableColumn id="2207" xr3:uid="{BBB976DA-57AF-40F2-A71C-0E7723EF58AD}" name="Column2207"/>
    <tableColumn id="2208" xr3:uid="{8BE3E4B3-9859-438D-9DED-B710F4E7632C}" name="Column2208"/>
    <tableColumn id="2209" xr3:uid="{F9F22CD6-715C-47AA-B656-6C9BAD0FB2A6}" name="Column2209"/>
    <tableColumn id="2210" xr3:uid="{1E537F31-FD47-41D9-A9A8-2F7C43083BC8}" name="Column2210"/>
    <tableColumn id="2211" xr3:uid="{A2B2A6EC-026E-4390-8EA1-5D9114592A14}" name="Column2211"/>
    <tableColumn id="2212" xr3:uid="{C77896BB-37E0-43D0-888D-1B06F4645E46}" name="Column2212"/>
    <tableColumn id="2213" xr3:uid="{9DED8359-2D53-46B0-AFF2-1756FFC7D895}" name="Column2213"/>
    <tableColumn id="2214" xr3:uid="{E73F0DB9-714C-4D8F-8864-1A442D7C2516}" name="Column2214"/>
    <tableColumn id="2215" xr3:uid="{215DFA97-3998-49FE-BE1C-8D9030859626}" name="Column2215"/>
    <tableColumn id="2216" xr3:uid="{222A271F-4F48-4146-9450-4C33DD1075EA}" name="Column2216"/>
    <tableColumn id="2217" xr3:uid="{8E024A7D-45E6-4022-8EC1-CB180DBE3836}" name="Column2217"/>
    <tableColumn id="2218" xr3:uid="{FE365489-15CD-42E0-929C-BCA842392144}" name="Column2218"/>
    <tableColumn id="2219" xr3:uid="{562ED38E-DBC7-471F-A805-205468D07138}" name="Column2219"/>
    <tableColumn id="2220" xr3:uid="{E7C91F7B-34CD-48B2-B4BC-E5C182F2FAB6}" name="Column2220"/>
    <tableColumn id="2221" xr3:uid="{37498DC2-E6A1-45B1-9DA7-A63D93EC5E3E}" name="Column2221"/>
    <tableColumn id="2222" xr3:uid="{0E0ED0D3-3ED7-42B0-AAC3-B713E9C0F053}" name="Column2222"/>
    <tableColumn id="2223" xr3:uid="{8A695BA2-1B41-4798-99F8-9BEAD8A4047E}" name="Column2223"/>
    <tableColumn id="2224" xr3:uid="{1DBACE01-5FFF-425D-AC04-993AFFDAF883}" name="Column2224"/>
    <tableColumn id="2225" xr3:uid="{9E051E10-8053-4F46-9D87-B41AD2F311AC}" name="Column2225"/>
    <tableColumn id="2226" xr3:uid="{1AF13AC4-0A34-4A03-8677-17A030CFABC4}" name="Column2226"/>
    <tableColumn id="2227" xr3:uid="{266F6F4D-13B9-43BD-ADA8-0E8E2FC0ED01}" name="Column2227"/>
    <tableColumn id="2228" xr3:uid="{BC362567-30C7-4771-8249-3AB062F904ED}" name="Column2228"/>
    <tableColumn id="2229" xr3:uid="{5617BAAF-DD73-4044-96D4-53A93C30679A}" name="Column2229"/>
    <tableColumn id="2230" xr3:uid="{F8264D52-D5D1-4CA5-99E0-2CB7846A067A}" name="Column2230"/>
    <tableColumn id="2231" xr3:uid="{BC22806F-EA9A-4AC3-854D-C416B35A96CA}" name="Column2231"/>
    <tableColumn id="2232" xr3:uid="{4A17B4B4-DF5E-466C-832C-78E5E32B16C4}" name="Column2232"/>
    <tableColumn id="2233" xr3:uid="{5C335D3A-137E-4132-A660-D81C44BFCB48}" name="Column2233"/>
    <tableColumn id="2234" xr3:uid="{E0B4EE0A-39E4-46CB-8621-BD6444695B75}" name="Column2234"/>
    <tableColumn id="2235" xr3:uid="{0DD940D7-5AB9-4F52-9D15-89095A6F07D7}" name="Column2235"/>
    <tableColumn id="2236" xr3:uid="{31C127A9-211A-45FD-9677-EDAD5C7043B4}" name="Column2236"/>
    <tableColumn id="2237" xr3:uid="{610D9C4E-42D0-476B-91C4-0BE08A77B718}" name="Column2237"/>
    <tableColumn id="2238" xr3:uid="{0393FF99-E8AD-4785-A0E7-92053536288A}" name="Column2238"/>
    <tableColumn id="2239" xr3:uid="{17FEAA11-E626-48F1-946D-C51941ABB11F}" name="Column2239"/>
    <tableColumn id="2240" xr3:uid="{CC466EE8-F501-4DF1-BAE8-024147888D1A}" name="Column2240"/>
    <tableColumn id="2241" xr3:uid="{8FC4D58C-2467-4140-B1A6-592D5F1BB397}" name="Column2241"/>
    <tableColumn id="2242" xr3:uid="{D6732041-9AD2-492B-ADB2-2BEBA023DADD}" name="Column2242"/>
    <tableColumn id="2243" xr3:uid="{B7404B41-D579-431C-A0AB-36EA416BECD2}" name="Column2243"/>
    <tableColumn id="2244" xr3:uid="{F854BF18-F2B0-4F3D-89F8-AE7CBEB77E66}" name="Column2244"/>
    <tableColumn id="2245" xr3:uid="{B293D3BE-9862-411C-BAFA-C7AC98CD4ECC}" name="Column2245"/>
    <tableColumn id="2246" xr3:uid="{EC5C1BD8-037D-492D-AF84-C69447B0D7CD}" name="Column2246"/>
    <tableColumn id="2247" xr3:uid="{4B2BEFED-E9E3-463F-9B14-9E89594882FD}" name="Column2247"/>
    <tableColumn id="2248" xr3:uid="{B32FD7B9-9365-4380-A8D4-A04F480F679B}" name="Column2248"/>
    <tableColumn id="2249" xr3:uid="{EBBF5F28-4F2F-4DA2-9210-4BAD79827748}" name="Column2249"/>
    <tableColumn id="2250" xr3:uid="{6EBD3FC8-D5B5-476F-AB49-C1AF90894073}" name="Column2250"/>
    <tableColumn id="2251" xr3:uid="{9E7B0626-0749-4E52-A53D-C8D36A8B51FF}" name="Column2251"/>
    <tableColumn id="2252" xr3:uid="{F5AB6ED8-6AB8-4D0E-99FE-EB563DA2AA5B}" name="Column2252"/>
    <tableColumn id="2253" xr3:uid="{39D828A5-11B3-4D96-8180-72E28B23DAE3}" name="Column2253"/>
    <tableColumn id="2254" xr3:uid="{77240902-4D30-4738-8FE4-11F5F0E0DE06}" name="Column2254"/>
    <tableColumn id="2255" xr3:uid="{AEC7885B-A881-4186-A3FF-D38FFD04BC66}" name="Column2255"/>
    <tableColumn id="2256" xr3:uid="{BEF1262E-415C-402F-9E2C-E3A28B6E1C62}" name="Column2256"/>
    <tableColumn id="2257" xr3:uid="{ED86A679-A45A-4C11-B384-B6578D1AA47F}" name="Column2257"/>
    <tableColumn id="2258" xr3:uid="{0CD588C5-50A0-4439-A751-B69EB56DA304}" name="Column2258"/>
    <tableColumn id="2259" xr3:uid="{433AD825-1226-40F6-B7FE-29C05D4610F4}" name="Column2259"/>
    <tableColumn id="2260" xr3:uid="{91C00E78-8A61-41DC-AB8E-B597A9EB3DDA}" name="Column2260"/>
    <tableColumn id="2261" xr3:uid="{A9F4EF61-AEA9-47BF-A6E1-305B9E11B74F}" name="Column2261"/>
    <tableColumn id="2262" xr3:uid="{A21FE713-79B9-4B2A-AAF5-5E45F09606C2}" name="Column2262"/>
    <tableColumn id="2263" xr3:uid="{8E77181A-19AE-4488-9873-9B33D05B38CF}" name="Column2263"/>
    <tableColumn id="2264" xr3:uid="{38A6101E-85CE-42CD-9B0F-2FF44E296171}" name="Column2264"/>
    <tableColumn id="2265" xr3:uid="{1CF8B64E-66DB-43F1-8994-CF5E42F1CF6D}" name="Column2265"/>
    <tableColumn id="2266" xr3:uid="{B5AA926F-74F8-496C-A7D7-9821860025F6}" name="Column2266"/>
    <tableColumn id="2267" xr3:uid="{3E763114-C571-4BBD-8FDD-6DB962458FBA}" name="Column2267"/>
    <tableColumn id="2268" xr3:uid="{8A4553FB-D308-4267-B347-8FA2BC182D9D}" name="Column2268"/>
    <tableColumn id="2269" xr3:uid="{D0E644E6-A731-46BE-9ACD-D2117D2DB8F9}" name="Column2269"/>
    <tableColumn id="2270" xr3:uid="{C01F4302-C76D-4865-A83F-767A3C18E85E}" name="Column2270"/>
    <tableColumn id="2271" xr3:uid="{95F36768-06AF-4820-8664-2BD37CDB7FBE}" name="Column2271"/>
    <tableColumn id="2272" xr3:uid="{FC595396-F4D3-4AD5-A0D1-B5384E6E6A80}" name="Column2272"/>
    <tableColumn id="2273" xr3:uid="{4A5814E6-6187-432B-B8B2-179BC54F7FFD}" name="Column2273"/>
    <tableColumn id="2274" xr3:uid="{9CEF775E-3D0F-4B92-AE5A-C3719257F309}" name="Column2274"/>
    <tableColumn id="2275" xr3:uid="{3B11DC67-4736-4338-A9F9-827719A4D93C}" name="Column2275"/>
    <tableColumn id="2276" xr3:uid="{FE1BF528-D4A1-43C4-AC1D-CB708B384FEC}" name="Column2276"/>
    <tableColumn id="2277" xr3:uid="{C27E6885-7D79-40E8-B594-7D9280E29FA0}" name="Column2277"/>
    <tableColumn id="2278" xr3:uid="{6A0A8768-4145-44D4-9299-50EFB90C9D00}" name="Column2278"/>
    <tableColumn id="2279" xr3:uid="{5BD338DB-2C3A-420C-8198-97E7BB8EDA35}" name="Column2279"/>
    <tableColumn id="2280" xr3:uid="{2627E588-C655-4C9B-AAB3-2668110C07D1}" name="Column2280"/>
    <tableColumn id="2281" xr3:uid="{FD29F83B-E217-4786-9818-025F2B66AD5B}" name="Column2281"/>
    <tableColumn id="2282" xr3:uid="{FC0D2589-1C7E-405D-8BE2-093872F2E23F}" name="Column2282"/>
    <tableColumn id="2283" xr3:uid="{35C1CC16-FA24-4269-A0A1-6411EA9A540E}" name="Column2283"/>
    <tableColumn id="2284" xr3:uid="{1FFBDB7F-4B99-454D-B42F-73B5BDB03A31}" name="Column2284"/>
    <tableColumn id="2285" xr3:uid="{27080F2C-4673-4485-B196-2F331B472292}" name="Column2285"/>
    <tableColumn id="2286" xr3:uid="{05D2326B-A4F1-4A16-8357-44FE40DAAA4E}" name="Column2286"/>
    <tableColumn id="2287" xr3:uid="{0915EFC9-BCF0-417C-AE6F-D47467E94BE7}" name="Column2287"/>
    <tableColumn id="2288" xr3:uid="{7435BD31-A6F3-47CA-8198-80B1C8E4362D}" name="Column2288"/>
    <tableColumn id="2289" xr3:uid="{A66E166C-4199-480E-B2A5-00368956764A}" name="Column2289"/>
    <tableColumn id="2290" xr3:uid="{08F565A9-41C1-4C1E-A2B0-5DD1C037F443}" name="Column2290"/>
    <tableColumn id="2291" xr3:uid="{9B93F5FF-C828-4322-A9AC-236B0FC93901}" name="Column2291"/>
    <tableColumn id="2292" xr3:uid="{C718143C-4DCD-4B4F-B5D3-38D28A46C64C}" name="Column2292"/>
    <tableColumn id="2293" xr3:uid="{520BACCC-FD46-4DF7-B82F-BA420E56BE59}" name="Column2293"/>
    <tableColumn id="2294" xr3:uid="{A12E9E88-1240-472D-B4A0-A7A54F4E04C2}" name="Column2294"/>
    <tableColumn id="2295" xr3:uid="{FF5C0564-969F-41C9-B31F-D974AB48BA60}" name="Column2295"/>
    <tableColumn id="2296" xr3:uid="{78421046-8524-445E-9CA3-315275D33853}" name="Column2296"/>
    <tableColumn id="2297" xr3:uid="{AD6D2E50-55A7-4BAB-B5D0-0A5F694F716A}" name="Column2297"/>
    <tableColumn id="2298" xr3:uid="{C3485EE3-BBA0-48B3-9D3D-7269ADA411C3}" name="Column2298"/>
    <tableColumn id="2299" xr3:uid="{ABEDCD9D-86F5-4981-93F5-965DA431EE4E}" name="Column2299"/>
    <tableColumn id="2300" xr3:uid="{7B511835-6D84-498D-89D0-ABBE259E79C8}" name="Column2300"/>
    <tableColumn id="2301" xr3:uid="{11487640-0A4F-4772-9D07-52D919F9364A}" name="Column2301"/>
    <tableColumn id="2302" xr3:uid="{AE25B9FB-EAAA-4CA9-AE58-78F8A3FE483E}" name="Column2302"/>
    <tableColumn id="2303" xr3:uid="{D7DEF7C1-79B3-40B7-BB1E-BCBB6C9A9F12}" name="Column2303"/>
    <tableColumn id="2304" xr3:uid="{1AE9D0E5-FDC8-47AF-B2ED-7C7071EBDEC9}" name="Column2304"/>
    <tableColumn id="2305" xr3:uid="{37198BB4-B1B7-4D8B-A5D9-984B0B4415BD}" name="Column2305"/>
    <tableColumn id="2306" xr3:uid="{E9F4E984-388B-47D0-8195-DF40775CAC65}" name="Column2306"/>
    <tableColumn id="2307" xr3:uid="{F5A1BFC2-5591-4786-ACDE-DF073C375433}" name="Column2307"/>
    <tableColumn id="2308" xr3:uid="{1E60F1B0-EE8A-48AF-9ECF-5B8A136A469D}" name="Column2308"/>
    <tableColumn id="2309" xr3:uid="{CD8C0638-99CC-4372-AB3E-A5D6BEC975FB}" name="Column2309"/>
    <tableColumn id="2310" xr3:uid="{32E06BEF-3CFC-4C58-91FB-5778F6E092BF}" name="Column2310"/>
    <tableColumn id="2311" xr3:uid="{93DEF518-36D1-4718-9072-CC53A5D4F7E9}" name="Column2311"/>
    <tableColumn id="2312" xr3:uid="{233441E0-7757-429E-B835-3F2C5FE74549}" name="Column2312"/>
    <tableColumn id="2313" xr3:uid="{04480D38-04CA-4B50-979A-43E72E233DA3}" name="Column2313"/>
    <tableColumn id="2314" xr3:uid="{9C0CAD0D-2FFB-4C0E-B406-00D969E116D0}" name="Column2314"/>
    <tableColumn id="2315" xr3:uid="{CED1F01E-047D-4843-9F1B-DF8DF123E9A3}" name="Column2315"/>
    <tableColumn id="2316" xr3:uid="{D090E0BD-B3DA-49A4-959D-93E45EC043E6}" name="Column2316"/>
    <tableColumn id="2317" xr3:uid="{C51FF058-B632-4F77-A65E-6F70F7A8A089}" name="Column2317"/>
    <tableColumn id="2318" xr3:uid="{52D96268-CB26-4872-94E6-C6273C5C6A35}" name="Column2318"/>
    <tableColumn id="2319" xr3:uid="{9426940D-6EDE-48E0-B195-025F0C7F7090}" name="Column2319"/>
    <tableColumn id="2320" xr3:uid="{3EA10B91-7300-4D93-9B4C-FD0DC56907AC}" name="Column2320"/>
    <tableColumn id="2321" xr3:uid="{B7B9EA12-12B1-4A44-B6A8-93301F531F5E}" name="Column2321"/>
    <tableColumn id="2322" xr3:uid="{7B266921-48B9-4892-A26B-B3756FC36242}" name="Column2322"/>
    <tableColumn id="2323" xr3:uid="{58D8C15C-07EF-46EF-82ED-4DC222850737}" name="Column2323"/>
    <tableColumn id="2324" xr3:uid="{1B68F892-2CD2-420A-A5CB-8DFC2AE2E178}" name="Column2324"/>
    <tableColumn id="2325" xr3:uid="{62F84E70-619F-4122-8E38-5F6E1DC6A6B6}" name="Column2325"/>
    <tableColumn id="2326" xr3:uid="{BA5CD988-78FA-40A5-B3E5-800193C2E979}" name="Column2326"/>
    <tableColumn id="2327" xr3:uid="{2F963BD1-984B-4D71-B203-BA8E287B3F12}" name="Column2327"/>
    <tableColumn id="2328" xr3:uid="{9C502BF3-E206-4603-A9C0-DC7ADAF4EF60}" name="Column2328"/>
    <tableColumn id="2329" xr3:uid="{EE395B70-5E6F-465E-B62B-11F0FE806ACB}" name="Column2329"/>
    <tableColumn id="2330" xr3:uid="{25BAB7D1-FA76-431F-ABCA-9FCD50033626}" name="Column2330"/>
    <tableColumn id="2331" xr3:uid="{CF4E00C1-B449-4A47-8480-25755EA7ECC0}" name="Column2331"/>
    <tableColumn id="2332" xr3:uid="{A4E006CF-55AB-4B73-93E5-D8E4E58E723E}" name="Column2332"/>
    <tableColumn id="2333" xr3:uid="{47D6F9DB-1002-4C99-B216-784826E75E80}" name="Column2333"/>
    <tableColumn id="2334" xr3:uid="{957C0738-0BAE-49B4-BC3A-379022C34EB4}" name="Column2334"/>
    <tableColumn id="2335" xr3:uid="{0DAC0C4A-AD07-4273-A0F0-FEF97EE5C48F}" name="Column2335"/>
    <tableColumn id="2336" xr3:uid="{5F4F9612-0C78-4D64-A4B1-560CFE7A23C1}" name="Column2336"/>
    <tableColumn id="2337" xr3:uid="{92BAD1B9-B134-4B78-A387-5A9C346E999F}" name="Column2337"/>
    <tableColumn id="2338" xr3:uid="{40F00993-DBCF-40FE-96C7-004E065EA7FD}" name="Column2338"/>
    <tableColumn id="2339" xr3:uid="{B0795FC4-8041-494A-95CF-363A37F0565D}" name="Column2339"/>
    <tableColumn id="2340" xr3:uid="{D0EC6AB5-3017-41EC-A288-B72FBFD54858}" name="Column2340"/>
    <tableColumn id="2341" xr3:uid="{F1B0ED73-06DA-489A-ABB6-4C0BF18EA463}" name="Column2341"/>
    <tableColumn id="2342" xr3:uid="{C769C2FA-062D-4A44-A665-D3AB97F4EBC6}" name="Column2342"/>
    <tableColumn id="2343" xr3:uid="{95CFB1CA-A22D-4054-8762-ED9CCA5C3A74}" name="Column2343"/>
    <tableColumn id="2344" xr3:uid="{9C2B6571-41BF-455C-A6E1-DEDADB2122B6}" name="Column2344"/>
    <tableColumn id="2345" xr3:uid="{AAF772A3-BBE5-4D85-A357-E020FC8EBA64}" name="Column2345"/>
    <tableColumn id="2346" xr3:uid="{505BD570-FADE-4970-B554-1276687EAB0F}" name="Column2346"/>
    <tableColumn id="2347" xr3:uid="{40B57154-5761-4F3A-92FC-13F630ABFFC8}" name="Column2347"/>
    <tableColumn id="2348" xr3:uid="{4F3CAB52-A65F-4869-BD10-4F82371B33FE}" name="Column2348"/>
    <tableColumn id="2349" xr3:uid="{DEE9C53B-3CB5-42B7-9DBA-F4B6FB613DC0}" name="Column2349"/>
    <tableColumn id="2350" xr3:uid="{44EF1037-6943-456B-A2BD-62CFEABE3C86}" name="Column2350"/>
    <tableColumn id="2351" xr3:uid="{A741BEC7-2C07-4470-B1AD-6B8E9A83E23C}" name="Column2351"/>
    <tableColumn id="2352" xr3:uid="{2E1C3548-D647-4836-901A-6164B9014D0B}" name="Column2352"/>
    <tableColumn id="2353" xr3:uid="{6F8125D2-D6C0-46F4-9DF6-6D81C0A45001}" name="Column2353"/>
    <tableColumn id="2354" xr3:uid="{8E9C3817-2AA3-4D39-BF02-ED1FF3C1C5B8}" name="Column2354"/>
    <tableColumn id="2355" xr3:uid="{8025C44E-AF0C-4E2E-B0AC-4CFFE02895C7}" name="Column2355"/>
    <tableColumn id="2356" xr3:uid="{3E565696-F27D-4256-9DF8-38470DBE3EAA}" name="Column2356"/>
    <tableColumn id="2357" xr3:uid="{6899E4CD-0448-418B-8ADD-B3DDFD09FD13}" name="Column2357"/>
    <tableColumn id="2358" xr3:uid="{520639F4-F72C-485A-9B04-16A00C116844}" name="Column2358"/>
    <tableColumn id="2359" xr3:uid="{412BE555-2B14-42C6-A337-ABC522661BA3}" name="Column2359"/>
    <tableColumn id="2360" xr3:uid="{2412A53F-569F-4C8E-B5C6-C3939CEDF418}" name="Column2360"/>
    <tableColumn id="2361" xr3:uid="{FC3A2B9F-B9DE-4912-AFD8-C24B497A8F36}" name="Column2361"/>
    <tableColumn id="2362" xr3:uid="{68A81BAF-F460-4BF2-B036-22923F385C41}" name="Column2362"/>
    <tableColumn id="2363" xr3:uid="{B956AF0F-56D9-4271-833C-1DBD1495ABB5}" name="Column2363"/>
    <tableColumn id="2364" xr3:uid="{EC7F2871-EBB3-4370-AEDE-E136C3B4F29D}" name="Column2364"/>
    <tableColumn id="2365" xr3:uid="{A571A6D1-63B4-44C4-9486-0C6F162C943A}" name="Column2365"/>
    <tableColumn id="2366" xr3:uid="{0296813C-5F44-4B19-8F4F-0355A17D3EC1}" name="Column2366"/>
    <tableColumn id="2367" xr3:uid="{CF08C7C3-46B2-4ADE-8506-74EF1549C259}" name="Column2367"/>
    <tableColumn id="2368" xr3:uid="{F299BB8C-0020-47DD-A9CA-D4DB1F450424}" name="Column2368"/>
    <tableColumn id="2369" xr3:uid="{DF328C17-8FDE-43D3-99F8-95609A50DE8A}" name="Column2369"/>
    <tableColumn id="2370" xr3:uid="{146FE91F-D6F8-4311-BE2C-32AE64D0FFDD}" name="Column2370"/>
    <tableColumn id="2371" xr3:uid="{F48058B8-EAFC-4EBB-B793-1B3D4D4260B2}" name="Column2371"/>
    <tableColumn id="2372" xr3:uid="{8A34F071-13C8-4740-8B07-0215F6162377}" name="Column2372"/>
    <tableColumn id="2373" xr3:uid="{F4F7B86A-7713-4EA3-8346-AC22B1D1D92C}" name="Column2373"/>
    <tableColumn id="2374" xr3:uid="{5203BF59-F704-4330-A396-74BA80A95A48}" name="Column2374"/>
    <tableColumn id="2375" xr3:uid="{2C316CB6-9D0A-414F-9028-5511D5001467}" name="Column2375"/>
    <tableColumn id="2376" xr3:uid="{8F56985D-450B-4C86-94F0-F23927C0B1CB}" name="Column2376"/>
    <tableColumn id="2377" xr3:uid="{428FF6C8-F2CF-47B9-A6F8-17A06C7DBEC6}" name="Column2377"/>
    <tableColumn id="2378" xr3:uid="{08AB7674-A440-482D-8D66-E05E65F9196C}" name="Column2378"/>
    <tableColumn id="2379" xr3:uid="{B8657A13-28EE-4909-BE60-13548696A88B}" name="Column2379"/>
    <tableColumn id="2380" xr3:uid="{03BCED2F-FA36-4612-A9FA-AE84859EF01E}" name="Column2380"/>
    <tableColumn id="2381" xr3:uid="{14CB94F4-67F8-4F80-838A-682E26E32A79}" name="Column2381"/>
    <tableColumn id="2382" xr3:uid="{5473A6DE-94A1-4BEC-8304-50F8E0138059}" name="Column2382"/>
    <tableColumn id="2383" xr3:uid="{2C49A0CA-CD4B-4E6C-80F3-9BBAE7296A3F}" name="Column2383"/>
    <tableColumn id="2384" xr3:uid="{95457CFE-0078-4437-9782-0419E2504C03}" name="Column2384"/>
    <tableColumn id="2385" xr3:uid="{781FFFF7-BE51-45D3-8CD5-90D8A35EDE36}" name="Column2385"/>
    <tableColumn id="2386" xr3:uid="{7674F6F9-37AB-4F76-8C3C-3D2FBE93C640}" name="Column2386"/>
    <tableColumn id="2387" xr3:uid="{C7A85A8D-3318-442E-8C40-54ED26E4FDEA}" name="Column2387"/>
    <tableColumn id="2388" xr3:uid="{4782EF06-AEF9-4807-921F-D0774DC64CFE}" name="Column2388"/>
    <tableColumn id="2389" xr3:uid="{70A40C9A-02BD-406C-9333-2E7B48876F18}" name="Column2389"/>
    <tableColumn id="2390" xr3:uid="{2721408E-7CCE-478C-8286-7695DDE9BDDE}" name="Column2390"/>
    <tableColumn id="2391" xr3:uid="{A9E339DF-612A-4B82-A07B-EDC12E4E5D72}" name="Column2391"/>
    <tableColumn id="2392" xr3:uid="{E983179E-F1B5-4E27-AE38-CCEEC958EA10}" name="Column2392"/>
    <tableColumn id="2393" xr3:uid="{E380505C-1842-4D9B-B466-B8F52BBDE3B0}" name="Column2393"/>
    <tableColumn id="2394" xr3:uid="{64AB309F-F986-4C2C-A365-BBD36B8578B3}" name="Column2394"/>
    <tableColumn id="2395" xr3:uid="{1B787E62-E4FA-4F90-8698-372060953116}" name="Column2395"/>
    <tableColumn id="2396" xr3:uid="{89182C0F-BDDC-4118-89BC-8E948BBA52E6}" name="Column2396"/>
    <tableColumn id="2397" xr3:uid="{9D7C950B-654D-416C-B1D7-0CA839BCDCA9}" name="Column2397"/>
    <tableColumn id="2398" xr3:uid="{DF28DAA3-DE61-4969-A8C6-A87F774D5574}" name="Column2398"/>
    <tableColumn id="2399" xr3:uid="{822F899A-5ABF-4E81-8786-011F21E440CF}" name="Column2399"/>
    <tableColumn id="2400" xr3:uid="{E24301B3-C717-4E73-AA17-A735B80322E4}" name="Column2400"/>
    <tableColumn id="2401" xr3:uid="{956773C6-FB8A-413D-B116-C7BABC0C1C21}" name="Column2401"/>
    <tableColumn id="2402" xr3:uid="{6C56300A-6EF3-4B07-ACCA-C96AE197AD54}" name="Column2402"/>
    <tableColumn id="2403" xr3:uid="{D7E856F6-D44C-49EA-969E-CF3C068D1CD1}" name="Column2403"/>
    <tableColumn id="2404" xr3:uid="{D56ACDE3-DB8F-4EA4-82E0-50681CA4F24C}" name="Column2404"/>
    <tableColumn id="2405" xr3:uid="{1C66F025-82CD-4961-AF58-3693E200560B}" name="Column2405"/>
    <tableColumn id="2406" xr3:uid="{B1EE6069-6135-4EC6-B392-253132409DCE}" name="Column2406"/>
    <tableColumn id="2407" xr3:uid="{4061B9E9-1F6B-4267-BC3C-11C1E5D8B149}" name="Column2407"/>
    <tableColumn id="2408" xr3:uid="{A0B205FA-2F0E-4AD9-B199-618C7B79855F}" name="Column2408"/>
    <tableColumn id="2409" xr3:uid="{7575F1BE-7F2B-4E9D-B562-35B263EF9FEE}" name="Column2409"/>
    <tableColumn id="2410" xr3:uid="{1E8A20E5-A7AD-4425-B5F6-DF661EA95800}" name="Column2410"/>
    <tableColumn id="2411" xr3:uid="{A3B5B176-8A49-43F5-91D1-9AE2256442DD}" name="Column2411"/>
    <tableColumn id="2412" xr3:uid="{2529FE2B-2353-4073-BB1E-48CB3C758686}" name="Column2412"/>
    <tableColumn id="2413" xr3:uid="{4F51E3DB-76C1-4AE0-8532-B47504C525BE}" name="Column2413"/>
    <tableColumn id="2414" xr3:uid="{67148EDD-21E3-40B9-85AC-2D245992F33B}" name="Column2414"/>
    <tableColumn id="2415" xr3:uid="{3C5C997A-D0D1-4981-959D-A477C3826E4B}" name="Column2415"/>
    <tableColumn id="2416" xr3:uid="{C446BC41-FF90-4851-82FB-75890B1D147F}" name="Column2416"/>
    <tableColumn id="2417" xr3:uid="{CFB489FB-4A85-46A1-916E-D66FF1DD19EA}" name="Column2417"/>
    <tableColumn id="2418" xr3:uid="{74B54870-5C0A-4287-8B4B-B01FD837D796}" name="Column2418"/>
    <tableColumn id="2419" xr3:uid="{C5840FFC-7A7E-431F-8411-E222E1740FE7}" name="Column2419"/>
    <tableColumn id="2420" xr3:uid="{7C9A88A7-1A09-4123-80EC-10334BC6A857}" name="Column2420"/>
    <tableColumn id="2421" xr3:uid="{E3F7863D-5DEA-42F2-9CA1-0121E68AFAC9}" name="Column2421"/>
    <tableColumn id="2422" xr3:uid="{1F97F411-D23D-4782-B1AA-6AA35805EB74}" name="Column2422"/>
    <tableColumn id="2423" xr3:uid="{FBC6E292-B813-4D8E-8013-DF0FEB21F624}" name="Column2423"/>
    <tableColumn id="2424" xr3:uid="{6A3AAF7C-6A47-4760-804F-7A0083EC1B14}" name="Column2424"/>
    <tableColumn id="2425" xr3:uid="{6349CF68-ACE5-434D-84F8-FADDCC54D4FD}" name="Column2425"/>
    <tableColumn id="2426" xr3:uid="{74FDE3B3-D471-4B06-BD2C-DE8D55332001}" name="Column2426"/>
    <tableColumn id="2427" xr3:uid="{92D9D5E1-318F-41A3-864B-EA69320932FE}" name="Column2427"/>
    <tableColumn id="2428" xr3:uid="{C372DFCC-DC1A-4815-A1B5-2A3C412D6AB7}" name="Column2428"/>
    <tableColumn id="2429" xr3:uid="{693E6D7C-DA5A-4218-86ED-674FB566BCF6}" name="Column2429"/>
    <tableColumn id="2430" xr3:uid="{E7E73F16-0647-41BC-AB12-A617C43A1EC6}" name="Column2430"/>
    <tableColumn id="2431" xr3:uid="{C60FCE54-A8DE-4740-97CB-739BC53E631A}" name="Column2431"/>
    <tableColumn id="2432" xr3:uid="{BCFFB983-3E01-4972-981F-02C3630EEBD8}" name="Column2432"/>
    <tableColumn id="2433" xr3:uid="{62C1D3C5-8E00-4DBE-96B3-7E532E6218CF}" name="Column2433"/>
    <tableColumn id="2434" xr3:uid="{49C531A6-235F-4A8D-A205-0E5F33D05752}" name="Column2434"/>
    <tableColumn id="2435" xr3:uid="{ED5154DB-E157-4AA6-9732-78A1EA468D0F}" name="Column2435"/>
    <tableColumn id="2436" xr3:uid="{3D45AA09-0603-4917-AA8C-F14B7326DCF1}" name="Column2436"/>
    <tableColumn id="2437" xr3:uid="{EB1F7194-BC1E-407B-947C-1A1FA3CEE9C1}" name="Column2437"/>
    <tableColumn id="2438" xr3:uid="{FEEB222B-946A-44F2-ABAC-F51D9DF6978A}" name="Column2438"/>
    <tableColumn id="2439" xr3:uid="{2EAEDFD5-73DB-4918-86E8-EAC32B16F6C5}" name="Column2439"/>
    <tableColumn id="2440" xr3:uid="{CAEDE4F6-F46F-4F60-82BA-F83971519D18}" name="Column2440"/>
    <tableColumn id="2441" xr3:uid="{70CC819C-16AE-4E3B-B361-C8A884EFB2C6}" name="Column2441"/>
    <tableColumn id="2442" xr3:uid="{96B7DF80-F684-40A9-B1F3-2E7D5F89E099}" name="Column2442"/>
    <tableColumn id="2443" xr3:uid="{A2E56CC7-940A-46CE-9E00-7FAFE554DD34}" name="Column2443"/>
    <tableColumn id="2444" xr3:uid="{CE6EB43C-F2EE-48AF-AE69-B5E93FACEF33}" name="Column2444"/>
    <tableColumn id="2445" xr3:uid="{DE5CC174-50D1-4C3E-A719-C4F70B63CA42}" name="Column2445"/>
    <tableColumn id="2446" xr3:uid="{30B503F3-032D-4187-8A76-72252ADDF714}" name="Column2446"/>
    <tableColumn id="2447" xr3:uid="{5D60BDF1-D13A-4E83-BCB5-FDC3A055B15C}" name="Column2447"/>
    <tableColumn id="2448" xr3:uid="{4B469337-A289-42C4-8877-36AE3097A224}" name="Column2448"/>
    <tableColumn id="2449" xr3:uid="{E822AA5B-C593-4E70-8007-CF678BEA1AD7}" name="Column2449"/>
    <tableColumn id="2450" xr3:uid="{9353A5C7-A4FD-4C30-B808-B228E3E5BA44}" name="Column2450"/>
    <tableColumn id="2451" xr3:uid="{0D0D9D18-DEF3-48EF-B9EA-D0503FE471C7}" name="Column2451"/>
    <tableColumn id="2452" xr3:uid="{64FF51BF-7F87-4E84-97DE-799C97E772A0}" name="Column2452"/>
    <tableColumn id="2453" xr3:uid="{F52EBF2F-AB77-4F90-A7E7-C6D18B1672ED}" name="Column2453"/>
    <tableColumn id="2454" xr3:uid="{BF04E6B2-AC56-4B36-8E5F-F9D2C16C5C8C}" name="Column2454"/>
    <tableColumn id="2455" xr3:uid="{00157D79-4A90-4446-A977-D539735B90D6}" name="Column2455"/>
    <tableColumn id="2456" xr3:uid="{61391FDB-9AA2-4DDA-827D-4E2A1F1FA0CC}" name="Column2456"/>
    <tableColumn id="2457" xr3:uid="{4D73174A-6D4C-46A5-9803-64353D9D45B6}" name="Column2457"/>
    <tableColumn id="2458" xr3:uid="{F1F720AF-E6C0-4F18-A641-4A6E4028323B}" name="Column2458"/>
    <tableColumn id="2459" xr3:uid="{4B82AAC5-F7CB-4C76-A1CA-745B325861D9}" name="Column2459"/>
    <tableColumn id="2460" xr3:uid="{E265EA1E-8830-428E-B7F3-5FA253F95A77}" name="Column2460"/>
    <tableColumn id="2461" xr3:uid="{70F4C813-87E6-420A-BE30-0498BD123127}" name="Column2461"/>
    <tableColumn id="2462" xr3:uid="{25C20879-4EC2-4309-B488-DAA7BB329731}" name="Column2462"/>
    <tableColumn id="2463" xr3:uid="{1F0C1CF2-6D4C-409F-B90D-6D0409FC2C0B}" name="Column2463"/>
    <tableColumn id="2464" xr3:uid="{3D09A27D-3624-4D08-B78D-00353184C238}" name="Column2464"/>
    <tableColumn id="2465" xr3:uid="{9C1C7189-9DAB-4715-8692-CFC6F9FEB017}" name="Column2465"/>
    <tableColumn id="2466" xr3:uid="{817C60F7-660D-4831-B9C3-71042F1497EB}" name="Column2466"/>
    <tableColumn id="2467" xr3:uid="{6C2EEBA7-295F-4356-8BE6-13A2A8B272FA}" name="Column2467"/>
    <tableColumn id="2468" xr3:uid="{F49F87D1-6CCD-4364-9CF7-0DF19C0B53EB}" name="Column2468"/>
    <tableColumn id="2469" xr3:uid="{B25B88BC-46C0-4454-99C7-20AD3CDBC6D0}" name="Column2469"/>
    <tableColumn id="2470" xr3:uid="{34D51EFF-4471-45B7-980E-B29DA48FC89B}" name="Column2470"/>
    <tableColumn id="2471" xr3:uid="{3F65F1A0-6B90-4651-B424-3FEEA5A6D87C}" name="Column2471"/>
    <tableColumn id="2472" xr3:uid="{61684251-F05B-4F39-B90A-4B5B12E9074D}" name="Column2472"/>
    <tableColumn id="2473" xr3:uid="{43202D13-6C2D-4178-9BA7-9040FA634D1A}" name="Column2473"/>
    <tableColumn id="2474" xr3:uid="{23876AC4-3FD6-48B3-89C7-EBEB4EAD5214}" name="Column2474"/>
    <tableColumn id="2475" xr3:uid="{EC701315-4923-45A7-A24D-219B998C2C81}" name="Column2475"/>
    <tableColumn id="2476" xr3:uid="{2D0B547F-E1BD-4287-B240-815EE1132FA1}" name="Column2476"/>
    <tableColumn id="2477" xr3:uid="{8B5D94FA-B140-40F8-9D43-25A56D11F268}" name="Column2477"/>
    <tableColumn id="2478" xr3:uid="{D624349B-5A1F-4349-ABCC-26EF16B5567D}" name="Column2478"/>
    <tableColumn id="2479" xr3:uid="{87CF828C-71C0-46BE-A199-975DC29B50A6}" name="Column2479"/>
    <tableColumn id="2480" xr3:uid="{A63CCD0F-7DC1-4DEB-B2C3-524EFC013AF9}" name="Column2480"/>
    <tableColumn id="2481" xr3:uid="{9595458B-B0D2-4665-B2EA-93FF02002CC4}" name="Column2481"/>
    <tableColumn id="2482" xr3:uid="{119A6BA2-7C71-414D-87C9-635B80F589BC}" name="Column2482"/>
    <tableColumn id="2483" xr3:uid="{8A1A01C6-9ADA-452B-972F-203EA5530A01}" name="Column2483"/>
    <tableColumn id="2484" xr3:uid="{A71A6C25-601D-4160-81BB-322F21F6421C}" name="Column2484"/>
    <tableColumn id="2485" xr3:uid="{AF4449F7-232E-41D8-BF31-FB5C4845534B}" name="Column2485"/>
    <tableColumn id="2486" xr3:uid="{9409AD4D-B67C-49D1-9022-C70E878FF695}" name="Column2486"/>
    <tableColumn id="2487" xr3:uid="{7284838B-194C-4DFB-B51A-AA1D1CAF6499}" name="Column2487"/>
    <tableColumn id="2488" xr3:uid="{7A706945-BD05-47BD-BE32-5C55267B22DD}" name="Column2488"/>
    <tableColumn id="2489" xr3:uid="{9B9BD178-3233-49F1-87DD-6E4F8C90FCF5}" name="Column2489"/>
    <tableColumn id="2490" xr3:uid="{B022FDD3-11F1-4116-AC07-F7741E1971A7}" name="Column2490"/>
    <tableColumn id="2491" xr3:uid="{D563C99C-1639-41EA-81E7-AEE5909F26C5}" name="Column2491"/>
    <tableColumn id="2492" xr3:uid="{237920AF-02E3-4ED2-8B5B-875A582DA903}" name="Column2492"/>
    <tableColumn id="2493" xr3:uid="{322C1ABA-4BD9-4446-B386-8C242E9DC45D}" name="Column2493"/>
    <tableColumn id="2494" xr3:uid="{C884FC1D-E9D3-45C7-A3CB-F702C858C920}" name="Column2494"/>
    <tableColumn id="2495" xr3:uid="{F68ADC10-C2C1-48D9-8F2E-CAB24D0AC3C6}" name="Column2495"/>
    <tableColumn id="2496" xr3:uid="{01532481-AD95-47E4-8BFB-B4375D1273C6}" name="Column2496"/>
    <tableColumn id="2497" xr3:uid="{8020502A-7E43-4084-A015-61E24F23A6C3}" name="Column2497"/>
    <tableColumn id="2498" xr3:uid="{F700A6CC-8944-4D9B-8894-8F15B31B459A}" name="Column2498"/>
    <tableColumn id="2499" xr3:uid="{D0CAA794-B4DD-452C-B9A1-F9F0490BFBAD}" name="Column2499"/>
    <tableColumn id="2500" xr3:uid="{86CC09FF-6A9D-4FB6-B935-20B6CF6A9750}" name="Column2500"/>
    <tableColumn id="2501" xr3:uid="{3F86CA68-15EB-4A70-BDCA-19B14CE3B94A}" name="Column2501"/>
    <tableColumn id="2502" xr3:uid="{60D932FB-3674-452B-BF13-B4420BF3BE02}" name="Column2502"/>
    <tableColumn id="2503" xr3:uid="{92E5170F-66EE-4199-AB79-2BF570554967}" name="Column2503"/>
    <tableColumn id="2504" xr3:uid="{E14B2BEC-046C-4393-B88A-2C172761706F}" name="Column2504"/>
    <tableColumn id="2505" xr3:uid="{E34FE23D-0224-4EC7-BA68-EF6FB2EFFF13}" name="Column2505"/>
    <tableColumn id="2506" xr3:uid="{CCF1B439-A6A0-44CC-8AF8-7CB093DC9DC3}" name="Column2506"/>
    <tableColumn id="2507" xr3:uid="{A115FD1A-56B8-4D7B-8814-11D0C7E0CF3A}" name="Column2507"/>
    <tableColumn id="2508" xr3:uid="{0B76B8D4-B46F-4CA1-A0E2-43B73EE8D5FE}" name="Column2508"/>
    <tableColumn id="2509" xr3:uid="{2DA5C7AD-B41C-47DB-96E7-5A47CFAC2EE4}" name="Column2509"/>
    <tableColumn id="2510" xr3:uid="{9E0107AA-5EB1-4FBF-828A-B7E2701DB1E7}" name="Column2510"/>
    <tableColumn id="2511" xr3:uid="{0625E5B9-9BB9-4B36-B1BF-C6ED3151F6D6}" name="Column2511"/>
    <tableColumn id="2512" xr3:uid="{545CDE0A-DFF3-4B3F-BD0A-B4F65EDC3C92}" name="Column2512"/>
    <tableColumn id="2513" xr3:uid="{9DA57DF1-1D8B-425D-B135-2D3C7A902FF7}" name="Column2513"/>
    <tableColumn id="2514" xr3:uid="{A402FBE0-CFCB-437F-90C4-D16637D90D0E}" name="Column2514"/>
    <tableColumn id="2515" xr3:uid="{D49C452C-4E7B-4990-ADCA-C7E51F90171B}" name="Column2515"/>
    <tableColumn id="2516" xr3:uid="{62F78B51-3428-4DC3-9385-1CB697468C18}" name="Column2516"/>
    <tableColumn id="2517" xr3:uid="{87596C7A-4BEF-48F8-8FB9-BAB0FF8D9076}" name="Column2517"/>
    <tableColumn id="2518" xr3:uid="{172014FB-F972-44CD-AF73-1DE5A882B57A}" name="Column2518"/>
    <tableColumn id="2519" xr3:uid="{EC71D43C-9682-4852-9BA4-0064679A2D18}" name="Column2519"/>
    <tableColumn id="2520" xr3:uid="{DF7CA133-3EA4-42B6-9464-985804408194}" name="Column2520"/>
    <tableColumn id="2521" xr3:uid="{CE9FD447-3231-4AB6-B536-E39D007070EE}" name="Column2521"/>
    <tableColumn id="2522" xr3:uid="{BD14F46B-B2EE-4EE9-950C-5DC9EB91C3A2}" name="Column2522"/>
    <tableColumn id="2523" xr3:uid="{C547CC63-2708-4003-82BB-AA4B7A05CFFB}" name="Column2523"/>
    <tableColumn id="2524" xr3:uid="{A83B6586-B690-4FF4-9257-8FAB52B0A263}" name="Column2524"/>
    <tableColumn id="2525" xr3:uid="{F7BF6F5D-40C2-4DAC-A595-4513FB659998}" name="Column2525"/>
    <tableColumn id="2526" xr3:uid="{AFE8D420-96B5-46B0-9133-0054BC36FCEA}" name="Column2526"/>
    <tableColumn id="2527" xr3:uid="{DE2E5263-6C24-40A9-9EC9-E9F7081F02BA}" name="Column2527"/>
    <tableColumn id="2528" xr3:uid="{2D0965CE-50CB-465F-98C4-718352D76664}" name="Column2528"/>
    <tableColumn id="2529" xr3:uid="{024195F5-7C02-4628-BF3C-4EC094129532}" name="Column2529"/>
    <tableColumn id="2530" xr3:uid="{DDE49030-4F5D-441F-AAFB-E8B9C4100CDE}" name="Column2530"/>
    <tableColumn id="2531" xr3:uid="{568838B3-92E1-49BB-8A91-DEB65BEC80EF}" name="Column2531"/>
    <tableColumn id="2532" xr3:uid="{31B50A0D-787C-4C61-80EB-864C62A57958}" name="Column2532"/>
    <tableColumn id="2533" xr3:uid="{7C620426-2343-4397-99D3-351B9FB04802}" name="Column2533"/>
    <tableColumn id="2534" xr3:uid="{5D46CD41-7F98-4CD1-9868-232F629F595F}" name="Column2534"/>
    <tableColumn id="2535" xr3:uid="{7088E89E-345E-4C82-AB77-2D98DDFD751C}" name="Column2535"/>
    <tableColumn id="2536" xr3:uid="{9F9CAAB4-F506-468A-909F-D8C4A8B0F856}" name="Column2536"/>
    <tableColumn id="2537" xr3:uid="{6B8BFF70-FA61-4516-A9A1-95F8E9AD9009}" name="Column2537"/>
    <tableColumn id="2538" xr3:uid="{11462ACF-52AB-426B-BF39-DFF4E5C7B832}" name="Column2538"/>
    <tableColumn id="2539" xr3:uid="{889586EA-C16B-458B-858F-A214C63E6853}" name="Column2539"/>
    <tableColumn id="2540" xr3:uid="{DF1DBC9B-2C11-487D-B7DB-31A53ED1C1D9}" name="Column2540"/>
    <tableColumn id="2541" xr3:uid="{13882E7D-AFE4-4F37-ACAD-99C105B3EEF5}" name="Column2541"/>
    <tableColumn id="2542" xr3:uid="{7FBAC952-23AB-448C-9829-828238F3404F}" name="Column2542"/>
    <tableColumn id="2543" xr3:uid="{B47BF621-8D64-4AAB-B445-3EE92E069C46}" name="Column2543"/>
    <tableColumn id="2544" xr3:uid="{73BC613C-7980-4F57-890F-06EE21F7792A}" name="Column2544"/>
    <tableColumn id="2545" xr3:uid="{1ED735D5-101E-4C6E-AF95-AD1E0452ED81}" name="Column2545"/>
    <tableColumn id="2546" xr3:uid="{780C8F83-6215-41A6-8BF6-41062BED6803}" name="Column2546"/>
    <tableColumn id="2547" xr3:uid="{EC9DAE45-9EB7-4591-A118-6517BA912A83}" name="Column2547"/>
    <tableColumn id="2548" xr3:uid="{712D8BB1-9541-4B03-9E45-978122CC1875}" name="Column2548"/>
    <tableColumn id="2549" xr3:uid="{90B43A06-9418-42BB-AB6B-831D0C79A197}" name="Column2549"/>
    <tableColumn id="2550" xr3:uid="{C4D22D6C-D7CA-4434-8AC4-41A1DD30B8E1}" name="Column2550"/>
    <tableColumn id="2551" xr3:uid="{7EF2C106-2B0F-4509-84BC-61395212053F}" name="Column2551"/>
    <tableColumn id="2552" xr3:uid="{902CC0BF-F691-49C6-A9EA-3AE24F871BB5}" name="Column2552"/>
    <tableColumn id="2553" xr3:uid="{056B5611-EBF0-4BF7-B202-06C3759A9326}" name="Column2553"/>
    <tableColumn id="2554" xr3:uid="{0430E7BA-DA05-40AA-B6C2-172E6C51F2A1}" name="Column2554"/>
    <tableColumn id="2555" xr3:uid="{8BF4F226-6315-4F87-9EDE-CD1B41B3B984}" name="Column2555"/>
    <tableColumn id="2556" xr3:uid="{B34103A1-0022-4B41-AC60-2A6965A5D15C}" name="Column2556"/>
    <tableColumn id="2557" xr3:uid="{9F325866-A6A3-4288-B618-836B642AF74C}" name="Column2557"/>
    <tableColumn id="2558" xr3:uid="{15877F1D-E320-473A-9ABE-DDFC64F58683}" name="Column2558"/>
    <tableColumn id="2559" xr3:uid="{216B548A-A653-4E20-9A5F-AFD05E75D442}" name="Column2559"/>
    <tableColumn id="2560" xr3:uid="{5B187D2E-E431-43AA-93FE-7D66AE3E9463}" name="Column2560"/>
    <tableColumn id="2561" xr3:uid="{455F0720-AB06-4D4D-B3C1-C6B1DA30855E}" name="Column2561"/>
    <tableColumn id="2562" xr3:uid="{833F8252-EC6E-48B3-93B8-ED274F1EEBCD}" name="Column2562"/>
    <tableColumn id="2563" xr3:uid="{67AC173B-FB43-40B3-BA51-3CFB22AC1897}" name="Column2563"/>
    <tableColumn id="2564" xr3:uid="{1C42D7E8-B002-47C4-8312-292B5CB5D9D9}" name="Column2564"/>
    <tableColumn id="2565" xr3:uid="{5B699AA7-E144-4AF0-B3A7-5C9212340CCF}" name="Column2565"/>
    <tableColumn id="2566" xr3:uid="{2774EAF0-B127-4F24-8085-D6C9EEFCDB43}" name="Column2566"/>
    <tableColumn id="2567" xr3:uid="{DB0008BB-E82D-4422-9A43-5EF1B480F61D}" name="Column2567"/>
    <tableColumn id="2568" xr3:uid="{B307881E-2A89-45ED-9C0B-5599B1701D0A}" name="Column2568"/>
    <tableColumn id="2569" xr3:uid="{B79F3278-73C1-430C-8692-8EB83BF1EB85}" name="Column2569"/>
    <tableColumn id="2570" xr3:uid="{421ABDAB-3237-4C82-83D4-BAF4E84BBCAD}" name="Column2570"/>
    <tableColumn id="2571" xr3:uid="{6977E30F-5E8A-493E-8A1E-9FE40967126D}" name="Column2571"/>
    <tableColumn id="2572" xr3:uid="{21E37CA2-09EC-4200-8B0E-E0D3F73492EF}" name="Column2572"/>
    <tableColumn id="2573" xr3:uid="{E55FD57D-4DBC-41B7-8F96-DDBF6D27D4E6}" name="Column2573"/>
    <tableColumn id="2574" xr3:uid="{7DD6E3C9-6E25-4D86-A725-6E16688937A9}" name="Column2574"/>
    <tableColumn id="2575" xr3:uid="{6CECD021-0D59-428C-860F-4A866C57285A}" name="Column2575"/>
    <tableColumn id="2576" xr3:uid="{B56D5A3F-A179-43D1-9112-D8095668686C}" name="Column2576"/>
    <tableColumn id="2577" xr3:uid="{738D0BD9-6862-411A-9131-EFC7FABDCF8D}" name="Column2577"/>
    <tableColumn id="2578" xr3:uid="{B1B3D9F6-A110-4FE5-8282-4816339A8E27}" name="Column2578"/>
    <tableColumn id="2579" xr3:uid="{5B1EC30B-3144-4F84-AB2A-96899D359D82}" name="Column2579"/>
    <tableColumn id="2580" xr3:uid="{6FBC3FF4-1B7E-4A8F-91B2-4E3D667D83C6}" name="Column2580"/>
    <tableColumn id="2581" xr3:uid="{B9063BCB-AAD6-4302-8E01-3F75AFBC8B09}" name="Column2581"/>
    <tableColumn id="2582" xr3:uid="{2AA92C97-B8C2-4FC1-94C9-18663FE66648}" name="Column2582"/>
    <tableColumn id="2583" xr3:uid="{B90A0C87-1A15-420A-AB7C-4FF3B08A784A}" name="Column2583"/>
    <tableColumn id="2584" xr3:uid="{121B0EE4-885B-4361-B39F-9E36F246ADF2}" name="Column2584"/>
    <tableColumn id="2585" xr3:uid="{4FB19B7D-9F88-4943-A1A3-E66E9FED192B}" name="Column2585"/>
    <tableColumn id="2586" xr3:uid="{A54DBC59-4EE9-420A-9292-FA1597EED21E}" name="Column2586"/>
    <tableColumn id="2587" xr3:uid="{14965E4A-241C-4F23-B523-685166C5C9FD}" name="Column2587"/>
    <tableColumn id="2588" xr3:uid="{8583B99F-8917-4DC0-9E7F-3D2B63548357}" name="Column2588"/>
    <tableColumn id="2589" xr3:uid="{1DCEFE92-D337-408E-A621-051FACAF2332}" name="Column2589"/>
    <tableColumn id="2590" xr3:uid="{62560501-DC45-4A8F-A9D2-B074D58F6116}" name="Column2590"/>
    <tableColumn id="2591" xr3:uid="{95E37158-E360-4097-9AE0-3782E934BDFC}" name="Column2591"/>
    <tableColumn id="2592" xr3:uid="{28BFF7CD-E01E-4747-B3E8-019802E36116}" name="Column2592"/>
    <tableColumn id="2593" xr3:uid="{B4DDC657-B072-46EC-8732-EA402B7445E5}" name="Column2593"/>
    <tableColumn id="2594" xr3:uid="{5063E21D-B829-4FE0-8796-006820E99F2E}" name="Column2594"/>
    <tableColumn id="2595" xr3:uid="{C2338479-E015-4505-9CAD-1DAE89A2CF5A}" name="Column2595"/>
    <tableColumn id="2596" xr3:uid="{71A41471-7370-4BDC-95CD-992A613FAF93}" name="Column2596"/>
    <tableColumn id="2597" xr3:uid="{AE619534-8C94-4A10-BC61-19BABF144845}" name="Column2597"/>
    <tableColumn id="2598" xr3:uid="{A6F46DFC-87E5-43D4-B3F1-81C142A75F78}" name="Column2598"/>
    <tableColumn id="2599" xr3:uid="{03A40C51-0923-4D98-B55A-D18AEF320CEF}" name="Column2599"/>
    <tableColumn id="2600" xr3:uid="{FAD678BC-9BF8-4CA0-8E43-9811F58CA143}" name="Column2600"/>
    <tableColumn id="2601" xr3:uid="{A1BDC401-5E2E-4E5C-9BDE-43700A8926E7}" name="Column2601"/>
    <tableColumn id="2602" xr3:uid="{DE1EEAED-9695-4939-954F-11268C1FB2EC}" name="Column2602"/>
    <tableColumn id="2603" xr3:uid="{168E91BA-2889-4595-8DD0-500D292E4318}" name="Column2603"/>
    <tableColumn id="2604" xr3:uid="{3A6AC90B-6354-4CDE-A579-124C9989B8E1}" name="Column2604"/>
    <tableColumn id="2605" xr3:uid="{A482431F-34E7-4F9B-B108-986EA19A4D25}" name="Column2605"/>
    <tableColumn id="2606" xr3:uid="{7C200624-B328-4E89-A810-12C0CD2D3CAD}" name="Column2606"/>
    <tableColumn id="2607" xr3:uid="{36B96E4C-2AAB-4EB4-896A-9B0327D929C0}" name="Column2607"/>
    <tableColumn id="2608" xr3:uid="{9250B99A-AF27-422F-8B7C-BACA137BE417}" name="Column2608"/>
    <tableColumn id="2609" xr3:uid="{09B6097E-DD3F-4444-BD2C-5A107FB87B1A}" name="Column2609"/>
    <tableColumn id="2610" xr3:uid="{7B9D348F-D346-4C02-8611-C706C0C236FF}" name="Column2610"/>
    <tableColumn id="2611" xr3:uid="{011DF970-60AF-4D27-8863-603333A851C1}" name="Column2611"/>
    <tableColumn id="2612" xr3:uid="{C8FB2422-2EA0-4780-9FF2-5E4FF0335132}" name="Column2612"/>
    <tableColumn id="2613" xr3:uid="{135F6FE4-F650-4C2B-B077-D9D39D211E36}" name="Column2613"/>
    <tableColumn id="2614" xr3:uid="{329A8B84-EED7-424E-BC84-3C913ED863BF}" name="Column2614"/>
    <tableColumn id="2615" xr3:uid="{F7B71943-8B14-4E1A-9370-65B850042EA1}" name="Column2615"/>
    <tableColumn id="2616" xr3:uid="{5F65D227-CB0B-4771-9410-6DFDC5B28004}" name="Column2616"/>
    <tableColumn id="2617" xr3:uid="{4903289F-0415-4621-B1F7-83DF1A27CB7E}" name="Column2617"/>
    <tableColumn id="2618" xr3:uid="{8816F5BE-199D-4E81-95B6-92F0A4DFA4B2}" name="Column2618"/>
    <tableColumn id="2619" xr3:uid="{E43DD9F3-790F-424C-9192-D0302215900A}" name="Column2619"/>
    <tableColumn id="2620" xr3:uid="{0F248BA7-D61C-4487-A559-AD8434E5B374}" name="Column2620"/>
    <tableColumn id="2621" xr3:uid="{539AB200-3712-482A-8128-0275F9100436}" name="Column2621"/>
    <tableColumn id="2622" xr3:uid="{30EBB58D-32B8-416C-9CDA-E7DACBD29258}" name="Column2622"/>
    <tableColumn id="2623" xr3:uid="{7982CB65-8DB4-47C5-8E1D-A04175937978}" name="Column2623"/>
    <tableColumn id="2624" xr3:uid="{7B4AD46E-49DF-47C7-8E63-67DBDBEB49A7}" name="Column2624"/>
    <tableColumn id="2625" xr3:uid="{D1AD700F-FCAC-4C0B-8D02-900BA1A16976}" name="Column2625"/>
    <tableColumn id="2626" xr3:uid="{0053C114-88DD-4412-AB07-E098672331EF}" name="Column2626"/>
    <tableColumn id="2627" xr3:uid="{E85C21D6-4BD8-451B-850B-923880F7A98B}" name="Column2627"/>
    <tableColumn id="2628" xr3:uid="{ED85DB32-03D8-4E10-B2AC-2ACD879E409A}" name="Column2628"/>
    <tableColumn id="2629" xr3:uid="{D8F52E12-5679-49B5-9E92-790F37A225B1}" name="Column2629"/>
    <tableColumn id="2630" xr3:uid="{412D6130-9DF9-4628-ADA1-C207D72B25FD}" name="Column2630"/>
    <tableColumn id="2631" xr3:uid="{5385EA54-85A0-426C-BB2F-D68E2639C136}" name="Column2631"/>
    <tableColumn id="2632" xr3:uid="{FF4BE7AD-F221-4DB7-B98C-6A335D65680D}" name="Column2632"/>
    <tableColumn id="2633" xr3:uid="{8FE43D39-5BB9-4F16-B904-0B7D3F872958}" name="Column2633"/>
    <tableColumn id="2634" xr3:uid="{8FBBA255-0F5A-417E-A2B5-7C67C630C5C0}" name="Column2634"/>
    <tableColumn id="2635" xr3:uid="{C8E36959-DBB1-4D1F-A186-BD67ACBD8CD7}" name="Column2635"/>
    <tableColumn id="2636" xr3:uid="{EBC0AABC-14D9-4E60-A435-A3238796EBD5}" name="Column2636"/>
    <tableColumn id="2637" xr3:uid="{E6490514-A67F-4F87-9B2D-4E9372226BF2}" name="Column2637"/>
    <tableColumn id="2638" xr3:uid="{BCFA7414-A32D-4737-8597-F32134CEE242}" name="Column2638"/>
    <tableColumn id="2639" xr3:uid="{936D66D3-FAAA-4BF3-B764-1848A79F3549}" name="Column2639"/>
    <tableColumn id="2640" xr3:uid="{F7C855F0-4FAB-4F1E-92A3-034D3D75B5D2}" name="Column2640"/>
    <tableColumn id="2641" xr3:uid="{8E6FFE49-7128-41A2-8B15-59226523AEF6}" name="Column2641"/>
    <tableColumn id="2642" xr3:uid="{F78D5B9C-9278-4731-BFCD-C5AA7354AB25}" name="Column2642"/>
    <tableColumn id="2643" xr3:uid="{AF22ED76-D65B-4DA7-AEC3-09BAF0B416B8}" name="Column2643"/>
    <tableColumn id="2644" xr3:uid="{17896D4A-B01A-4D01-8B0D-3CA2330144D9}" name="Column2644"/>
    <tableColumn id="2645" xr3:uid="{78F88446-D29D-4D68-8DB0-BD34174B7DF9}" name="Column2645"/>
    <tableColumn id="2646" xr3:uid="{FCD57742-96C7-423A-8CBD-54114B1E509A}" name="Column2646"/>
    <tableColumn id="2647" xr3:uid="{FCC71BE0-493E-4C56-A20F-8B4D5247D1AF}" name="Column2647"/>
    <tableColumn id="2648" xr3:uid="{E877BA0B-C060-440C-BF7D-6647DD8C86EA}" name="Column2648"/>
    <tableColumn id="2649" xr3:uid="{BFC69383-12EF-4461-8434-B1A37A7D7BA8}" name="Column2649"/>
    <tableColumn id="2650" xr3:uid="{0D12119F-EDD1-462E-936E-CA00FB248B72}" name="Column2650"/>
    <tableColumn id="2651" xr3:uid="{BCAE2F65-7586-4C9E-B93C-77A57A7BD44E}" name="Column2651"/>
    <tableColumn id="2652" xr3:uid="{9908344B-F744-43BE-9A31-7338A2A109EB}" name="Column2652"/>
    <tableColumn id="2653" xr3:uid="{C60E9984-5927-4491-BB89-C98A711F692C}" name="Column2653"/>
    <tableColumn id="2654" xr3:uid="{336CA37A-2C47-4FC7-90AE-20EB075E4878}" name="Column2654"/>
    <tableColumn id="2655" xr3:uid="{58021CD0-D77E-4B99-ACE1-B39812E8FEDD}" name="Column2655"/>
    <tableColumn id="2656" xr3:uid="{C4304D8F-6CC4-4AE3-91FE-AA3A0FD96EE2}" name="Column2656"/>
    <tableColumn id="2657" xr3:uid="{80DC453A-AF47-4F40-875C-E9654B9BC121}" name="Column2657"/>
    <tableColumn id="2658" xr3:uid="{E4A59E68-4C4F-4CD7-9577-C3F6732E8932}" name="Column2658"/>
    <tableColumn id="2659" xr3:uid="{896D6686-4F20-483C-B363-680EA5FC4DBE}" name="Column2659"/>
    <tableColumn id="2660" xr3:uid="{D7FED0BB-A6E8-4840-B15B-8FD43A9AA6A7}" name="Column2660"/>
    <tableColumn id="2661" xr3:uid="{505A8527-E594-4735-B27B-52807716570C}" name="Column2661"/>
    <tableColumn id="2662" xr3:uid="{D9A12814-9749-4798-9EF5-DBFFF8044046}" name="Column2662"/>
    <tableColumn id="2663" xr3:uid="{6FF46D83-48DA-4EEC-BDE4-6C262D12F883}" name="Column2663"/>
    <tableColumn id="2664" xr3:uid="{A4125828-0AA0-41C2-808F-529FEFA02D68}" name="Column2664"/>
    <tableColumn id="2665" xr3:uid="{EECCABDD-83BF-42DE-B259-25475B3D9D67}" name="Column2665"/>
    <tableColumn id="2666" xr3:uid="{EF2A25D6-9B8B-45A5-8097-D1E3558FD567}" name="Column2666"/>
    <tableColumn id="2667" xr3:uid="{D8FE4D24-8671-4F2A-BAB3-FD0F2DBFD051}" name="Column2667"/>
    <tableColumn id="2668" xr3:uid="{FAE8EE6B-37F2-43F1-98C5-4C2C7E9EAFF9}" name="Column2668"/>
    <tableColumn id="2669" xr3:uid="{3BEDD989-CA18-4CE1-B4ED-8F2C37A97784}" name="Column2669"/>
    <tableColumn id="2670" xr3:uid="{354C9289-7DEB-4F2E-8734-03A904448676}" name="Column2670"/>
    <tableColumn id="2671" xr3:uid="{15225D89-7B78-4016-8C46-68F82C2518DF}" name="Column2671"/>
    <tableColumn id="2672" xr3:uid="{4898F2CD-08BC-49BA-A796-95946FFEE403}" name="Column2672"/>
    <tableColumn id="2673" xr3:uid="{14FF2C47-F0D6-4FD5-BA71-6B5823F314CF}" name="Column2673"/>
    <tableColumn id="2674" xr3:uid="{F58DAC1F-2948-450B-A864-37B035948918}" name="Column2674"/>
    <tableColumn id="2675" xr3:uid="{7A5E7D77-4CA8-4BF3-BF76-AFDAD7368784}" name="Column2675"/>
    <tableColumn id="2676" xr3:uid="{7A72C05E-80CB-41FA-B56A-A669F9C5DA3A}" name="Column2676"/>
    <tableColumn id="2677" xr3:uid="{48200750-FE74-4D7E-AE42-90ACC06EE128}" name="Column2677"/>
    <tableColumn id="2678" xr3:uid="{6EA3D5B6-4025-45D8-94BB-48F948D2A15F}" name="Column2678"/>
    <tableColumn id="2679" xr3:uid="{C83937EE-BBD7-49E3-B987-38E741E3E8B3}" name="Column2679"/>
    <tableColumn id="2680" xr3:uid="{30CA99D5-30EE-48A4-88D6-E11EF15F5606}" name="Column2680"/>
    <tableColumn id="2681" xr3:uid="{C68E0EE2-52BD-461A-972C-B1A44ACD7B49}" name="Column2681"/>
    <tableColumn id="2682" xr3:uid="{64B8938A-C43D-4E6D-9217-1041E5528D44}" name="Column2682"/>
    <tableColumn id="2683" xr3:uid="{E332CCC6-12F3-4F96-8377-6B91D0A64BF5}" name="Column2683"/>
    <tableColumn id="2684" xr3:uid="{7F816CFD-7FEC-4540-A1D6-2D65E9D32993}" name="Column2684"/>
    <tableColumn id="2685" xr3:uid="{0A4B3C6C-A107-423E-8CA4-9AD2E75995DD}" name="Column2685"/>
    <tableColumn id="2686" xr3:uid="{0EB91F99-34AC-4722-B23D-CE865304C252}" name="Column2686"/>
    <tableColumn id="2687" xr3:uid="{F737B0F6-9172-4D7A-B6B1-6D01D05746E7}" name="Column2687"/>
    <tableColumn id="2688" xr3:uid="{E0B69853-F85D-47E9-B411-0C2A495B7CCD}" name="Column2688"/>
    <tableColumn id="2689" xr3:uid="{2D455A71-82F6-47AC-A459-C7D61448BC77}" name="Column2689"/>
    <tableColumn id="2690" xr3:uid="{968824B2-ECC2-4252-8F93-EBB4F8765F72}" name="Column2690"/>
    <tableColumn id="2691" xr3:uid="{947BE857-5920-4346-A12E-6D2FD99EB380}" name="Column2691"/>
    <tableColumn id="2692" xr3:uid="{F935C615-6166-4961-8AE3-66547E1C5FF7}" name="Column2692"/>
    <tableColumn id="2693" xr3:uid="{813C1D8C-2BB9-4682-B31D-35850A8BE4CA}" name="Column2693"/>
    <tableColumn id="2694" xr3:uid="{350D358D-48CA-4D42-A2D0-A604A4EE3BAE}" name="Column2694"/>
    <tableColumn id="2695" xr3:uid="{897E55EF-D510-4FE9-AFD0-2E1C61F72DAF}" name="Column2695"/>
    <tableColumn id="2696" xr3:uid="{3C34973F-1432-417A-96A8-2248A668BDFD}" name="Column2696"/>
    <tableColumn id="2697" xr3:uid="{D864745A-ACFD-4665-861D-44EA30BEEA32}" name="Column2697"/>
    <tableColumn id="2698" xr3:uid="{0EFCC584-2718-4343-BA2D-05A83D6E3C7C}" name="Column2698"/>
    <tableColumn id="2699" xr3:uid="{01C1A856-CF6A-4776-8A13-368F79A086FF}" name="Column2699"/>
    <tableColumn id="2700" xr3:uid="{1C46910C-5E9C-4804-B1DB-1369D086D42F}" name="Column2700"/>
    <tableColumn id="2701" xr3:uid="{26BDB9AB-C16E-4A07-8562-109C0B800EAB}" name="Column2701"/>
    <tableColumn id="2702" xr3:uid="{07674401-6AF8-436A-A9A1-1A587CA18C25}" name="Column2702"/>
    <tableColumn id="2703" xr3:uid="{4DDD332C-31AC-4562-91FB-040F2860F9D0}" name="Column2703"/>
    <tableColumn id="2704" xr3:uid="{AE65A5A0-1493-4072-B0BB-135C3315C464}" name="Column2704"/>
    <tableColumn id="2705" xr3:uid="{184C388C-F274-45A7-83FA-31E551D2BCB3}" name="Column2705"/>
    <tableColumn id="2706" xr3:uid="{83EFD1A1-443B-4950-9C4A-E07D50AD7C2B}" name="Column2706"/>
    <tableColumn id="2707" xr3:uid="{EB55227A-7E09-411F-9FE1-1AB89E00FFA9}" name="Column2707"/>
    <tableColumn id="2708" xr3:uid="{73E8DB49-ABDF-443B-A384-3E95FF7A80EF}" name="Column2708"/>
    <tableColumn id="2709" xr3:uid="{30A50E6E-9122-4C33-85DA-1DE8CE901EDA}" name="Column2709"/>
    <tableColumn id="2710" xr3:uid="{BC7D9E78-F514-451C-A93E-DF52AA865F86}" name="Column2710"/>
    <tableColumn id="2711" xr3:uid="{80B10EE1-5E23-4B57-BFD0-FF9E90FC280F}" name="Column2711"/>
    <tableColumn id="2712" xr3:uid="{E3CF258C-1EFC-4C61-BDB5-D1C57EDEF3A4}" name="Column2712"/>
    <tableColumn id="2713" xr3:uid="{E276A646-2A81-4C0C-8E9D-0302ED4F0112}" name="Column2713"/>
    <tableColumn id="2714" xr3:uid="{489C1EFD-B1D2-4075-97B9-D6D60A98AC9F}" name="Column2714"/>
    <tableColumn id="2715" xr3:uid="{F0F9BF1C-6D9B-42FE-AA09-4B11A52AFA2C}" name="Column2715"/>
    <tableColumn id="2716" xr3:uid="{742C71A4-531C-4AA9-A339-C8F8A2309193}" name="Column2716"/>
    <tableColumn id="2717" xr3:uid="{A912F329-6AD1-41AB-A5E7-6CC2A9086F84}" name="Column2717"/>
    <tableColumn id="2718" xr3:uid="{82B2C1EF-159B-4126-9279-A7F82438C395}" name="Column2718"/>
    <tableColumn id="2719" xr3:uid="{07DE00A6-578D-460F-9418-8D44E14913E3}" name="Column2719"/>
    <tableColumn id="2720" xr3:uid="{9F4CA5AA-5F6F-414A-BCAC-A2DD208FD66D}" name="Column2720"/>
    <tableColumn id="2721" xr3:uid="{0CA8909B-7ADA-4CFA-88F4-5D99EA8577F9}" name="Column2721"/>
    <tableColumn id="2722" xr3:uid="{DA5505D1-1B06-4DF3-AFE3-1770435AB65E}" name="Column2722"/>
    <tableColumn id="2723" xr3:uid="{A6CA2DEA-AA0B-4772-8291-27E98DD7DAD8}" name="Column2723"/>
    <tableColumn id="2724" xr3:uid="{851EAAB3-CF73-4C04-8F88-B6FAF6B753A1}" name="Column2724"/>
    <tableColumn id="2725" xr3:uid="{5F2A3EED-CA75-4975-8737-77CE26B91E36}" name="Column2725"/>
    <tableColumn id="2726" xr3:uid="{7752CB84-285D-4DC9-8942-4462E95EB3F2}" name="Column2726"/>
    <tableColumn id="2727" xr3:uid="{B704884E-0BCE-4DD5-A79E-893D756DED66}" name="Column2727"/>
    <tableColumn id="2728" xr3:uid="{C4B4FDB8-7FC5-4B16-963B-CD8B9637E1BB}" name="Column2728"/>
    <tableColumn id="2729" xr3:uid="{54B93334-CEDC-4FB4-B05D-611B721FFE1F}" name="Column2729"/>
    <tableColumn id="2730" xr3:uid="{E4248AAE-907D-4A95-BD9A-BE4FF23BAA27}" name="Column2730"/>
    <tableColumn id="2731" xr3:uid="{06CC25C6-31FC-475C-B0D0-71FCCC403087}" name="Column2731"/>
    <tableColumn id="2732" xr3:uid="{6B583E5F-B2CF-48FD-A788-0012D764CEEC}" name="Column2732"/>
    <tableColumn id="2733" xr3:uid="{768DC150-3BD9-47EC-BC67-15317EB6426C}" name="Column2733"/>
    <tableColumn id="2734" xr3:uid="{53A0D376-54C1-4887-AB29-5E98D034982B}" name="Column2734"/>
    <tableColumn id="2735" xr3:uid="{1C4F2D48-53B0-407D-AF7C-DE5A29BE1DA0}" name="Column2735"/>
    <tableColumn id="2736" xr3:uid="{BA49ED6D-E8D4-4046-8798-AC70704CA319}" name="Column2736"/>
    <tableColumn id="2737" xr3:uid="{4C38F4FA-0ABC-4465-BF4F-0C7E38959075}" name="Column2737"/>
    <tableColumn id="2738" xr3:uid="{E5B67CA4-004C-4356-9751-3DD66A8174B5}" name="Column2738"/>
    <tableColumn id="2739" xr3:uid="{068C8D0E-B7D1-4AEE-A187-599CCC3E9159}" name="Column2739"/>
    <tableColumn id="2740" xr3:uid="{E63610A4-18B5-45F9-ABB1-09D704A00604}" name="Column2740"/>
    <tableColumn id="2741" xr3:uid="{3E40565B-25A4-4941-957D-04DEEF45E5CE}" name="Column2741"/>
    <tableColumn id="2742" xr3:uid="{30ABBB02-4C11-4C4C-9D05-C5A1F7FF0C7F}" name="Column2742"/>
    <tableColumn id="2743" xr3:uid="{7C03CF41-13C9-41EE-8D3A-9C03E3DB85E3}" name="Column2743"/>
    <tableColumn id="2744" xr3:uid="{50CDECEA-39ED-4BFC-8619-3659600ADD6A}" name="Column2744"/>
    <tableColumn id="2745" xr3:uid="{6C07113D-23D7-4049-9D6F-7DF11EE6BB48}" name="Column2745"/>
    <tableColumn id="2746" xr3:uid="{56D65550-01B1-49E9-A275-D3440AF55B0E}" name="Column2746"/>
    <tableColumn id="2747" xr3:uid="{D94A0533-D861-4F5B-91BA-1DE029E68BBE}" name="Column2747"/>
    <tableColumn id="2748" xr3:uid="{948518B7-AE5E-4FEF-90DD-BF03962A8114}" name="Column2748"/>
    <tableColumn id="2749" xr3:uid="{BA3B4428-5917-4BAB-B01F-98103AF237D8}" name="Column2749"/>
    <tableColumn id="2750" xr3:uid="{1A32AF89-8983-483B-AA95-7DBC7A71AEB7}" name="Column2750"/>
    <tableColumn id="2751" xr3:uid="{522784CC-4A48-4BB1-80A6-22CF4DEBE14F}" name="Column2751"/>
    <tableColumn id="2752" xr3:uid="{FC981EE7-B763-4C78-809D-9867D1E24251}" name="Column2752"/>
    <tableColumn id="2753" xr3:uid="{E2D0C0A3-2DFC-462A-AC69-0237C197D33A}" name="Column2753"/>
    <tableColumn id="2754" xr3:uid="{213CD9AC-AA46-4375-A3D4-40125A3F9215}" name="Column2754"/>
    <tableColumn id="2755" xr3:uid="{F9C2C57D-B9FF-409D-BDAF-0E5D553D52A8}" name="Column2755"/>
    <tableColumn id="2756" xr3:uid="{F85812F3-D6F8-42F7-8523-BA4388E32380}" name="Column2756"/>
    <tableColumn id="2757" xr3:uid="{4E54EF8B-3112-42FB-A22E-DD3EFC8C987F}" name="Column2757"/>
    <tableColumn id="2758" xr3:uid="{153DC1E8-BEC9-4B9C-AD56-21A3254518B6}" name="Column2758"/>
    <tableColumn id="2759" xr3:uid="{224719A4-0329-451B-9870-1D3A76248AF5}" name="Column2759"/>
    <tableColumn id="2760" xr3:uid="{DD0E7781-A88B-4810-8500-4BFC3C1A2A69}" name="Column2760"/>
    <tableColumn id="2761" xr3:uid="{C49CED24-431E-4E71-8A3B-C302AB900B92}" name="Column2761"/>
    <tableColumn id="2762" xr3:uid="{BBA1F8CC-1BD2-4846-8DF0-73B142994B9F}" name="Column2762"/>
    <tableColumn id="2763" xr3:uid="{09BCD5B5-319F-4806-AC62-5120431B0FD8}" name="Column2763"/>
    <tableColumn id="2764" xr3:uid="{A392EFB0-BFFE-4FF8-A2DE-C822686016A8}" name="Column2764"/>
    <tableColumn id="2765" xr3:uid="{AA4AFAF1-7911-4CE2-B9E7-15513D98B8F1}" name="Column2765"/>
    <tableColumn id="2766" xr3:uid="{60E86E0F-AAC0-4304-BB0B-0BD2A538DDC8}" name="Column2766"/>
    <tableColumn id="2767" xr3:uid="{40C59DD7-BE69-4EB6-A74C-D31BF697DF65}" name="Column2767"/>
    <tableColumn id="2768" xr3:uid="{0E6EA7A1-29BD-40DD-911B-4B7A4C48FD55}" name="Column2768"/>
    <tableColumn id="2769" xr3:uid="{735B44EF-6FCB-41C7-92A3-F750E70A5238}" name="Column2769"/>
    <tableColumn id="2770" xr3:uid="{9CBF93B7-FA0E-4BF0-B927-77A4C42E17D9}" name="Column2770"/>
    <tableColumn id="2771" xr3:uid="{E8932D6D-6A96-4DDE-B372-6F4DBFF915F5}" name="Column2771"/>
    <tableColumn id="2772" xr3:uid="{B62EDD6B-FE36-482A-A022-4AFBE57D4F99}" name="Column2772"/>
    <tableColumn id="2773" xr3:uid="{D60B9EF0-7774-4A29-8A5E-CA58544DE4BA}" name="Column2773"/>
    <tableColumn id="2774" xr3:uid="{F3F3A01A-3D87-4E08-BBE5-AB25A751AC8C}" name="Column2774"/>
    <tableColumn id="2775" xr3:uid="{DBAF0841-9290-400D-86B6-649CF517CE38}" name="Column2775"/>
    <tableColumn id="2776" xr3:uid="{90D62337-EB86-46F6-BBB8-B36ADBC11ED3}" name="Column2776"/>
    <tableColumn id="2777" xr3:uid="{13658707-7ED4-4AFA-9455-28D609233E80}" name="Column2777"/>
    <tableColumn id="2778" xr3:uid="{2D41C65C-39CE-41AA-9392-EDB895F8B327}" name="Column2778"/>
    <tableColumn id="2779" xr3:uid="{23FE40AE-5D93-4972-A7E3-AE30F20C9BCA}" name="Column2779"/>
    <tableColumn id="2780" xr3:uid="{3A43CDF3-A3A8-4A29-9487-A893194FB96D}" name="Column2780"/>
    <tableColumn id="2781" xr3:uid="{4CE26E05-BA89-4F0D-A7F1-029E582CCF7D}" name="Column2781"/>
    <tableColumn id="2782" xr3:uid="{9057BE6A-06D3-4B6D-B5FB-1B4BE76DFB49}" name="Column2782"/>
    <tableColumn id="2783" xr3:uid="{66AD0ADE-03FB-442D-84B1-BB8B6A10527E}" name="Column2783"/>
    <tableColumn id="2784" xr3:uid="{0E11F810-D149-4838-8075-2AC33B7EF6B0}" name="Column2784"/>
    <tableColumn id="2785" xr3:uid="{6C2D7FBD-4219-4AB5-A2EC-9AE581F07CD3}" name="Column2785"/>
    <tableColumn id="2786" xr3:uid="{FFCF0761-6091-43D4-914F-099C60197A52}" name="Column2786"/>
    <tableColumn id="2787" xr3:uid="{07678343-5E2F-4E45-BF86-4C22A4B33F53}" name="Column2787"/>
    <tableColumn id="2788" xr3:uid="{060EDBD0-D51B-4453-8EAD-EDFBE2B177A6}" name="Column2788"/>
    <tableColumn id="2789" xr3:uid="{8B43B9C5-C8FE-4C05-830A-5008816F6B46}" name="Column2789"/>
    <tableColumn id="2790" xr3:uid="{863BE71D-E942-41DB-83A0-6E21A603E68C}" name="Column2790"/>
    <tableColumn id="2791" xr3:uid="{B30EA0A1-B3B6-4C61-8179-BC2CD5ACE8FB}" name="Column2791"/>
    <tableColumn id="2792" xr3:uid="{7B0FE193-838F-4DB9-AFE5-54580F78F74D}" name="Column2792"/>
    <tableColumn id="2793" xr3:uid="{4ECACBE6-CFA8-4AA8-A71E-C65074AEBB4F}" name="Column2793"/>
    <tableColumn id="2794" xr3:uid="{E321F575-2DF0-45AF-B0C0-354278473045}" name="Column2794"/>
    <tableColumn id="2795" xr3:uid="{652610B1-1C93-480B-B6F1-6BFF2A46137F}" name="Column2795"/>
    <tableColumn id="2796" xr3:uid="{83643355-2D8C-4985-88AD-B9FC35D58C9E}" name="Column2796"/>
    <tableColumn id="2797" xr3:uid="{5C778EBC-0544-44B4-89EB-12D9E0EED45D}" name="Column2797"/>
    <tableColumn id="2798" xr3:uid="{6013F3DD-A5FF-4873-8654-52B5588013C6}" name="Column2798"/>
    <tableColumn id="2799" xr3:uid="{EEAD117C-0659-46C1-878B-527F51D5BD81}" name="Column2799"/>
    <tableColumn id="2800" xr3:uid="{58E9FF28-F5B8-48AA-952C-CFD5266902B2}" name="Column2800"/>
    <tableColumn id="2801" xr3:uid="{BA195126-E761-4B2A-B9E6-950B9424576D}" name="Column2801"/>
    <tableColumn id="2802" xr3:uid="{9414C167-A4C7-4061-BC1C-AC53D5CB499D}" name="Column2802"/>
    <tableColumn id="2803" xr3:uid="{57AAB139-7D3C-44F1-917E-77FCEC37B2CA}" name="Column2803"/>
    <tableColumn id="2804" xr3:uid="{ACACE1CB-E4B8-4487-B09D-E18635E4507A}" name="Column2804"/>
    <tableColumn id="2805" xr3:uid="{1FC4418A-023F-4031-97BA-456C87F9B4CC}" name="Column2805"/>
    <tableColumn id="2806" xr3:uid="{F3D7C856-B12B-43D4-BEF4-E3849A9E172B}" name="Column2806"/>
    <tableColumn id="2807" xr3:uid="{471547A0-525B-47B4-9EE5-74F3771DB5A0}" name="Column2807"/>
    <tableColumn id="2808" xr3:uid="{D8A20CA6-67D8-49A7-8E17-5A86DE801645}" name="Column2808"/>
    <tableColumn id="2809" xr3:uid="{22A7D167-27BA-4C85-84F7-08B55C83E899}" name="Column2809"/>
    <tableColumn id="2810" xr3:uid="{6581A6A9-68D7-48A5-B6EB-6D40E62E0397}" name="Column2810"/>
    <tableColumn id="2811" xr3:uid="{CC6F3C5E-17A1-4033-9EE7-C6DD81A64252}" name="Column2811"/>
    <tableColumn id="2812" xr3:uid="{5EEF8E3A-A2F6-4AAA-8E70-3B3A49898DC1}" name="Column2812"/>
    <tableColumn id="2813" xr3:uid="{7558E47F-0227-4A20-89CD-2A5848F986B2}" name="Column2813"/>
    <tableColumn id="2814" xr3:uid="{28D07C8A-6EDD-49CE-B000-435ACCA81B38}" name="Column2814"/>
    <tableColumn id="2815" xr3:uid="{6D2D6F86-E166-4F54-8C91-2E1FDC5410C5}" name="Column2815"/>
    <tableColumn id="2816" xr3:uid="{5658F7BC-7CA6-426E-9890-C867BFE15632}" name="Column2816"/>
    <tableColumn id="2817" xr3:uid="{1ACD8E00-C0A8-41F7-BDC3-2B4483053964}" name="Column2817"/>
    <tableColumn id="2818" xr3:uid="{9AA9E3F1-44C6-4502-BFBC-360701F4839E}" name="Column2818"/>
    <tableColumn id="2819" xr3:uid="{A068FA34-E8A2-435C-969C-2CF168DD0B77}" name="Column2819"/>
    <tableColumn id="2820" xr3:uid="{779F837F-1E25-4BB7-87E6-035F6809CC3A}" name="Column2820"/>
    <tableColumn id="2821" xr3:uid="{44040066-C6BB-477D-B2C0-DFA10C2A5DDA}" name="Column2821"/>
    <tableColumn id="2822" xr3:uid="{B85C23E3-E242-45FA-975E-C98345C10BE2}" name="Column2822"/>
    <tableColumn id="2823" xr3:uid="{86FEB7AB-1274-471A-98CB-2E29130202D1}" name="Column2823"/>
    <tableColumn id="2824" xr3:uid="{54B43295-A17A-4E1B-8B64-08715F5F6070}" name="Column2824"/>
    <tableColumn id="2825" xr3:uid="{B37D13E5-C7B5-4C92-A8C0-17BE2A3FAD0A}" name="Column2825"/>
    <tableColumn id="2826" xr3:uid="{EEF457AD-F55C-4282-B14D-528CE144638A}" name="Column2826"/>
    <tableColumn id="2827" xr3:uid="{52F20435-DD1B-49D5-BD3E-2A9A5268372C}" name="Column2827"/>
    <tableColumn id="2828" xr3:uid="{75A5EB7A-575F-4557-8157-41507D209BC8}" name="Column2828"/>
    <tableColumn id="2829" xr3:uid="{12072C5D-ECD8-4595-819F-8894E879B730}" name="Column2829"/>
    <tableColumn id="2830" xr3:uid="{298E5730-6885-4537-BA71-018C304F54BB}" name="Column2830"/>
    <tableColumn id="2831" xr3:uid="{A2837B4D-2918-4389-8B26-0C1C2B6697D3}" name="Column2831"/>
    <tableColumn id="2832" xr3:uid="{0BAC6B13-A9CB-4E42-B864-435ED29E8157}" name="Column2832"/>
    <tableColumn id="2833" xr3:uid="{4AB06F24-A8BF-4AE7-9540-34B6995579D9}" name="Column2833"/>
    <tableColumn id="2834" xr3:uid="{A6E60BF0-6C1B-4872-A085-CFD721F1E9FC}" name="Column2834"/>
    <tableColumn id="2835" xr3:uid="{39762652-1D6A-4C0B-9C5C-1D46D07AC2BE}" name="Column2835"/>
    <tableColumn id="2836" xr3:uid="{77D12128-C198-4531-B364-7AA1A1B707ED}" name="Column2836"/>
    <tableColumn id="2837" xr3:uid="{8F63BF35-6266-4A92-9BD6-3421E0547A55}" name="Column2837"/>
    <tableColumn id="2838" xr3:uid="{CF712A62-E794-4832-BA89-8FB9FB86480F}" name="Column2838"/>
    <tableColumn id="2839" xr3:uid="{1EC8C671-54B6-497C-8AB1-D8B9AEC70355}" name="Column2839"/>
    <tableColumn id="2840" xr3:uid="{B9547563-CD07-45B9-92CB-84699B49F148}" name="Column2840"/>
    <tableColumn id="2841" xr3:uid="{DCA3A9D6-576E-4218-982D-894A9B10D9B3}" name="Column2841"/>
    <tableColumn id="2842" xr3:uid="{D4E27E1D-EB35-4179-844C-85335E617703}" name="Column2842"/>
    <tableColumn id="2843" xr3:uid="{9A0CC834-3579-48EB-B8A9-862FF2C0B019}" name="Column2843"/>
    <tableColumn id="2844" xr3:uid="{82F05A7B-F383-4D54-9655-64728173FE31}" name="Column2844"/>
    <tableColumn id="2845" xr3:uid="{3E9E8D97-80A9-4346-9633-5ACAC290E222}" name="Column2845"/>
    <tableColumn id="2846" xr3:uid="{F1CED9EB-4FC5-48DB-8682-E4819B7D7A81}" name="Column2846"/>
    <tableColumn id="2847" xr3:uid="{28F7D948-743D-4519-8DB3-71FD629DA63A}" name="Column2847"/>
    <tableColumn id="2848" xr3:uid="{9955C435-7AA3-4C41-B053-1B4EA1CCF710}" name="Column2848"/>
    <tableColumn id="2849" xr3:uid="{019AC8B1-55C0-4E69-8E54-51F86FA93412}" name="Column2849"/>
    <tableColumn id="2850" xr3:uid="{A6840B44-B80A-4D33-B377-42986B0F78E4}" name="Column2850"/>
    <tableColumn id="2851" xr3:uid="{32539F0A-3FFE-4419-AB4D-423DA6856CDA}" name="Column2851"/>
    <tableColumn id="2852" xr3:uid="{BA584E6D-F537-4B9E-ACC8-4EA36CCB796C}" name="Column2852"/>
    <tableColumn id="2853" xr3:uid="{86359E1A-F110-4D1C-8150-7D2DF828FE7F}" name="Column2853"/>
    <tableColumn id="2854" xr3:uid="{4C832534-C016-45CB-9788-213A443453A5}" name="Column2854"/>
    <tableColumn id="2855" xr3:uid="{B22BE00C-F6DD-45BB-A298-2B2BEBA8965D}" name="Column2855"/>
    <tableColumn id="2856" xr3:uid="{D1632700-454B-4CF6-802E-E1D1BEA68784}" name="Column2856"/>
    <tableColumn id="2857" xr3:uid="{BD0632A6-FB6B-4AFD-8472-0C57EA9A9B55}" name="Column2857"/>
    <tableColumn id="2858" xr3:uid="{4B36B048-C320-4FA8-B8F8-31AED23ACBDA}" name="Column2858"/>
    <tableColumn id="2859" xr3:uid="{B0FA3D1D-255E-4244-81C5-F1D3C06E2F5E}" name="Column2859"/>
    <tableColumn id="2860" xr3:uid="{28EDB8AE-C907-4E1B-AB51-8478684E1E10}" name="Column2860"/>
    <tableColumn id="2861" xr3:uid="{83D00900-CB09-4083-AA7F-546F938A7014}" name="Column2861"/>
    <tableColumn id="2862" xr3:uid="{F220EE3C-C400-4C02-B4D8-7993B926DC51}" name="Column2862"/>
    <tableColumn id="2863" xr3:uid="{3154808E-CC68-45C3-B719-073FBCF6C2DF}" name="Column2863"/>
    <tableColumn id="2864" xr3:uid="{50044EB0-96FD-48EC-9763-6F385DE9EC27}" name="Column2864"/>
    <tableColumn id="2865" xr3:uid="{1F55EDF5-47FA-4C07-94BA-B0B8A2881A57}" name="Column2865"/>
    <tableColumn id="2866" xr3:uid="{C5971020-3A26-466E-BEBD-07E18259A644}" name="Column2866"/>
    <tableColumn id="2867" xr3:uid="{9B81B26C-54F2-497E-926C-240FC698D4EC}" name="Column2867"/>
    <tableColumn id="2868" xr3:uid="{94CF8A0C-E5D2-4F2B-BC49-DE2A9F5418A9}" name="Column2868"/>
    <tableColumn id="2869" xr3:uid="{BE3E272A-C899-40E8-8C50-67F90ABE8A67}" name="Column2869"/>
    <tableColumn id="2870" xr3:uid="{346726E8-229B-4319-A03C-542094933555}" name="Column2870"/>
    <tableColumn id="2871" xr3:uid="{E2C8D749-CA10-438F-B7AC-C8B19A0FF56D}" name="Column2871"/>
    <tableColumn id="2872" xr3:uid="{CF002146-4995-4CB3-B6C8-B2BD17EA9C30}" name="Column2872"/>
    <tableColumn id="2873" xr3:uid="{D538D835-965D-4A50-AE6A-BBA9DDE719E7}" name="Column2873"/>
    <tableColumn id="2874" xr3:uid="{A96E6D2B-BBAC-41BF-A02F-6C19D07EA9D3}" name="Column2874"/>
    <tableColumn id="2875" xr3:uid="{3A199751-DD0E-44D7-A4E4-AFB1125F385F}" name="Column2875"/>
    <tableColumn id="2876" xr3:uid="{1EF3FF67-1CCA-4212-ABA8-3BD7C880BF43}" name="Column2876"/>
    <tableColumn id="2877" xr3:uid="{019EFDC9-009E-4338-B785-43FE7FE70F08}" name="Column2877"/>
    <tableColumn id="2878" xr3:uid="{6EF7B471-51EE-4508-AA67-A72B6DFCDB00}" name="Column2878"/>
    <tableColumn id="2879" xr3:uid="{A8A6A758-46DC-4844-9959-C1A7D237C6CD}" name="Column2879"/>
    <tableColumn id="2880" xr3:uid="{7E3B9C7F-470D-4B3C-9EBE-1F72FFC09995}" name="Column2880"/>
    <tableColumn id="2881" xr3:uid="{8C5F1C68-11D6-4E5F-9366-35C3ADBACDFE}" name="Column2881"/>
    <tableColumn id="2882" xr3:uid="{96B45710-0F2E-410F-A589-F04BF3DCC76D}" name="Column2882"/>
    <tableColumn id="2883" xr3:uid="{8B92A1BA-57A3-4E87-B940-01F36FEF3558}" name="Column2883"/>
    <tableColumn id="2884" xr3:uid="{1E195210-17AA-4849-A0CF-36CD8E9D0D6F}" name="Column2884"/>
    <tableColumn id="2885" xr3:uid="{C9AA5540-F39B-4A03-AD2D-27666BB338A8}" name="Column2885"/>
    <tableColumn id="2886" xr3:uid="{FF71AC34-7FE0-47D3-8AE3-5D0835324198}" name="Column2886"/>
    <tableColumn id="2887" xr3:uid="{3840E8CE-0B51-4522-A3E3-4355D1E1B733}" name="Column2887"/>
    <tableColumn id="2888" xr3:uid="{A8C54A7C-1656-4D41-AC69-E0AA2B0B5C2B}" name="Column2888"/>
    <tableColumn id="2889" xr3:uid="{2E47E058-D56D-413B-8034-8EAE84F79854}" name="Column2889"/>
    <tableColumn id="2890" xr3:uid="{170BF821-60FB-4C0A-ACCF-A80A689A0471}" name="Column2890"/>
    <tableColumn id="2891" xr3:uid="{C1FAED1B-FFF7-4D52-B5B8-D1BF4A07451C}" name="Column2891"/>
    <tableColumn id="2892" xr3:uid="{ECE6F9A2-55A8-4E67-A6ED-559EC2489631}" name="Column2892"/>
    <tableColumn id="2893" xr3:uid="{5CD34342-90EC-485F-B6D2-6F6346F71377}" name="Column2893"/>
    <tableColumn id="2894" xr3:uid="{0B6F9A09-1EBB-4AD5-96B9-031C1A41AE26}" name="Column2894"/>
    <tableColumn id="2895" xr3:uid="{9D49ED98-BD53-466D-9789-55DF43D50747}" name="Column2895"/>
    <tableColumn id="2896" xr3:uid="{2D5E4437-4B05-4695-88B7-097590BEDF88}" name="Column2896"/>
    <tableColumn id="2897" xr3:uid="{FD9C97B9-4ABF-45A3-BC08-5A37F8400C4B}" name="Column2897"/>
    <tableColumn id="2898" xr3:uid="{763EC526-42EB-4D11-AF97-C6635FB92FCC}" name="Column2898"/>
    <tableColumn id="2899" xr3:uid="{D06344AB-DB76-47CF-A2A2-BE5823EC0680}" name="Column2899"/>
    <tableColumn id="2900" xr3:uid="{7E2AB968-D7DD-4CA1-8C72-1CDB17F9BABD}" name="Column2900"/>
    <tableColumn id="2901" xr3:uid="{B14B07A5-C165-4307-BD6C-AD559AE5575B}" name="Column2901"/>
    <tableColumn id="2902" xr3:uid="{BE98151D-0049-4E1D-B54D-7C158C355401}" name="Column2902"/>
    <tableColumn id="2903" xr3:uid="{D064CB2D-256B-4F39-A2DE-487333B83EF1}" name="Column2903"/>
    <tableColumn id="2904" xr3:uid="{35D0EB89-746E-4D7D-A91B-2D921528D09D}" name="Column2904"/>
    <tableColumn id="2905" xr3:uid="{B69AAC0C-859B-42CB-843D-2770B5C21521}" name="Column2905"/>
    <tableColumn id="2906" xr3:uid="{8E3ADC8A-DF41-46F2-9575-A1EA44102723}" name="Column2906"/>
    <tableColumn id="2907" xr3:uid="{31F8F2A3-7E6D-45C3-AB3A-3BF6822AAE9D}" name="Column2907"/>
    <tableColumn id="2908" xr3:uid="{D93D65FA-91E8-40E4-AAD4-5F706891D92A}" name="Column2908"/>
    <tableColumn id="2909" xr3:uid="{B3840AC5-6EE8-4A41-9676-C16736C4019D}" name="Column2909"/>
    <tableColumn id="2910" xr3:uid="{ADA7AA5F-3512-4B9B-8C50-6B3AD72AE166}" name="Column2910"/>
    <tableColumn id="2911" xr3:uid="{DC1AD01F-3766-4E72-A1E7-74B5729A60A1}" name="Column2911"/>
    <tableColumn id="2912" xr3:uid="{E548D0A8-E671-47D6-9616-37E9E51A1865}" name="Column2912"/>
    <tableColumn id="2913" xr3:uid="{9157B51A-014B-48C8-A637-D02F7108CCA2}" name="Column2913"/>
    <tableColumn id="2914" xr3:uid="{6C668DC0-DDC3-48D4-932B-DCCF425048EF}" name="Column2914"/>
    <tableColumn id="2915" xr3:uid="{AF2BA86F-0EB3-46A7-B115-E71BEDD9E577}" name="Column2915"/>
    <tableColumn id="2916" xr3:uid="{0181169C-E84B-4161-8634-E50B05C53C7A}" name="Column2916"/>
    <tableColumn id="2917" xr3:uid="{B35880F0-C77A-4440-B510-CCADD71D2304}" name="Column2917"/>
    <tableColumn id="2918" xr3:uid="{4D597E75-BD8F-40FD-9EBC-12080E902DC6}" name="Column2918"/>
    <tableColumn id="2919" xr3:uid="{349D19D3-FB39-4003-A5C7-2253E909F07A}" name="Column2919"/>
    <tableColumn id="2920" xr3:uid="{72D568F4-7A83-46A9-A2B6-F1FE581FA7CE}" name="Column2920"/>
    <tableColumn id="2921" xr3:uid="{38BA4B01-6B06-46A4-8116-AFA40AE88B85}" name="Column2921"/>
    <tableColumn id="2922" xr3:uid="{E55256DD-B6B0-4FD9-956B-B7842AB71B23}" name="Column2922"/>
    <tableColumn id="2923" xr3:uid="{65BD23CC-ADF6-43A4-B023-2F6C7720DA46}" name="Column2923"/>
    <tableColumn id="2924" xr3:uid="{CB888E8E-26F3-4A75-B8BA-03E8B652FD6D}" name="Column2924"/>
    <tableColumn id="2925" xr3:uid="{EB8B1B5B-158F-4661-80FB-D5372CED235D}" name="Column2925"/>
    <tableColumn id="2926" xr3:uid="{E7003CEA-8068-4A12-B46C-8F667AB63ADD}" name="Column2926"/>
    <tableColumn id="2927" xr3:uid="{F620F8B9-3BCD-4E60-868B-1B2F0F898F5E}" name="Column2927"/>
    <tableColumn id="2928" xr3:uid="{67B01003-8EDA-4B1D-B752-4AF629CBC7BB}" name="Column2928"/>
    <tableColumn id="2929" xr3:uid="{566AE303-B6A7-4CDE-89FB-D78D3F18379F}" name="Column2929"/>
    <tableColumn id="2930" xr3:uid="{7FB8585D-C6C6-4CA4-A561-BB039CC2E571}" name="Column2930"/>
    <tableColumn id="2931" xr3:uid="{6C107259-9467-402B-B462-5CAEB8271B94}" name="Column2931"/>
    <tableColumn id="2932" xr3:uid="{8D50C199-BBE8-4DE6-AA65-FF38CB13A8BE}" name="Column2932"/>
    <tableColumn id="2933" xr3:uid="{41FA7A62-2A83-4A36-8E7A-B0DD0E38E3D4}" name="Column2933"/>
    <tableColumn id="2934" xr3:uid="{9B333C76-58CE-4802-AFD9-317505D0B897}" name="Column2934"/>
    <tableColumn id="2935" xr3:uid="{00316C0F-70F1-4816-AFCF-6D8E44BE63F7}" name="Column2935"/>
    <tableColumn id="2936" xr3:uid="{94D88C8C-0B61-42C9-9440-6BFFF0280B67}" name="Column2936"/>
    <tableColumn id="2937" xr3:uid="{5E77FC27-F24A-4BE0-84BD-CD80D9AB00A0}" name="Column2937"/>
    <tableColumn id="2938" xr3:uid="{F4CE22AA-B917-4E72-ACE0-811B2C2A0469}" name="Column2938"/>
    <tableColumn id="2939" xr3:uid="{B0C0B4DE-0BE4-4C0E-A58B-BA425FF8E7AB}" name="Column2939"/>
    <tableColumn id="2940" xr3:uid="{FDD37C1A-E4E9-4F96-AB67-718392CB755A}" name="Column2940"/>
    <tableColumn id="2941" xr3:uid="{52313A4A-13D1-42B1-ADC5-BB347D65BF7F}" name="Column2941"/>
    <tableColumn id="2942" xr3:uid="{7357494A-D3FC-45E6-AB4D-B501F571B7A8}" name="Column2942"/>
    <tableColumn id="2943" xr3:uid="{A16C8908-E289-4B7E-9FC2-8C71CFE2C988}" name="Column2943"/>
    <tableColumn id="2944" xr3:uid="{8781B6B4-7B10-4D6E-8D62-8664AB0B8F8B}" name="Column2944"/>
    <tableColumn id="2945" xr3:uid="{EB075972-44D6-4271-95CB-F6915C5DA585}" name="Column2945"/>
    <tableColumn id="2946" xr3:uid="{893077AB-92D9-4DA8-BAB9-21E209E3A118}" name="Column2946"/>
    <tableColumn id="2947" xr3:uid="{39055820-83E7-42F7-833F-5F9622AF1A76}" name="Column2947"/>
    <tableColumn id="2948" xr3:uid="{67EE84DF-E7D9-42BC-975A-B0812CA885B7}" name="Column2948"/>
    <tableColumn id="2949" xr3:uid="{DC01578E-33D1-48A5-BC1D-1FD04794B6DA}" name="Column2949"/>
    <tableColumn id="2950" xr3:uid="{F43616BD-30E9-4206-8940-6FD81FD724ED}" name="Column2950"/>
    <tableColumn id="2951" xr3:uid="{17FEA7F4-FAF9-45B1-9040-C9B77E3DEE8B}" name="Column2951"/>
    <tableColumn id="2952" xr3:uid="{E1E67B18-ED96-4B2F-9FC8-052678B1765C}" name="Column2952"/>
    <tableColumn id="2953" xr3:uid="{07CF8C12-F24F-4208-90AC-940DD4360663}" name="Column2953"/>
    <tableColumn id="2954" xr3:uid="{43709BD8-C3C3-4726-B859-F4F9CDC7EA6A}" name="Column2954"/>
    <tableColumn id="2955" xr3:uid="{C79A7355-C007-4C3B-9AA8-71EB9EBFE07E}" name="Column2955"/>
    <tableColumn id="2956" xr3:uid="{A1F848D6-9054-4329-886D-034AFCFCF134}" name="Column2956"/>
    <tableColumn id="2957" xr3:uid="{274B74C6-E6F0-403C-91C9-6C436CC3EB95}" name="Column2957"/>
    <tableColumn id="2958" xr3:uid="{C4BD7266-F171-4F48-BC7E-250FF3B1D40A}" name="Column2958"/>
    <tableColumn id="2959" xr3:uid="{9674B027-924B-49BF-956E-0BAEAFD71CAA}" name="Column2959"/>
    <tableColumn id="2960" xr3:uid="{2C0EC88F-436F-4023-88B6-1D85D99BCDF8}" name="Column2960"/>
    <tableColumn id="2961" xr3:uid="{E7A39983-CD1C-44CF-8332-472CABB499FB}" name="Column2961"/>
    <tableColumn id="2962" xr3:uid="{6ADA3D15-655A-4F80-8AA2-77906F3F89BA}" name="Column2962"/>
    <tableColumn id="2963" xr3:uid="{36D7CD48-4218-42EE-8346-C26AF3191F92}" name="Column2963"/>
    <tableColumn id="2964" xr3:uid="{C3CB8396-5F88-4CEC-83C4-A8B5BA72624A}" name="Column2964"/>
    <tableColumn id="2965" xr3:uid="{16A859F9-A00E-4CF1-9949-BAD4738D5986}" name="Column2965"/>
    <tableColumn id="2966" xr3:uid="{87D1B5AC-B31E-46F5-906F-DF58755635D4}" name="Column2966"/>
    <tableColumn id="2967" xr3:uid="{B8D99AF2-3944-4426-B258-84B94B7372C4}" name="Column2967"/>
    <tableColumn id="2968" xr3:uid="{CDB2A900-148E-49FA-9C31-CA9D7E9AA8B3}" name="Column2968"/>
    <tableColumn id="2969" xr3:uid="{A373F4F3-5A55-4EAB-8A0F-8449665702EC}" name="Column2969"/>
    <tableColumn id="2970" xr3:uid="{CFB5D0CF-5EA3-4FA8-B493-DA70B9F56B75}" name="Column2970"/>
    <tableColumn id="2971" xr3:uid="{849E6857-A732-41FF-BF81-6897A8CAFAF1}" name="Column2971"/>
    <tableColumn id="2972" xr3:uid="{87624F05-0EF6-4133-A570-7B6D26E49875}" name="Column2972"/>
    <tableColumn id="2973" xr3:uid="{ED4ADCC0-AB8E-44AE-B5AC-0B9723A4B49B}" name="Column2973"/>
    <tableColumn id="2974" xr3:uid="{4FEEB494-0E8D-4BFB-BA00-A1E611726A88}" name="Column2974"/>
    <tableColumn id="2975" xr3:uid="{55CEA4D0-7249-4A54-B4F3-CE7AB03469E7}" name="Column2975"/>
    <tableColumn id="2976" xr3:uid="{A152D11B-7D51-49E4-B6A4-B3D1789D77F1}" name="Column2976"/>
    <tableColumn id="2977" xr3:uid="{43BDF53A-F1AB-42D7-A37C-A375EC811E41}" name="Column2977"/>
    <tableColumn id="2978" xr3:uid="{7F990AD2-642C-4CF7-AAFE-EB087083EC70}" name="Column2978"/>
    <tableColumn id="2979" xr3:uid="{81074AFE-05F3-4347-AE6D-AA49F31B6ADF}" name="Column2979"/>
    <tableColumn id="2980" xr3:uid="{AF677532-4F66-42B6-8DC4-1E9CE7D84570}" name="Column2980"/>
    <tableColumn id="2981" xr3:uid="{FA09FD0E-31B1-4EF8-98E0-8E9731997585}" name="Column2981"/>
    <tableColumn id="2982" xr3:uid="{78A01827-1E5F-49EB-933D-8287C50B23F1}" name="Column2982"/>
    <tableColumn id="2983" xr3:uid="{18EF1962-CD32-458D-BB12-825BD6528E4A}" name="Column2983"/>
    <tableColumn id="2984" xr3:uid="{D6906CEB-7D1C-4B23-A42B-900BD647CE74}" name="Column2984"/>
    <tableColumn id="2985" xr3:uid="{E2E027C7-0A05-4431-82BC-F2CA08F363D0}" name="Column2985"/>
    <tableColumn id="2986" xr3:uid="{175E8861-FA1B-4181-8A55-CE3E234710CA}" name="Column2986"/>
    <tableColumn id="2987" xr3:uid="{BCDA6C30-C150-4708-8376-CF53E2221388}" name="Column2987"/>
    <tableColumn id="2988" xr3:uid="{D1845266-77CA-4877-84CE-8E2A76BA2D40}" name="Column2988"/>
    <tableColumn id="2989" xr3:uid="{50410FB9-9628-4060-B214-217785154B2D}" name="Column2989"/>
    <tableColumn id="2990" xr3:uid="{C2DBF8AD-75A0-41AB-8E8D-55BF66A7F83D}" name="Column2990"/>
    <tableColumn id="2991" xr3:uid="{0709A253-A51B-41EA-AD96-5492C7A7A5ED}" name="Column2991"/>
    <tableColumn id="2992" xr3:uid="{B6AC5FBC-D993-4785-8FA2-EA816C2BD0FC}" name="Column2992"/>
    <tableColumn id="2993" xr3:uid="{608300E8-9BB6-42BA-8E93-D71D7ACF4063}" name="Column2993"/>
    <tableColumn id="2994" xr3:uid="{E42B50CB-8739-4BBC-BBF8-5610AF37D48C}" name="Column2994"/>
    <tableColumn id="2995" xr3:uid="{AD74DDD5-D38D-4F6B-880B-BB15A16AD983}" name="Column2995"/>
    <tableColumn id="2996" xr3:uid="{652674FD-3003-42A4-92F5-85C3F26541A5}" name="Column2996"/>
    <tableColumn id="2997" xr3:uid="{D55DEC5C-8850-4F37-8D89-E80EB5E2B518}" name="Column2997"/>
    <tableColumn id="2998" xr3:uid="{B9C9A516-872E-4FAF-9B75-4BF1468876ED}" name="Column2998"/>
    <tableColumn id="2999" xr3:uid="{D1A94FB4-F706-4415-A083-1487BADAD461}" name="Column2999"/>
    <tableColumn id="3000" xr3:uid="{1BF6D264-DEDE-4082-B221-6DCCE1B2461D}" name="Column3000"/>
    <tableColumn id="3001" xr3:uid="{B9E5538D-7CE4-4C0F-B573-EE656E424E8B}" name="Column3001"/>
    <tableColumn id="3002" xr3:uid="{52915CCF-BDAD-46C8-8479-74EAB0D97930}" name="Column3002"/>
    <tableColumn id="3003" xr3:uid="{F841E4BA-677C-4C1C-B6A4-FC1511D98F73}" name="Column3003"/>
    <tableColumn id="3004" xr3:uid="{861DDB15-EFB9-4F93-9DCE-41DE956A54D6}" name="Column3004"/>
    <tableColumn id="3005" xr3:uid="{1FFE9F97-4679-4AD1-AFB8-CB9FCC478FDF}" name="Column3005"/>
    <tableColumn id="3006" xr3:uid="{D805B039-6339-4256-A31D-57C9746A0A35}" name="Column3006"/>
    <tableColumn id="3007" xr3:uid="{5535EE29-436C-4F65-98DC-A14FC2CA69BF}" name="Column3007"/>
    <tableColumn id="3008" xr3:uid="{CB398EF1-CD57-4F5F-A1F8-2BF605A97E5B}" name="Column3008"/>
    <tableColumn id="3009" xr3:uid="{8D1ECBCB-D6C6-4157-ACF9-F040F7A8F9ED}" name="Column3009"/>
    <tableColumn id="3010" xr3:uid="{12AFCD6E-8FAA-4646-AD72-9D7372600EC6}" name="Column3010"/>
    <tableColumn id="3011" xr3:uid="{7A3EBD38-3926-42C8-AE1B-58237394456B}" name="Column3011"/>
    <tableColumn id="3012" xr3:uid="{E3C8F9DF-70D1-4025-AEB4-025A7DAD54CD}" name="Column3012"/>
    <tableColumn id="3013" xr3:uid="{5EBFE89F-A61E-4585-9978-CFE13B615590}" name="Column3013"/>
    <tableColumn id="3014" xr3:uid="{EC2386CD-1F2F-4BB8-9B16-932AD57EDA34}" name="Column3014"/>
    <tableColumn id="3015" xr3:uid="{CE3C0CD1-3D72-4A86-9AFF-E802A8802569}" name="Column3015"/>
    <tableColumn id="3016" xr3:uid="{FC3BD1E4-26AC-419D-A633-DB3484C57311}" name="Column3016"/>
    <tableColumn id="3017" xr3:uid="{29A70396-4C84-401D-BFB0-966CCCDF1F7F}" name="Column3017"/>
    <tableColumn id="3018" xr3:uid="{873A97EC-8FD2-4B06-AE4F-A7AE226BA932}" name="Column3018"/>
    <tableColumn id="3019" xr3:uid="{74677870-B5E3-4D4E-93B1-50D837835FC6}" name="Column3019"/>
    <tableColumn id="3020" xr3:uid="{78BAB207-437B-42B1-BF18-542D825A9782}" name="Column3020"/>
    <tableColumn id="3021" xr3:uid="{AB77F422-6465-4E6D-9790-A56F020876C7}" name="Column3021"/>
    <tableColumn id="3022" xr3:uid="{66094897-DF00-4572-A5DA-C96A4D3C7E0B}" name="Column3022"/>
    <tableColumn id="3023" xr3:uid="{B122A248-1A70-4C75-81A6-EC9DC20E7AE2}" name="Column3023"/>
    <tableColumn id="3024" xr3:uid="{48E09F0C-C3EB-40D9-B5E9-35FFA0EE4EBD}" name="Column3024"/>
    <tableColumn id="3025" xr3:uid="{04E337D0-5E5C-44A3-BE1B-2F812373F59D}" name="Column3025"/>
    <tableColumn id="3026" xr3:uid="{CD15C600-2A1D-43D0-BE2E-BA7230421640}" name="Column3026"/>
    <tableColumn id="3027" xr3:uid="{DDC1FB1B-0C06-42D0-B293-DAFAB695A0F9}" name="Column3027"/>
    <tableColumn id="3028" xr3:uid="{3CE5C878-A4C4-4851-8320-F75EA786E47A}" name="Column3028"/>
    <tableColumn id="3029" xr3:uid="{2CB9C9EB-184A-4394-8CC0-5765AC31228F}" name="Column3029"/>
    <tableColumn id="3030" xr3:uid="{F9246DFC-5FEB-4B54-B677-A264DB071EB0}" name="Column3030"/>
    <tableColumn id="3031" xr3:uid="{07A24929-805D-4050-A770-7668CFBE4BC4}" name="Column3031"/>
    <tableColumn id="3032" xr3:uid="{C9761A29-12D0-42A8-B543-C35314091479}" name="Column3032"/>
    <tableColumn id="3033" xr3:uid="{F1F331A0-B4A9-4718-9DB3-23546FED1845}" name="Column3033"/>
    <tableColumn id="3034" xr3:uid="{6CC481C5-EDAA-4951-9803-80E3F111A56B}" name="Column3034"/>
    <tableColumn id="3035" xr3:uid="{A9C0A397-20D3-48D7-806C-B3B9749BD8A3}" name="Column3035"/>
    <tableColumn id="3036" xr3:uid="{687CE61F-4E87-4472-BA0F-F0CA3D37D1CE}" name="Column3036"/>
    <tableColumn id="3037" xr3:uid="{71137EA0-926D-4288-9BC6-6D09A0FD7719}" name="Column3037"/>
    <tableColumn id="3038" xr3:uid="{E2AB8469-3C58-4806-89C1-81299F365152}" name="Column3038"/>
    <tableColumn id="3039" xr3:uid="{8EF94EC6-F7A7-452E-B83A-C7FB11830BCE}" name="Column3039"/>
    <tableColumn id="3040" xr3:uid="{941E24FA-4F28-4B65-A238-B1F29EDE1917}" name="Column3040"/>
    <tableColumn id="3041" xr3:uid="{45D3F2E3-4FCA-4179-B3BB-5A7ECF3ACFB2}" name="Column3041"/>
    <tableColumn id="3042" xr3:uid="{B6EF5CED-CEC8-46F4-8C41-AB9140A1875C}" name="Column3042"/>
    <tableColumn id="3043" xr3:uid="{BACFA0EF-45A9-48D4-9F5A-763DD71ABB1B}" name="Column3043"/>
    <tableColumn id="3044" xr3:uid="{ECCE69A9-6083-46FD-9252-2A7C9C0DD2C7}" name="Column3044"/>
    <tableColumn id="3045" xr3:uid="{E8904AC2-60BD-42F9-BBE1-B285EC9CE797}" name="Column3045"/>
    <tableColumn id="3046" xr3:uid="{EF962A52-6BD1-4C97-9F6C-A84B785494E4}" name="Column3046"/>
    <tableColumn id="3047" xr3:uid="{39F941BF-A597-473E-B053-FEABF9715F38}" name="Column3047"/>
    <tableColumn id="3048" xr3:uid="{AA148714-FFF7-4EE7-AFE6-EDB7D04495B5}" name="Column3048"/>
    <tableColumn id="3049" xr3:uid="{CB96B305-5994-4BC3-BD4D-57535EA4B0F7}" name="Column3049"/>
    <tableColumn id="3050" xr3:uid="{C3CFE4C2-5723-4FE9-8B87-1381ECA98186}" name="Column3050"/>
    <tableColumn id="3051" xr3:uid="{7209F8C8-8E4A-40BC-9DA2-4BB0FBA9B247}" name="Column3051"/>
    <tableColumn id="3052" xr3:uid="{FA07E57C-3F36-49F7-84CC-ED8A435F4168}" name="Column3052"/>
    <tableColumn id="3053" xr3:uid="{5E8CCD0A-F6C8-4D61-A122-6909C737D0D0}" name="Column3053"/>
    <tableColumn id="3054" xr3:uid="{3A5A21D2-C3CC-4CA4-9184-B5FC2555FE1A}" name="Column3054"/>
    <tableColumn id="3055" xr3:uid="{3C421605-57E2-4817-BF42-C91C83BCBF2D}" name="Column3055"/>
    <tableColumn id="3056" xr3:uid="{31EF3A75-1A97-40F1-A312-A69D98AB4F43}" name="Column3056"/>
    <tableColumn id="3057" xr3:uid="{DA1BE1AE-013E-409D-94F1-67FE71B19FFD}" name="Column3057"/>
    <tableColumn id="3058" xr3:uid="{4F7E7F56-1B98-4204-A99C-A5108CB70AEB}" name="Column3058"/>
    <tableColumn id="3059" xr3:uid="{79C4C591-B2B0-4C2E-BF3F-F20132646BC2}" name="Column3059"/>
    <tableColumn id="3060" xr3:uid="{8F6E05A2-F84F-421E-9C03-D425A95D98BB}" name="Column3060"/>
    <tableColumn id="3061" xr3:uid="{FA3EB95B-0454-4A83-9950-1C5CE602B3ED}" name="Column3061"/>
    <tableColumn id="3062" xr3:uid="{4464DE92-695A-4403-A229-B9F953982C81}" name="Column3062"/>
    <tableColumn id="3063" xr3:uid="{0F03A02D-E21C-4CDE-99C2-9B2CCE129C67}" name="Column3063"/>
    <tableColumn id="3064" xr3:uid="{C938125D-4DAB-485A-BA99-2F985686C41A}" name="Column3064"/>
    <tableColumn id="3065" xr3:uid="{B56CDE26-6ECD-4086-B45E-AA07370000B5}" name="Column3065"/>
    <tableColumn id="3066" xr3:uid="{CFBF035B-B6BD-4DD0-BB35-CD7BC7A1BEC3}" name="Column3066"/>
    <tableColumn id="3067" xr3:uid="{92167629-04CB-43A0-9490-11B54A2C0D81}" name="Column3067"/>
    <tableColumn id="3068" xr3:uid="{082B225D-DEC7-4425-BC2C-9AD2ECF6CC02}" name="Column3068"/>
    <tableColumn id="3069" xr3:uid="{94AB3E2A-1527-4AB2-AAFB-9FB1750F59E0}" name="Column3069"/>
    <tableColumn id="3070" xr3:uid="{25353DB1-09D8-4079-8F66-B144834D3ED5}" name="Column3070"/>
    <tableColumn id="3071" xr3:uid="{4C678A4E-BFFA-45D0-BDBD-FC51D924EACE}" name="Column3071"/>
    <tableColumn id="3072" xr3:uid="{49EAC8BE-DC41-495E-BBCE-E6A1641B8CC3}" name="Column3072"/>
    <tableColumn id="3073" xr3:uid="{54E2C184-0E19-414D-8C31-3F8ADBDE870C}" name="Column3073"/>
    <tableColumn id="3074" xr3:uid="{27058FC4-DC39-4DA5-8A17-5C296D8B5FC7}" name="Column3074"/>
    <tableColumn id="3075" xr3:uid="{82076658-309C-49A6-8A04-0F34A9C598C4}" name="Column3075"/>
    <tableColumn id="3076" xr3:uid="{778CFF95-8142-4459-A431-DA0E23676DE3}" name="Column3076"/>
    <tableColumn id="3077" xr3:uid="{079726AF-227E-44F3-B420-49ABC9D03F29}" name="Column3077"/>
    <tableColumn id="3078" xr3:uid="{A51A13FE-3E26-4313-A3B6-B9CA7BB1A246}" name="Column3078"/>
    <tableColumn id="3079" xr3:uid="{F7C4534C-CD05-4CF1-B635-30AB0614797C}" name="Column3079"/>
    <tableColumn id="3080" xr3:uid="{D5E2D323-8C22-4370-AF8E-8C555D090137}" name="Column3080"/>
    <tableColumn id="3081" xr3:uid="{A5C1638A-1FB1-468E-A202-B3AE66C376C1}" name="Column3081"/>
    <tableColumn id="3082" xr3:uid="{0DE63072-C361-4DAB-B823-4EF078685A8A}" name="Column3082"/>
    <tableColumn id="3083" xr3:uid="{41E0313D-0D8B-4009-98E9-B3D717957D29}" name="Column3083"/>
    <tableColumn id="3084" xr3:uid="{94F294C0-058B-4B1E-9673-898F03CB4679}" name="Column3084"/>
    <tableColumn id="3085" xr3:uid="{7996409C-1079-48F0-BE43-7CE1C01AC208}" name="Column3085"/>
    <tableColumn id="3086" xr3:uid="{EB13D3B8-3D20-4958-9F70-195462F8EF7E}" name="Column3086"/>
    <tableColumn id="3087" xr3:uid="{E4128C4C-7C63-4BBC-A2D9-264505FD6403}" name="Column3087"/>
    <tableColumn id="3088" xr3:uid="{87084C36-65C5-44AB-8EB7-686C7EC34C8D}" name="Column3088"/>
    <tableColumn id="3089" xr3:uid="{06534900-6F48-43F3-A478-CCF6330A392A}" name="Column3089"/>
    <tableColumn id="3090" xr3:uid="{26326A16-9C61-48F7-BB64-3FDC8E2A90D1}" name="Column3090"/>
    <tableColumn id="3091" xr3:uid="{46B2E2C6-9A0E-4B2A-86C5-B47F89910742}" name="Column3091"/>
    <tableColumn id="3092" xr3:uid="{57D796FE-8586-4152-AE19-2521F129BAD6}" name="Column3092"/>
    <tableColumn id="3093" xr3:uid="{2E9A7205-2212-4E56-A449-EBDA9A3E4CA3}" name="Column3093"/>
    <tableColumn id="3094" xr3:uid="{6D7D7727-2179-49A1-8B66-1A312B034375}" name="Column3094"/>
    <tableColumn id="3095" xr3:uid="{BD99C257-4F73-4C83-BEFF-6804FE78FD5D}" name="Column3095"/>
    <tableColumn id="3096" xr3:uid="{E278D572-853D-4EAB-AAD2-430643E87C5E}" name="Column3096"/>
    <tableColumn id="3097" xr3:uid="{8600DD3D-B48B-4173-8135-2E439A3CD192}" name="Column3097"/>
    <tableColumn id="3098" xr3:uid="{13A4AC30-A638-4464-89A1-114E6A56C974}" name="Column3098"/>
    <tableColumn id="3099" xr3:uid="{96B2ABE4-D546-464B-83BD-A388F96018A3}" name="Column3099"/>
    <tableColumn id="3100" xr3:uid="{B4A1D7AF-2DF4-48F2-9BA7-AE9B0541EA96}" name="Column3100"/>
    <tableColumn id="3101" xr3:uid="{C600636D-3E82-498A-BB40-214DCFE1EAAF}" name="Column3101"/>
    <tableColumn id="3102" xr3:uid="{9293E31C-5BF7-4292-98B8-F2A3B4504400}" name="Column3102"/>
    <tableColumn id="3103" xr3:uid="{A74E4CE6-8988-4EF0-A5AA-5F39521A96AF}" name="Column3103"/>
    <tableColumn id="3104" xr3:uid="{C7E8FCCF-3962-4505-A9D9-8BB8BF64DB68}" name="Column3104"/>
    <tableColumn id="3105" xr3:uid="{79BC7E34-A744-46DA-A208-1AA163414A12}" name="Column3105"/>
    <tableColumn id="3106" xr3:uid="{03E41869-DAEE-43F8-B604-8C7AFA9DE6DA}" name="Column3106"/>
    <tableColumn id="3107" xr3:uid="{D2C25726-0838-480E-AA53-8155232CB13B}" name="Column3107"/>
    <tableColumn id="3108" xr3:uid="{829EB4FB-5722-4237-AA46-21469AAEFBA0}" name="Column3108"/>
    <tableColumn id="3109" xr3:uid="{762B942B-7EFC-4B64-BDE7-44B8079ED5DE}" name="Column3109"/>
    <tableColumn id="3110" xr3:uid="{3E4E9915-95A3-4ABC-A412-F12FE614740E}" name="Column3110"/>
    <tableColumn id="3111" xr3:uid="{EC6C8643-A056-41B2-B45D-8446C85C042C}" name="Column3111"/>
    <tableColumn id="3112" xr3:uid="{474E3D15-289E-46D8-8BE2-7A174C3B9AD7}" name="Column3112"/>
    <tableColumn id="3113" xr3:uid="{4C320743-13E8-44F9-B701-21061F156773}" name="Column3113"/>
    <tableColumn id="3114" xr3:uid="{C6376853-6114-4154-9E54-B4A023BE944A}" name="Column3114"/>
    <tableColumn id="3115" xr3:uid="{C287283D-BE2D-4B4C-8BFF-3759AA2FE3CF}" name="Column3115"/>
    <tableColumn id="3116" xr3:uid="{7663F5A0-3DF2-4B15-A55E-C5205582A2FB}" name="Column3116"/>
    <tableColumn id="3117" xr3:uid="{4280ED9A-BF48-4B14-96C0-3F7266219CC6}" name="Column3117"/>
    <tableColumn id="3118" xr3:uid="{F001296B-C8C3-4644-A2A2-05B1B7ED0622}" name="Column3118"/>
    <tableColumn id="3119" xr3:uid="{1BFF8DD2-36F6-48D2-AD2C-D430B67EBE8D}" name="Column3119"/>
    <tableColumn id="3120" xr3:uid="{554F5BB9-8042-47DF-A362-7BE92AC187E6}" name="Column3120"/>
    <tableColumn id="3121" xr3:uid="{4C7BC726-5D61-44CF-99AE-6451C119AC05}" name="Column3121"/>
    <tableColumn id="3122" xr3:uid="{7CCFB919-C85B-4966-8414-A6C43D11C0BC}" name="Column3122"/>
    <tableColumn id="3123" xr3:uid="{5D4DE625-8A92-4712-A06A-39659FDFF541}" name="Column3123"/>
    <tableColumn id="3124" xr3:uid="{C1C0741C-D4A3-4AE9-B899-D9DFFEA280FC}" name="Column3124"/>
    <tableColumn id="3125" xr3:uid="{62521B4F-890F-4F89-B357-2389DABEE1C3}" name="Column3125"/>
    <tableColumn id="3126" xr3:uid="{9B307D2A-BD1D-4CD6-9C9F-54BFC7102E9C}" name="Column3126"/>
    <tableColumn id="3127" xr3:uid="{25A4078A-036C-4DFF-A406-CAADCEDFDA02}" name="Column3127"/>
    <tableColumn id="3128" xr3:uid="{C7E27492-C063-4C86-A98D-3E6FBF9BA019}" name="Column3128"/>
    <tableColumn id="3129" xr3:uid="{1183D391-D713-44D4-8982-AA27D7DEFB46}" name="Column3129"/>
    <tableColumn id="3130" xr3:uid="{6D913F54-5AF8-43DD-96B2-ABA048BDFD64}" name="Column3130"/>
    <tableColumn id="3131" xr3:uid="{3B1F1EC4-248E-4249-BBB1-ECC28A161A8B}" name="Column3131"/>
    <tableColumn id="3132" xr3:uid="{ADA211BA-4880-4D80-A08A-0C067A822396}" name="Column3132"/>
    <tableColumn id="3133" xr3:uid="{826832C7-95AD-4DAC-A860-3C47DD8F69F7}" name="Column3133"/>
    <tableColumn id="3134" xr3:uid="{0984AC88-7657-495F-B7FE-B34DFEF526A7}" name="Column3134"/>
    <tableColumn id="3135" xr3:uid="{998DCB07-BC04-4CF5-980F-2F8630B5C6D3}" name="Column3135"/>
    <tableColumn id="3136" xr3:uid="{6BBAE385-F582-4038-91B5-C23DFD7FD07B}" name="Column3136"/>
    <tableColumn id="3137" xr3:uid="{794C0487-03C8-4286-AAB9-0343EB916B4C}" name="Column3137"/>
    <tableColumn id="3138" xr3:uid="{428985A8-3CB6-4AC0-A970-F43F0B584BAE}" name="Column3138"/>
    <tableColumn id="3139" xr3:uid="{72595BCE-E985-4ABC-A704-5575C1F606A4}" name="Column3139"/>
    <tableColumn id="3140" xr3:uid="{A7343ED9-35FE-4A3E-B61B-9550A8A9F3C4}" name="Column3140"/>
    <tableColumn id="3141" xr3:uid="{8AD6E0C6-5A73-4D8F-BC67-44C8F08FB6AD}" name="Column3141"/>
    <tableColumn id="3142" xr3:uid="{29794614-C7E5-4A5B-B791-10118AF555BA}" name="Column3142"/>
    <tableColumn id="3143" xr3:uid="{8F7E0EA9-E6F0-47B4-9578-85F6286AFC48}" name="Column3143"/>
    <tableColumn id="3144" xr3:uid="{86A4B8EA-7886-45C3-9E3C-47E43CB0AD32}" name="Column3144"/>
    <tableColumn id="3145" xr3:uid="{EF3548D3-0918-4CDB-84C6-FC746D2AA933}" name="Column3145"/>
    <tableColumn id="3146" xr3:uid="{724CDE3F-4D44-4D6C-BEB4-0968868AFA86}" name="Column3146"/>
    <tableColumn id="3147" xr3:uid="{3D335F83-02E5-47B6-A708-87CCCB60A1BB}" name="Column3147"/>
    <tableColumn id="3148" xr3:uid="{DB83B789-56AD-4F3F-B330-34EF8126A8C1}" name="Column3148"/>
    <tableColumn id="3149" xr3:uid="{BD54DF69-190C-42CF-894B-712C920367F3}" name="Column3149"/>
    <tableColumn id="3150" xr3:uid="{F8F836B5-5350-463F-B996-AADEA1412CC8}" name="Column3150"/>
    <tableColumn id="3151" xr3:uid="{A88CB39C-FC21-4DE8-A452-27DD67CD7EFD}" name="Column3151"/>
    <tableColumn id="3152" xr3:uid="{1D17FA9F-9E91-45AF-A673-1783D377FE23}" name="Column3152"/>
    <tableColumn id="3153" xr3:uid="{4EC4D82A-5D5C-4E8A-A1B0-0AF9E89C9ED4}" name="Column3153"/>
    <tableColumn id="3154" xr3:uid="{0F88C8BF-AE94-4419-A31A-E762C29889FD}" name="Column3154"/>
    <tableColumn id="3155" xr3:uid="{EF7B6A12-8B2C-45BD-A481-9088B6EBBAB8}" name="Column3155"/>
    <tableColumn id="3156" xr3:uid="{E8C4F495-5AAB-4A79-B342-07379994B38D}" name="Column3156"/>
    <tableColumn id="3157" xr3:uid="{CCBD63C5-DBE6-4B44-B3BD-454027CE31AE}" name="Column3157"/>
    <tableColumn id="3158" xr3:uid="{2A9D5B6A-3E04-45AD-A191-395E79053AA0}" name="Column3158"/>
    <tableColumn id="3159" xr3:uid="{7300B853-0D1F-41E6-97D9-7FA7DEA670BB}" name="Column3159"/>
    <tableColumn id="3160" xr3:uid="{63137022-479E-41D8-83BA-AEA8285974B5}" name="Column3160"/>
    <tableColumn id="3161" xr3:uid="{266760F4-5084-4167-8BF5-3D1D2EEB6FC1}" name="Column3161"/>
    <tableColumn id="3162" xr3:uid="{2330A832-20E2-465E-8963-298FCEF88755}" name="Column3162"/>
    <tableColumn id="3163" xr3:uid="{05C12102-B7A7-468B-A835-D92B8AE42530}" name="Column3163"/>
    <tableColumn id="3164" xr3:uid="{2877BFDC-D791-4B1F-9635-8A446DC2025A}" name="Column3164"/>
    <tableColumn id="3165" xr3:uid="{7637FAD1-8FB5-4138-9DF8-528B0E385FC5}" name="Column3165"/>
    <tableColumn id="3166" xr3:uid="{E07E0DF5-D45F-4DB1-912B-3E32EEA74C33}" name="Column3166"/>
    <tableColumn id="3167" xr3:uid="{B69DF801-8B8B-4CCE-A84C-3FC33A8938FD}" name="Column3167"/>
    <tableColumn id="3168" xr3:uid="{C5403E9D-E64E-4A26-9DA2-E87330D25272}" name="Column3168"/>
    <tableColumn id="3169" xr3:uid="{CE5C6850-0F42-4135-B970-4E26DD86E38E}" name="Column3169"/>
    <tableColumn id="3170" xr3:uid="{1A24380E-F1E6-46F8-BCCF-05FBA2F2284F}" name="Column3170"/>
    <tableColumn id="3171" xr3:uid="{A9933028-FC81-45A2-8DD9-7E9C165F7107}" name="Column3171"/>
    <tableColumn id="3172" xr3:uid="{E9FFBD84-68E1-4AF6-BE97-8413879EA51F}" name="Column3172"/>
    <tableColumn id="3173" xr3:uid="{9D28EA66-5707-4237-9080-78DC8E724C89}" name="Column3173"/>
    <tableColumn id="3174" xr3:uid="{CDF740B3-3D1E-4B25-8B16-FBBEF03D316D}" name="Column3174"/>
    <tableColumn id="3175" xr3:uid="{71AC41ED-ABA1-4C7A-99A4-31BFDCB3D717}" name="Column3175"/>
    <tableColumn id="3176" xr3:uid="{4227524B-E264-4DE6-A501-FE9FDDCA7595}" name="Column3176"/>
    <tableColumn id="3177" xr3:uid="{3E97530A-FA98-4F78-B2A5-8E9E14C946BC}" name="Column3177"/>
    <tableColumn id="3178" xr3:uid="{E161A1DF-57CD-4C53-95E8-15B5413B1816}" name="Column3178"/>
    <tableColumn id="3179" xr3:uid="{682E7BA8-E2C1-45AB-AD26-ECEC4B9A6774}" name="Column3179"/>
    <tableColumn id="3180" xr3:uid="{B79C5583-CC23-4F2D-8ECB-2FF4A430DC74}" name="Column3180"/>
    <tableColumn id="3181" xr3:uid="{4428A96B-7EB9-4D72-9207-94E381FCB2B7}" name="Column3181"/>
    <tableColumn id="3182" xr3:uid="{FA14C257-D67E-4616-9B51-0CFFAD00F7FF}" name="Column3182"/>
    <tableColumn id="3183" xr3:uid="{E2D8AF07-96A1-4BAB-8C71-B8C45A0491EA}" name="Column3183"/>
    <tableColumn id="3184" xr3:uid="{D94D5D2E-4931-4935-95BB-848AA51ADA4A}" name="Column3184"/>
    <tableColumn id="3185" xr3:uid="{E1F10F32-8C99-48D6-803E-F92763A8BC72}" name="Column3185"/>
    <tableColumn id="3186" xr3:uid="{0A8325B8-E24B-4302-B742-537F01AB24A9}" name="Column3186"/>
    <tableColumn id="3187" xr3:uid="{4B0B87EB-7955-4B62-9B8B-2D1EACDAEC79}" name="Column3187"/>
    <tableColumn id="3188" xr3:uid="{2F073C63-82D4-47AA-8EA6-677B7057D6BA}" name="Column3188"/>
    <tableColumn id="3189" xr3:uid="{554A2CF0-BE3B-40D1-9007-F899C372EE06}" name="Column3189"/>
    <tableColumn id="3190" xr3:uid="{698AF22C-FD73-4DE4-9C6F-DA486CDC967E}" name="Column3190"/>
    <tableColumn id="3191" xr3:uid="{BE3DD436-DF9D-4F64-831E-24EFD617E6F0}" name="Column3191"/>
    <tableColumn id="3192" xr3:uid="{F588F9EB-2A50-4669-BFD7-D18CA06C392D}" name="Column3192"/>
    <tableColumn id="3193" xr3:uid="{1D42EBC4-0A71-41E2-809B-99EF57918204}" name="Column3193"/>
    <tableColumn id="3194" xr3:uid="{BD3952EB-4BF7-4A88-A972-32142F3B7687}" name="Column3194"/>
    <tableColumn id="3195" xr3:uid="{DA425B5E-BB80-4AE1-8E9F-E9E1864D548A}" name="Column3195"/>
    <tableColumn id="3196" xr3:uid="{9F94F543-7511-4002-8720-286CF30CE1F4}" name="Column3196"/>
    <tableColumn id="3197" xr3:uid="{A33D46B4-5210-44FF-B841-40997416850D}" name="Column3197"/>
    <tableColumn id="3198" xr3:uid="{39725E5B-CFC9-4338-9E4B-1441CF26F33D}" name="Column3198"/>
    <tableColumn id="3199" xr3:uid="{90B87C75-996D-4D67-9E43-D55E76409F74}" name="Column3199"/>
    <tableColumn id="3200" xr3:uid="{663F94AD-69A2-441C-BB63-01295AE99202}" name="Column3200"/>
    <tableColumn id="3201" xr3:uid="{BC0CAF22-93EC-40F6-977F-E8077E944421}" name="Column3201"/>
    <tableColumn id="3202" xr3:uid="{A7FF7C17-A5CB-4074-8716-AB6D48B6A0E8}" name="Column3202"/>
    <tableColumn id="3203" xr3:uid="{9C65128D-443A-4A0E-9C86-E1769AEA6BF2}" name="Column3203"/>
    <tableColumn id="3204" xr3:uid="{34AB4286-8F03-45E9-BD2E-42ECAC700E6F}" name="Column3204"/>
    <tableColumn id="3205" xr3:uid="{342F2A84-2456-4123-B737-81CBEF8BEBB8}" name="Column3205"/>
    <tableColumn id="3206" xr3:uid="{D8F92692-04B7-4307-B8F2-841576F62E40}" name="Column3206"/>
    <tableColumn id="3207" xr3:uid="{A19FE79A-C604-4EB8-8CDB-BB54D02283EA}" name="Column3207"/>
    <tableColumn id="3208" xr3:uid="{95CDC94D-7623-4D44-84DA-1E1575A20F7F}" name="Column3208"/>
    <tableColumn id="3209" xr3:uid="{5CE391D2-6BD8-42C4-9EBE-30E1364E7A1C}" name="Column3209"/>
    <tableColumn id="3210" xr3:uid="{84A180DB-D68D-4137-BDFA-34B23C1DE2C9}" name="Column3210"/>
    <tableColumn id="3211" xr3:uid="{BC1469B0-36A5-46A9-AD91-4DDE384AEE92}" name="Column3211"/>
    <tableColumn id="3212" xr3:uid="{077BD175-B4D0-4813-BF78-E557C961461D}" name="Column3212"/>
    <tableColumn id="3213" xr3:uid="{5BFE5373-9DC4-46B1-920D-977D2F7E0FC7}" name="Column3213"/>
    <tableColumn id="3214" xr3:uid="{1959CB7E-6F67-4CC1-87E5-F10588CA67D8}" name="Column3214"/>
    <tableColumn id="3215" xr3:uid="{A2F23049-1B8C-435E-8723-7B1BC2AEDB0C}" name="Column3215"/>
    <tableColumn id="3216" xr3:uid="{92C6E443-6A0A-40D6-AB35-4CEF32364C5B}" name="Column3216"/>
    <tableColumn id="3217" xr3:uid="{417F5ABB-38C0-4E44-B9AE-CE68C92D24A6}" name="Column3217"/>
    <tableColumn id="3218" xr3:uid="{7FDE09DF-B6A0-43A0-BC85-5006DDB42162}" name="Column3218"/>
    <tableColumn id="3219" xr3:uid="{442EC6E0-5BDE-4BE5-9AB9-97E899093ADA}" name="Column3219"/>
    <tableColumn id="3220" xr3:uid="{D48F500E-7BA2-4AD6-9831-F6E9AA63F4FB}" name="Column3220"/>
    <tableColumn id="3221" xr3:uid="{0C5A84BD-182E-4E64-AEF8-2FE1A2D1D7E1}" name="Column3221"/>
    <tableColumn id="3222" xr3:uid="{E42D5BF5-8E38-433B-94EC-098E57A62217}" name="Column3222"/>
    <tableColumn id="3223" xr3:uid="{07D10A4B-0CA5-4F96-B7DA-6128B06B76CC}" name="Column3223"/>
    <tableColumn id="3224" xr3:uid="{659D218A-91F7-4971-9F7D-7A2A6B51BF94}" name="Column3224"/>
    <tableColumn id="3225" xr3:uid="{B23EEFA0-9FCB-4FE4-8390-449CA19EFA20}" name="Column3225"/>
    <tableColumn id="3226" xr3:uid="{86933301-65F5-400E-8EA6-0072674FE5DD}" name="Column3226"/>
    <tableColumn id="3227" xr3:uid="{CCAFF6FF-58BA-4906-85E2-9D4ABD36117F}" name="Column3227"/>
    <tableColumn id="3228" xr3:uid="{A72D3E25-6195-4CF9-80EE-812BFA74713E}" name="Column3228"/>
    <tableColumn id="3229" xr3:uid="{D4EC22DF-47C0-4FA2-B648-0F4EF1070FFA}" name="Column3229"/>
    <tableColumn id="3230" xr3:uid="{2226B118-F242-464F-8229-18D4B62F64C0}" name="Column3230"/>
    <tableColumn id="3231" xr3:uid="{B6CBBD6F-9A5E-4FAB-ACCA-82323CA03760}" name="Column3231"/>
    <tableColumn id="3232" xr3:uid="{328D1DFB-CEDD-4CFB-B1F2-487D634F6498}" name="Column3232"/>
    <tableColumn id="3233" xr3:uid="{CC61BB03-3446-496E-8E4F-FACD003D0696}" name="Column3233"/>
    <tableColumn id="3234" xr3:uid="{992CAD03-89F3-4FC1-B3C1-68DD2E7B3FE4}" name="Column3234"/>
    <tableColumn id="3235" xr3:uid="{932B82BA-0485-4225-9AB6-9A0DAF61475A}" name="Column3235"/>
    <tableColumn id="3236" xr3:uid="{E8869A48-9649-40D8-ACC3-6F2D9425E841}" name="Column3236"/>
    <tableColumn id="3237" xr3:uid="{B42B86D6-B394-4F56-8DAF-36F2D31B2F65}" name="Column3237"/>
    <tableColumn id="3238" xr3:uid="{53000721-D0CC-474C-B572-212E6F32170B}" name="Column3238"/>
    <tableColumn id="3239" xr3:uid="{B6A90CD1-45F5-4135-B899-AAFF77E25A88}" name="Column3239"/>
    <tableColumn id="3240" xr3:uid="{5D0C07F8-9811-4EDA-B338-AFEC4901CD78}" name="Column3240"/>
    <tableColumn id="3241" xr3:uid="{D2B73902-D5A4-4B39-BE4A-2A8645DC6185}" name="Column3241"/>
    <tableColumn id="3242" xr3:uid="{A1AE7D11-57D0-4280-B643-4414B71862B5}" name="Column3242"/>
    <tableColumn id="3243" xr3:uid="{54F7A524-9788-4BC5-BB53-D8F1F7E70C18}" name="Column3243"/>
    <tableColumn id="3244" xr3:uid="{727C4E04-203A-4AA7-AE90-094308C8BF2F}" name="Column3244"/>
    <tableColumn id="3245" xr3:uid="{7361FCAE-FA51-491C-8379-DA224B79BA87}" name="Column3245"/>
    <tableColumn id="3246" xr3:uid="{3D64095C-1625-4DF0-961D-3A8256367AB0}" name="Column3246"/>
    <tableColumn id="3247" xr3:uid="{FA343D26-65F1-47D3-8EDB-01DD9C9B1B45}" name="Column3247"/>
    <tableColumn id="3248" xr3:uid="{9CD46B1D-0EA5-45DB-8605-F65329940696}" name="Column3248"/>
    <tableColumn id="3249" xr3:uid="{D7A2038E-80E2-4749-8275-0926429377AB}" name="Column3249"/>
    <tableColumn id="3250" xr3:uid="{1420E642-8500-4CDF-BC24-836F33B8CF50}" name="Column3250"/>
    <tableColumn id="3251" xr3:uid="{36475E80-4E47-429B-945C-DF9148C81F9B}" name="Column3251"/>
    <tableColumn id="3252" xr3:uid="{37A1F946-74CC-4AB1-AFBF-9AC9338E5F70}" name="Column3252"/>
    <tableColumn id="3253" xr3:uid="{E310FEBC-9C37-4DEA-A606-6C2951C682E9}" name="Column3253"/>
    <tableColumn id="3254" xr3:uid="{A341E2BE-C0B3-4E6C-97F3-D4D3A100B419}" name="Column3254"/>
    <tableColumn id="3255" xr3:uid="{561E43FE-CE8E-4D99-A74B-9E3F68269140}" name="Column3255"/>
    <tableColumn id="3256" xr3:uid="{A0417F42-F396-4D0E-8D12-1B0867DE0566}" name="Column3256"/>
    <tableColumn id="3257" xr3:uid="{1D59FBB3-FD26-4F8F-8B74-EED1FF66217B}" name="Column3257"/>
    <tableColumn id="3258" xr3:uid="{02AAB6B5-AABB-405E-814F-ED2204BF9140}" name="Column3258"/>
    <tableColumn id="3259" xr3:uid="{C36B6785-0F0B-40DE-A4F4-E61193388E9D}" name="Column3259"/>
    <tableColumn id="3260" xr3:uid="{779A8E0E-89C8-4537-99F4-C7A5FA24F232}" name="Column3260"/>
    <tableColumn id="3261" xr3:uid="{894A4210-0F80-4839-8BCA-C6A76C0BCB68}" name="Column3261"/>
    <tableColumn id="3262" xr3:uid="{0F69D09C-EFDF-432E-8F48-D4C4A138C2D2}" name="Column3262"/>
    <tableColumn id="3263" xr3:uid="{24CC5AB2-F10F-4B05-8F8A-2DC66840C446}" name="Column3263"/>
    <tableColumn id="3264" xr3:uid="{38E4FAAF-7744-4824-9EF3-E856462056C9}" name="Column3264"/>
    <tableColumn id="3265" xr3:uid="{4E4AC960-CCA0-4547-A740-976DD06FD6AA}" name="Column3265"/>
    <tableColumn id="3266" xr3:uid="{02FC28AA-499B-40F6-87B5-ECCF0D9AC947}" name="Column3266"/>
    <tableColumn id="3267" xr3:uid="{8BE517DE-1D9F-4A71-AEE6-748E0C496BE7}" name="Column3267"/>
    <tableColumn id="3268" xr3:uid="{A6A606C1-0513-4471-AE13-3E78BC6BD3B8}" name="Column3268"/>
    <tableColumn id="3269" xr3:uid="{C7911391-B344-426C-BF5F-0CF88AFEEC9E}" name="Column3269"/>
    <tableColumn id="3270" xr3:uid="{9F873493-F485-4E9A-AD75-CC74654C7695}" name="Column3270"/>
    <tableColumn id="3271" xr3:uid="{4E9837D2-5ABD-4999-8A03-ED937C97A9EB}" name="Column3271"/>
    <tableColumn id="3272" xr3:uid="{0EF5FC8A-3190-43D1-B1FA-4ECAA03F0291}" name="Column3272"/>
    <tableColumn id="3273" xr3:uid="{747B6240-0DE7-4C4E-8A27-4DC3B8385664}" name="Column3273"/>
    <tableColumn id="3274" xr3:uid="{6EFE700B-6B4F-4659-B68F-72835398E3F2}" name="Column3274"/>
    <tableColumn id="3275" xr3:uid="{C3FA84EA-09D2-4016-A285-F6AA587CD8E8}" name="Column3275"/>
    <tableColumn id="3276" xr3:uid="{4138D270-A3BF-4004-9768-11C302E026AA}" name="Column3276"/>
    <tableColumn id="3277" xr3:uid="{CCCAABC5-B0CF-41B7-8B65-EBCDFE72FD5B}" name="Column3277"/>
    <tableColumn id="3278" xr3:uid="{771FA6ED-7EDF-4C3E-B548-C85C72365591}" name="Column3278"/>
    <tableColumn id="3279" xr3:uid="{9081A61F-882B-45E9-AECF-4D8DE2DA6C04}" name="Column3279"/>
    <tableColumn id="3280" xr3:uid="{9C66EE02-804D-4E35-9E56-96DC87B86834}" name="Column3280"/>
    <tableColumn id="3281" xr3:uid="{42780D9D-3F0B-4E15-BD1F-6FEF25E344E3}" name="Column3281"/>
    <tableColumn id="3282" xr3:uid="{CADA7305-1FC0-444A-824A-80B470C01443}" name="Column3282"/>
    <tableColumn id="3283" xr3:uid="{3D738B23-5E9F-4692-AE5D-C78D2FA68C00}" name="Column3283"/>
    <tableColumn id="3284" xr3:uid="{6E3997F0-BF9D-4DA1-84A0-5F5506C64EBA}" name="Column3284"/>
    <tableColumn id="3285" xr3:uid="{24B18088-EFEE-460F-8816-01EF17350595}" name="Column3285"/>
    <tableColumn id="3286" xr3:uid="{896593B0-4630-467A-B59D-C427FF563681}" name="Column3286"/>
    <tableColumn id="3287" xr3:uid="{6841A08C-B8A5-4030-A3F5-BBED390E2AED}" name="Column3287"/>
    <tableColumn id="3288" xr3:uid="{CB0A1CAF-90D9-42A6-88BD-9F0790473AE9}" name="Column3288"/>
    <tableColumn id="3289" xr3:uid="{2FF17A13-503F-47E7-BB51-FC6E136A1502}" name="Column3289"/>
    <tableColumn id="3290" xr3:uid="{BD6BD513-548D-4F5C-9DF5-A2FA7ECCC8F5}" name="Column3290"/>
    <tableColumn id="3291" xr3:uid="{24EB7860-5A69-4BF5-AAD4-6F5B51C9660E}" name="Column3291"/>
    <tableColumn id="3292" xr3:uid="{F7E6874B-C443-4413-815C-065622EE09A4}" name="Column3292"/>
    <tableColumn id="3293" xr3:uid="{A973F2AC-A975-4219-BD05-7E6E92B3BFA1}" name="Column3293"/>
    <tableColumn id="3294" xr3:uid="{DB479FC4-CB98-4790-9408-BF7372793A8B}" name="Column3294"/>
    <tableColumn id="3295" xr3:uid="{6C0A9795-9042-4CF7-8FD0-0674AAC8567F}" name="Column3295"/>
    <tableColumn id="3296" xr3:uid="{ABA8225C-4978-4B85-83D9-645D59AE20DD}" name="Column3296"/>
    <tableColumn id="3297" xr3:uid="{5F234F58-E837-403C-8483-D7A9570B6EB9}" name="Column3297"/>
    <tableColumn id="3298" xr3:uid="{71DF68AC-3AC3-4574-89D6-9561B2F67AA9}" name="Column3298"/>
    <tableColumn id="3299" xr3:uid="{FD5F5222-4C69-4B9A-A8C3-BF98F212CCB2}" name="Column3299"/>
    <tableColumn id="3300" xr3:uid="{BF59A8EE-F7BD-4303-9050-EB7F2AC6D540}" name="Column3300"/>
    <tableColumn id="3301" xr3:uid="{0E94378A-FF65-4876-93E5-C2C31C26DCCC}" name="Column3301"/>
    <tableColumn id="3302" xr3:uid="{48794EC2-05DC-4A6C-AAEB-AFD6745CD1C8}" name="Column3302"/>
    <tableColumn id="3303" xr3:uid="{B315F22B-BAF3-4571-B372-F7BD2AFA67A6}" name="Column3303"/>
    <tableColumn id="3304" xr3:uid="{37546B6E-1570-499C-8261-BE46620A7A5A}" name="Column3304"/>
    <tableColumn id="3305" xr3:uid="{01CD4774-2DC4-4A2A-9FC5-D456D5BEA792}" name="Column3305"/>
    <tableColumn id="3306" xr3:uid="{57D11FA4-31D5-4D9E-967D-AD85FFF43A8E}" name="Column3306"/>
    <tableColumn id="3307" xr3:uid="{3E039D6B-2E90-45FE-ABCC-1320FFC7BF9D}" name="Column3307"/>
    <tableColumn id="3308" xr3:uid="{9B29B7CE-2BD8-4152-B7D4-97F28D7F1D77}" name="Column3308"/>
    <tableColumn id="3309" xr3:uid="{403CE1E6-8B97-442D-87C2-922A43E6561C}" name="Column3309"/>
    <tableColumn id="3310" xr3:uid="{605A77C0-363B-4615-91CD-88D671588ACB}" name="Column3310"/>
    <tableColumn id="3311" xr3:uid="{1EA17BF7-FFD7-4264-B5EB-963A170C09CF}" name="Column3311"/>
    <tableColumn id="3312" xr3:uid="{EBE118D7-57E0-4ABC-A81C-CA099327D604}" name="Column3312"/>
    <tableColumn id="3313" xr3:uid="{DB2BA371-E378-448E-B07B-1BA72E7B319C}" name="Column3313"/>
    <tableColumn id="3314" xr3:uid="{52311AAA-12EF-4C41-A201-ED2A252E39D1}" name="Column3314"/>
    <tableColumn id="3315" xr3:uid="{6289D911-C740-42B3-857A-A3D08CCCCA6C}" name="Column3315"/>
    <tableColumn id="3316" xr3:uid="{28B2BC96-0F58-482B-A313-8358548D816B}" name="Column3316"/>
    <tableColumn id="3317" xr3:uid="{46F80EF2-C5A2-4D17-858D-E9332616266E}" name="Column3317"/>
    <tableColumn id="3318" xr3:uid="{32AC1AD5-D06B-405E-813F-461BCDF5CE7C}" name="Column3318"/>
    <tableColumn id="3319" xr3:uid="{4E1F7A82-66D7-4587-B00A-322ABECDAD6C}" name="Column3319"/>
    <tableColumn id="3320" xr3:uid="{D30F9625-79B6-4AC3-8D6D-9111C11EFFB8}" name="Column3320"/>
    <tableColumn id="3321" xr3:uid="{D65E4B48-0CC4-4C7B-B8B9-2F365A285067}" name="Column3321"/>
    <tableColumn id="3322" xr3:uid="{86D0E4BD-36E2-47F5-A07F-9924BEC38053}" name="Column3322"/>
    <tableColumn id="3323" xr3:uid="{7D1D83C4-8054-46B8-A389-40516C65742D}" name="Column3323"/>
    <tableColumn id="3324" xr3:uid="{AD18A769-F1A5-46CB-9FFB-6B62630DFCDE}" name="Column3324"/>
    <tableColumn id="3325" xr3:uid="{ADD559CF-A641-4C8A-9022-E3665DD931E1}" name="Column3325"/>
    <tableColumn id="3326" xr3:uid="{BFDA3A74-89ED-46CA-926B-24071C2C8643}" name="Column3326"/>
    <tableColumn id="3327" xr3:uid="{FC6DD819-F12D-4F39-97AD-D77C94BBDF9D}" name="Column3327"/>
    <tableColumn id="3328" xr3:uid="{4CB6ECDB-47C6-497C-A01D-72746A0BF436}" name="Column3328"/>
    <tableColumn id="3329" xr3:uid="{5F43F19A-6732-4D2E-A6B5-8B34025350B4}" name="Column3329"/>
    <tableColumn id="3330" xr3:uid="{D79A670E-F993-4A41-BFA0-91727503F22A}" name="Column3330"/>
    <tableColumn id="3331" xr3:uid="{B6831D76-135E-4B1A-925E-CEAE11F005BD}" name="Column3331"/>
    <tableColumn id="3332" xr3:uid="{1CB82547-0DF5-4606-A768-C3A05FC484EE}" name="Column3332"/>
    <tableColumn id="3333" xr3:uid="{6BF9380C-1065-4182-AB60-2E6FF22A0EC3}" name="Column3333"/>
    <tableColumn id="3334" xr3:uid="{40F34B8B-C3F6-44CA-BC6C-C47B5D8AE3E3}" name="Column3334"/>
    <tableColumn id="3335" xr3:uid="{D8C50884-79B8-447C-AA20-BCEBB6AF3D16}" name="Column3335"/>
    <tableColumn id="3336" xr3:uid="{B938F273-96FA-47C1-BDEE-AC55DDDF1911}" name="Column3336"/>
    <tableColumn id="3337" xr3:uid="{7CD07063-AE24-497C-902F-7457E41C2462}" name="Column3337"/>
    <tableColumn id="3338" xr3:uid="{FDDA01D3-6CCB-4B20-8DD2-579B534AC3B3}" name="Column3338"/>
    <tableColumn id="3339" xr3:uid="{AF253033-7C8C-42C8-9845-2DF9BE4A4356}" name="Column3339"/>
    <tableColumn id="3340" xr3:uid="{D7BAAFBF-8A07-4681-919C-A2A26C9F7672}" name="Column3340"/>
    <tableColumn id="3341" xr3:uid="{897872EF-8F91-4C9B-A134-29FD257CAFB9}" name="Column3341"/>
    <tableColumn id="3342" xr3:uid="{FBE606E0-4B13-4530-AF3B-BC0AAA9C3A59}" name="Column3342"/>
    <tableColumn id="3343" xr3:uid="{CC82AA13-F996-41F4-A8DC-77AEB7A03959}" name="Column3343"/>
    <tableColumn id="3344" xr3:uid="{C6AA9A0E-1EAD-4A61-BE01-765D11A64906}" name="Column3344"/>
    <tableColumn id="3345" xr3:uid="{ECF2C198-C8B9-4EBC-8F1C-968FB478C032}" name="Column3345"/>
    <tableColumn id="3346" xr3:uid="{12F8D030-526A-49D6-876A-A2D99799FE23}" name="Column3346"/>
    <tableColumn id="3347" xr3:uid="{59341923-A8C4-4BDC-AAD4-7769374428ED}" name="Column3347"/>
    <tableColumn id="3348" xr3:uid="{F5D6FEE4-A14E-4D38-BA8C-D9E7354228D4}" name="Column3348"/>
    <tableColumn id="3349" xr3:uid="{19D8C8EB-1986-4EBB-85A2-FDF7867ACE42}" name="Column3349"/>
    <tableColumn id="3350" xr3:uid="{F7AE3F18-9CAA-42B4-BC8D-FDCB721ED10A}" name="Column3350"/>
    <tableColumn id="3351" xr3:uid="{BA4BE260-6C2D-4A24-8AD0-0A8BCF12C9CC}" name="Column3351"/>
    <tableColumn id="3352" xr3:uid="{FA1D5EC4-D72D-43D9-A4FC-E2FD4365BE59}" name="Column3352"/>
    <tableColumn id="3353" xr3:uid="{610C3BB2-F6D9-4EBB-8C5E-9A821FCB96BF}" name="Column3353"/>
    <tableColumn id="3354" xr3:uid="{1A93F4A8-3A78-47B6-99A4-7CECE1DF4302}" name="Column3354"/>
    <tableColumn id="3355" xr3:uid="{7AA91BE7-ACCE-443C-9618-0F4D81B6F05C}" name="Column3355"/>
    <tableColumn id="3356" xr3:uid="{92CB5077-1A84-4AF4-BEA3-F8A095C94E50}" name="Column3356"/>
    <tableColumn id="3357" xr3:uid="{8A08B37F-C644-428C-BA16-F283A154DDC6}" name="Column3357"/>
    <tableColumn id="3358" xr3:uid="{E2FDD4FD-EDB4-4861-A9EE-C98CE28DC0B6}" name="Column3358"/>
    <tableColumn id="3359" xr3:uid="{C2D57316-13E1-418D-AE2A-60FCB3C3BB1F}" name="Column3359"/>
    <tableColumn id="3360" xr3:uid="{DC5FC101-AD9A-467A-AF2D-1B5E37DD6582}" name="Column3360"/>
    <tableColumn id="3361" xr3:uid="{F542A9CF-7A0B-4C46-AD4C-8636F524FB46}" name="Column3361"/>
    <tableColumn id="3362" xr3:uid="{232D00FD-04F6-4508-BB16-444D5AB71496}" name="Column3362"/>
    <tableColumn id="3363" xr3:uid="{78DFC9DD-E584-4D13-A1D1-EEE1E8B5B141}" name="Column3363"/>
    <tableColumn id="3364" xr3:uid="{B23D52B7-9EBB-44AA-A45A-A84A09937996}" name="Column3364"/>
    <tableColumn id="3365" xr3:uid="{69AA9351-1BC9-46D4-8D41-1BB7AD3829FF}" name="Column3365"/>
    <tableColumn id="3366" xr3:uid="{3D42ACDC-B4DA-4751-8613-A81443AD3F49}" name="Column3366"/>
    <tableColumn id="3367" xr3:uid="{35252F47-FF87-43FC-85F7-EFEFE983CC33}" name="Column3367"/>
    <tableColumn id="3368" xr3:uid="{1B5B528C-5367-4D3E-9A35-17B8544CFBBA}" name="Column3368"/>
    <tableColumn id="3369" xr3:uid="{772A5CE1-E4AD-41CF-8137-A6E117518E05}" name="Column3369"/>
    <tableColumn id="3370" xr3:uid="{4F1577C3-33B9-4BCD-B287-DC145AE156AD}" name="Column3370"/>
    <tableColumn id="3371" xr3:uid="{738B2CAF-F976-4026-ABD0-44CE64006990}" name="Column3371"/>
    <tableColumn id="3372" xr3:uid="{95716EF6-E9F2-4AAE-AA0F-CD639504E828}" name="Column3372"/>
    <tableColumn id="3373" xr3:uid="{D4C09462-BF95-4D85-89D5-51322DA0B3E2}" name="Column3373"/>
    <tableColumn id="3374" xr3:uid="{1C9841F3-C6F0-4F72-9EC9-3DC3D2E5EE1B}" name="Column3374"/>
    <tableColumn id="3375" xr3:uid="{CED71903-6DA1-4A92-A1E5-80B5CA1C756C}" name="Column3375"/>
    <tableColumn id="3376" xr3:uid="{ABBED730-823E-43D6-A6C7-9D46784CA71B}" name="Column3376"/>
    <tableColumn id="3377" xr3:uid="{15267522-4BBD-4024-8A8B-B62BD6E737D7}" name="Column3377"/>
    <tableColumn id="3378" xr3:uid="{4BE56C2E-617D-40C1-A3E6-FCBFAA7EC006}" name="Column3378"/>
    <tableColumn id="3379" xr3:uid="{3E22433F-4483-49D4-8743-4C9225846FB5}" name="Column3379"/>
    <tableColumn id="3380" xr3:uid="{89B72EAA-A58B-4AD2-8A74-85060E3531B3}" name="Column3380"/>
    <tableColumn id="3381" xr3:uid="{547F419D-090F-4F64-B645-803AD993AC36}" name="Column3381"/>
    <tableColumn id="3382" xr3:uid="{861B76A7-8F73-4EFF-8AE1-99781912F5D0}" name="Column3382"/>
    <tableColumn id="3383" xr3:uid="{1F9DE926-CCDC-450B-9584-FA8848DE0D5F}" name="Column3383"/>
    <tableColumn id="3384" xr3:uid="{5524770A-1A7C-4104-A614-AC12F9A13351}" name="Column3384"/>
    <tableColumn id="3385" xr3:uid="{1C861043-2E1C-458A-80FE-F920F73FEDA0}" name="Column3385"/>
    <tableColumn id="3386" xr3:uid="{266C7700-3385-42E1-BB82-1F152A503EC5}" name="Column3386"/>
    <tableColumn id="3387" xr3:uid="{533A922F-EF87-4281-B78A-5B8E3167E555}" name="Column3387"/>
    <tableColumn id="3388" xr3:uid="{24A1F919-C2EF-4826-81EE-0AC999364A25}" name="Column3388"/>
    <tableColumn id="3389" xr3:uid="{AE13E948-D82C-4D79-AA59-F1BDA47EB0B3}" name="Column3389"/>
    <tableColumn id="3390" xr3:uid="{354ADAD9-307B-44E4-90D0-F22B80EFD91F}" name="Column3390"/>
    <tableColumn id="3391" xr3:uid="{74EF50BD-2D75-4B8B-8F21-254FCFB3AF3C}" name="Column3391"/>
    <tableColumn id="3392" xr3:uid="{D1100231-B386-444D-9998-F84A15A70432}" name="Column3392"/>
    <tableColumn id="3393" xr3:uid="{5F0EEFE3-B07A-425E-8D28-7BECA5984BB3}" name="Column3393"/>
    <tableColumn id="3394" xr3:uid="{778BF4E2-F252-4C1A-BA6E-AA98F85F4288}" name="Column3394"/>
    <tableColumn id="3395" xr3:uid="{1A669329-CF7A-4C30-885E-01DEF3AEF735}" name="Column3395"/>
    <tableColumn id="3396" xr3:uid="{3E8AF076-6D63-48EF-97CA-B2812A0A8A23}" name="Column3396"/>
    <tableColumn id="3397" xr3:uid="{0C649586-4517-4FB0-912E-819F1DF4139C}" name="Column3397"/>
    <tableColumn id="3398" xr3:uid="{82B797A9-DF05-4564-B6FF-05B070D3403C}" name="Column3398"/>
    <tableColumn id="3399" xr3:uid="{B9D9B6BD-5CAD-4F45-B669-7BA4EEA03337}" name="Column3399"/>
    <tableColumn id="3400" xr3:uid="{732691B7-5E75-4FCF-AE27-08E961DD4AA0}" name="Column3400"/>
    <tableColumn id="3401" xr3:uid="{E9440BC1-86C4-4C71-A11C-90D3B0338C73}" name="Column3401"/>
    <tableColumn id="3402" xr3:uid="{E7EEADD3-25E5-4682-A9F1-A60631413F96}" name="Column3402"/>
    <tableColumn id="3403" xr3:uid="{FE08E235-0BDF-4D88-AA92-7CE17E86740E}" name="Column3403"/>
    <tableColumn id="3404" xr3:uid="{F9B997F4-0E5C-4C85-B1D1-75BFE1CA1427}" name="Column3404"/>
    <tableColumn id="3405" xr3:uid="{74D6218D-161E-4E23-9542-95860EEDA660}" name="Column3405"/>
    <tableColumn id="3406" xr3:uid="{5C8CBB7D-12B8-42E5-93FD-C924E407687C}" name="Column3406"/>
    <tableColumn id="3407" xr3:uid="{2CC1F344-EC28-465D-9CB8-5AFCAD2FDFC3}" name="Column3407"/>
    <tableColumn id="3408" xr3:uid="{55AE33FF-B1AB-4238-B30D-B38F8B36682D}" name="Column3408"/>
    <tableColumn id="3409" xr3:uid="{6A6E5D24-4CD6-47C2-8BAB-7D41A9177ED4}" name="Column3409"/>
    <tableColumn id="3410" xr3:uid="{1AF5B7CD-F444-4FE6-AE49-AC405B69D91A}" name="Column3410"/>
    <tableColumn id="3411" xr3:uid="{686F9DFD-BC37-4176-9DBD-40D4D0D1BDF3}" name="Column3411"/>
    <tableColumn id="3412" xr3:uid="{85567BA8-DFDE-43D2-AD26-8BC05740EA3D}" name="Column3412"/>
    <tableColumn id="3413" xr3:uid="{379D8079-08B8-4CF9-AAD3-4645F61897B7}" name="Column3413"/>
    <tableColumn id="3414" xr3:uid="{7A6AC5EE-9FBD-41DC-89BC-F7A4618FC514}" name="Column3414"/>
    <tableColumn id="3415" xr3:uid="{88057D15-CE53-42AA-AB71-A39E8F7402CB}" name="Column3415"/>
    <tableColumn id="3416" xr3:uid="{C8498207-C2B0-49EF-BF43-29725BE94F9F}" name="Column3416"/>
    <tableColumn id="3417" xr3:uid="{529737EE-5FDD-40FD-A48B-D99777E0FB26}" name="Column3417"/>
    <tableColumn id="3418" xr3:uid="{FE83BF3C-A0C6-4618-B990-1B4E9567CFFB}" name="Column3418"/>
    <tableColumn id="3419" xr3:uid="{AA6F3144-3F31-4306-A716-B799C645CFD9}" name="Column3419"/>
    <tableColumn id="3420" xr3:uid="{9DB3265A-AEA4-49CA-A15E-F5962977F1EB}" name="Column3420"/>
    <tableColumn id="3421" xr3:uid="{55A9469C-527F-4DB1-AD4C-D776C0C00388}" name="Column3421"/>
    <tableColumn id="3422" xr3:uid="{02D4E55C-9936-415E-AAE3-F53ACDE5A7A8}" name="Column3422"/>
    <tableColumn id="3423" xr3:uid="{13FF5E53-1865-4ABF-B2FB-130E281F7083}" name="Column3423"/>
    <tableColumn id="3424" xr3:uid="{48745FFB-FAF7-4BAF-86D9-6F6CF8868F3A}" name="Column3424"/>
    <tableColumn id="3425" xr3:uid="{1CA4EED0-1FBB-4D61-B08F-129B18C70CB4}" name="Column3425"/>
    <tableColumn id="3426" xr3:uid="{570C85F2-B8D0-45ED-B9AC-34243F7FE5A3}" name="Column3426"/>
    <tableColumn id="3427" xr3:uid="{5F4AEFDB-ABC9-48F1-8C99-3D281CD92AC4}" name="Column3427"/>
    <tableColumn id="3428" xr3:uid="{08018A7F-DDC6-4674-B5A7-CCD6916360C0}" name="Column3428"/>
    <tableColumn id="3429" xr3:uid="{72287896-6D65-4CEF-BA68-8AA5E1AC4572}" name="Column3429"/>
    <tableColumn id="3430" xr3:uid="{47379BDE-415D-4CAE-902A-3F603CA2C306}" name="Column3430"/>
    <tableColumn id="3431" xr3:uid="{07D3694E-5213-4B76-BDB1-885D7AB3B3D1}" name="Column3431"/>
    <tableColumn id="3432" xr3:uid="{D8A6F6E4-7403-4C0B-A917-CE8763E0F9EC}" name="Column3432"/>
    <tableColumn id="3433" xr3:uid="{C76B6287-4B69-412E-9A69-56F3028EC4F0}" name="Column3433"/>
    <tableColumn id="3434" xr3:uid="{EBA972D6-2C75-48EA-99B2-2C5BD4F876CE}" name="Column3434"/>
    <tableColumn id="3435" xr3:uid="{BB2D9C03-B2EB-4FC4-836E-DBA8F251BFFC}" name="Column3435"/>
    <tableColumn id="3436" xr3:uid="{CEA90A9E-6E46-4798-8805-F24AA3F95B64}" name="Column3436"/>
    <tableColumn id="3437" xr3:uid="{8DF627E1-71E5-4FDC-A259-4DCD0983B751}" name="Column3437"/>
    <tableColumn id="3438" xr3:uid="{16543E07-04C9-4C00-92A6-223FD3A463B7}" name="Column3438"/>
    <tableColumn id="3439" xr3:uid="{00159C42-6897-4F8B-97A4-15D94B3394F5}" name="Column3439"/>
    <tableColumn id="3440" xr3:uid="{089A83F9-D91C-4F26-8D61-3D58BF7805E4}" name="Column3440"/>
    <tableColumn id="3441" xr3:uid="{C3E532F0-27EF-4681-B071-A30182CAC6C4}" name="Column3441"/>
    <tableColumn id="3442" xr3:uid="{2D66FAD8-DC7E-4532-A611-5B51BA12CACE}" name="Column3442"/>
    <tableColumn id="3443" xr3:uid="{2924B1A0-E97E-44E9-BFEF-95521C77927F}" name="Column3443"/>
    <tableColumn id="3444" xr3:uid="{C189A695-8574-484C-9C27-149CABE15F6E}" name="Column3444"/>
    <tableColumn id="3445" xr3:uid="{0C894486-A249-41B1-B809-AA1BE18F86F1}" name="Column3445"/>
    <tableColumn id="3446" xr3:uid="{9BEB0AA4-00FC-484E-AF62-228B06B9FF67}" name="Column3446"/>
    <tableColumn id="3447" xr3:uid="{1001CF6B-4513-47F4-8C09-188820768789}" name="Column3447"/>
    <tableColumn id="3448" xr3:uid="{84307B10-EBD5-46F6-895C-F534F6EF1DC7}" name="Column3448"/>
    <tableColumn id="3449" xr3:uid="{C029B655-B1CD-4D18-B8A3-6E8C6CFBB130}" name="Column3449"/>
    <tableColumn id="3450" xr3:uid="{D6AFAD7A-6F9D-4847-A79D-D9F7BC72067F}" name="Column3450"/>
    <tableColumn id="3451" xr3:uid="{241EF0D0-666E-48F2-89EE-5F15B5E0F8D2}" name="Column3451"/>
    <tableColumn id="3452" xr3:uid="{720DC6DA-880A-4A17-BA01-2502F11B5F9A}" name="Column3452"/>
    <tableColumn id="3453" xr3:uid="{D0D10B57-E54A-4E5A-8FBE-9AB4B12879A3}" name="Column3453"/>
    <tableColumn id="3454" xr3:uid="{5EA1E371-6728-48EB-B349-97C686E626AB}" name="Column3454"/>
    <tableColumn id="3455" xr3:uid="{F4BA31D8-8A60-40E1-B747-B5D131D46542}" name="Column3455"/>
    <tableColumn id="3456" xr3:uid="{D35EED06-91B3-4D51-85A7-7F9C6C19E8C9}" name="Column3456"/>
    <tableColumn id="3457" xr3:uid="{1A102FB6-652E-4BC6-9C43-BB78C64F4601}" name="Column3457"/>
    <tableColumn id="3458" xr3:uid="{CB2408FD-5670-4B70-AF15-946AFCB9D55A}" name="Column3458"/>
    <tableColumn id="3459" xr3:uid="{55F321A7-56FB-4D14-B820-62253DC96FE3}" name="Column3459"/>
    <tableColumn id="3460" xr3:uid="{DFE67618-4F7C-46EB-B28A-A29043FC8445}" name="Column3460"/>
    <tableColumn id="3461" xr3:uid="{23CA8057-7F7C-423D-9B11-2644D1F873AC}" name="Column3461"/>
    <tableColumn id="3462" xr3:uid="{3B8C8F44-F20A-4349-9E75-3CD40E52283D}" name="Column3462"/>
    <tableColumn id="3463" xr3:uid="{BE4E2D68-4E3F-4F5E-90FD-94A93A03DF38}" name="Column3463"/>
    <tableColumn id="3464" xr3:uid="{74E901CB-5BC0-421F-9CDC-C21C7C38111B}" name="Column3464"/>
    <tableColumn id="3465" xr3:uid="{1D382448-76B5-44BA-955F-546B102111C6}" name="Column3465"/>
    <tableColumn id="3466" xr3:uid="{46A66324-D88D-4A50-BFAF-F2AEEB9AA98B}" name="Column3466"/>
    <tableColumn id="3467" xr3:uid="{FDC8132C-D935-405D-A438-E81DC05C5585}" name="Column3467"/>
    <tableColumn id="3468" xr3:uid="{1392BD41-9F3C-4A86-8238-72C7C229651E}" name="Column3468"/>
    <tableColumn id="3469" xr3:uid="{DE3B2A51-6F40-4BC3-8B6B-CFF76DFCEF70}" name="Column3469"/>
    <tableColumn id="3470" xr3:uid="{88FDABAC-4591-44A5-8265-94C91E689F56}" name="Column3470"/>
    <tableColumn id="3471" xr3:uid="{9C1E28AD-1476-4C6F-9069-8773FBDE812B}" name="Column3471"/>
    <tableColumn id="3472" xr3:uid="{8D407438-079D-421E-9AAE-7AA561C26224}" name="Column3472"/>
    <tableColumn id="3473" xr3:uid="{BA05A086-A333-44E8-B3A6-11888DBF079B}" name="Column3473"/>
    <tableColumn id="3474" xr3:uid="{7A9F6489-D257-478D-91B7-613BE95D4F53}" name="Column3474"/>
    <tableColumn id="3475" xr3:uid="{BF01A10B-F5DA-4B6B-83CC-8CCA26D4F2AE}" name="Column3475"/>
    <tableColumn id="3476" xr3:uid="{703AA9D3-BC6A-4D52-B5CD-77DD48CE2EE3}" name="Column3476"/>
    <tableColumn id="3477" xr3:uid="{F92F7A66-3F01-48FA-8584-ADF07891B899}" name="Column3477"/>
    <tableColumn id="3478" xr3:uid="{C030188D-AB2A-4B9B-B137-B53EDF379E70}" name="Column3478"/>
    <tableColumn id="3479" xr3:uid="{1625024E-458C-4561-AE5D-EC25CC327C77}" name="Column3479"/>
    <tableColumn id="3480" xr3:uid="{20D2FEB0-CFC2-41DF-B114-8EC821698E3F}" name="Column3480"/>
    <tableColumn id="3481" xr3:uid="{C9967FD3-3F88-4511-8D13-3447BE25D82F}" name="Column3481"/>
    <tableColumn id="3482" xr3:uid="{5154A66E-6ADB-41C6-9582-31813F40457D}" name="Column3482"/>
    <tableColumn id="3483" xr3:uid="{23F3C0EE-703B-42EB-ADA2-54CCEE377889}" name="Column3483"/>
    <tableColumn id="3484" xr3:uid="{D5873DBD-3238-43CB-8CBE-47979E3DA10A}" name="Column3484"/>
    <tableColumn id="3485" xr3:uid="{FADA742C-385E-4F67-9172-C9EB8FC46948}" name="Column3485"/>
    <tableColumn id="3486" xr3:uid="{2880AE5D-70A8-4BAC-A149-FE983BA3A662}" name="Column3486"/>
    <tableColumn id="3487" xr3:uid="{8BB8AC2A-CE33-432B-932E-7C6C51DAF106}" name="Column3487"/>
    <tableColumn id="3488" xr3:uid="{D6953036-F8B1-4E81-8B99-830C4A125368}" name="Column3488"/>
    <tableColumn id="3489" xr3:uid="{93DEA155-7556-43C3-9C25-6F011CB64CE5}" name="Column3489"/>
    <tableColumn id="3490" xr3:uid="{2CC821D4-BFEA-47E4-82ED-63ADA051BAA5}" name="Column3490"/>
    <tableColumn id="3491" xr3:uid="{2D523D4D-6A44-4ABA-992B-1E0EE3BFB031}" name="Column3491"/>
    <tableColumn id="3492" xr3:uid="{2AAF2AB1-DA89-48EC-A21D-4A2151CE3BF9}" name="Column3492"/>
    <tableColumn id="3493" xr3:uid="{92FCB830-A3A8-4378-AACD-F64691F536ED}" name="Column3493"/>
    <tableColumn id="3494" xr3:uid="{FB8A8500-9592-4DF1-BC5A-C70AF3B3B917}" name="Column3494"/>
    <tableColumn id="3495" xr3:uid="{7849F204-E6AD-4548-98CD-F34AE0D87BBF}" name="Column3495"/>
    <tableColumn id="3496" xr3:uid="{CBE61000-B30C-4F85-99BF-40FA71B1EF2E}" name="Column3496"/>
    <tableColumn id="3497" xr3:uid="{19DDA125-4620-47B9-8AF3-59E15DE92482}" name="Column3497"/>
    <tableColumn id="3498" xr3:uid="{37C11D12-20F6-469D-B32A-4E7C4DDF5E9F}" name="Column3498"/>
    <tableColumn id="3499" xr3:uid="{F6B7F219-B8C3-478B-9D40-F4F167DC6091}" name="Column3499"/>
    <tableColumn id="3500" xr3:uid="{1FE24861-BD8C-4867-92FB-3DE649EED84E}" name="Column3500"/>
    <tableColumn id="3501" xr3:uid="{FC084C81-DD64-4B88-8736-9357B17E31EE}" name="Column3501"/>
    <tableColumn id="3502" xr3:uid="{50F4C96B-4F92-452F-A244-B32F966B0A55}" name="Column3502"/>
    <tableColumn id="3503" xr3:uid="{58D63432-D970-4639-B4FD-678DFC48143E}" name="Column3503"/>
    <tableColumn id="3504" xr3:uid="{AA593F8E-09F6-442A-BFBD-4322388005A2}" name="Column3504"/>
    <tableColumn id="3505" xr3:uid="{86B59602-CA06-45B6-B6C1-48A9015C2666}" name="Column3505"/>
    <tableColumn id="3506" xr3:uid="{F6A4715E-3567-4052-A09E-C70EEECA1392}" name="Column3506"/>
    <tableColumn id="3507" xr3:uid="{6AC52185-E0A3-4929-A271-EEC3A05AA85F}" name="Column3507"/>
    <tableColumn id="3508" xr3:uid="{17A984D5-D91B-40BD-83A9-283566C75962}" name="Column3508"/>
    <tableColumn id="3509" xr3:uid="{2D1A8959-A0A6-42D7-B088-1E359C2EBAED}" name="Column3509"/>
    <tableColumn id="3510" xr3:uid="{44BCFACA-6DDA-4B66-910B-F31105FCD325}" name="Column3510"/>
    <tableColumn id="3511" xr3:uid="{B8949BB9-5CD7-4750-A07B-20B7EBB14DEC}" name="Column3511"/>
    <tableColumn id="3512" xr3:uid="{0BFAD18E-A4DD-4C7A-9A3C-1FD15C359004}" name="Column3512"/>
    <tableColumn id="3513" xr3:uid="{30C7F429-073C-471A-99A2-6169CB68343E}" name="Column3513"/>
    <tableColumn id="3514" xr3:uid="{0152A49A-7CD6-4DFF-A5DC-C2C1F214F2F9}" name="Column3514"/>
    <tableColumn id="3515" xr3:uid="{A0F48348-146C-47B1-9E6B-D88DBC102BC3}" name="Column3515"/>
    <tableColumn id="3516" xr3:uid="{15616310-62A0-48B9-B375-1268ACA4EB2F}" name="Column3516"/>
    <tableColumn id="3517" xr3:uid="{D2C376A2-486E-4934-B33C-15CAABE5C6DD}" name="Column3517"/>
    <tableColumn id="3518" xr3:uid="{D3BA820C-1F4F-4D0B-8831-27F66579EB31}" name="Column3518"/>
    <tableColumn id="3519" xr3:uid="{89612061-B8D4-4748-A896-268BA8D7681A}" name="Column3519"/>
    <tableColumn id="3520" xr3:uid="{BF2A1C49-FB8D-4BC6-AE8B-AC3AE394482B}" name="Column3520"/>
    <tableColumn id="3521" xr3:uid="{3747E56A-EEA8-4936-8D5C-B994B2D15E56}" name="Column3521"/>
    <tableColumn id="3522" xr3:uid="{BE11FC84-54BE-4A58-AD5E-064E6C478C74}" name="Column3522"/>
    <tableColumn id="3523" xr3:uid="{BDC91965-9293-4FFF-8243-9A121886A178}" name="Column3523"/>
    <tableColumn id="3524" xr3:uid="{27DEA50E-6421-473F-A3DB-97DBECF4D017}" name="Column3524"/>
    <tableColumn id="3525" xr3:uid="{D7952A01-AB53-4376-B56E-5B7936D28454}" name="Column3525"/>
    <tableColumn id="3526" xr3:uid="{74A9071D-9821-463E-B6B7-5882A5315807}" name="Column3526"/>
    <tableColumn id="3527" xr3:uid="{676CC52D-E94F-4ADD-8BF8-83B57722DB25}" name="Column3527"/>
    <tableColumn id="3528" xr3:uid="{E6DDBED9-F3FE-4427-87A1-D0289D70513E}" name="Column3528"/>
    <tableColumn id="3529" xr3:uid="{DC36F6B4-334F-429A-BD27-DDBD1326ABBE}" name="Column3529"/>
    <tableColumn id="3530" xr3:uid="{EE48CF69-001E-42D5-BF77-E77105700E38}" name="Column3530"/>
    <tableColumn id="3531" xr3:uid="{0E1E32B8-6723-44D3-8EFA-3FAC87145008}" name="Column3531"/>
    <tableColumn id="3532" xr3:uid="{BDB5A146-F50D-461B-A377-E2F096CF6BCD}" name="Column3532"/>
    <tableColumn id="3533" xr3:uid="{C752EBCB-8FC3-42C0-B3DB-4136E759DB40}" name="Column3533"/>
    <tableColumn id="3534" xr3:uid="{00E5E302-1D39-4F10-AF1B-54170894D0A0}" name="Column3534"/>
    <tableColumn id="3535" xr3:uid="{F53B0C42-8388-4157-99D1-EC1492160C17}" name="Column3535"/>
    <tableColumn id="3536" xr3:uid="{FE55EC73-4554-4DC2-B536-DB9E2DAF0B3D}" name="Column3536"/>
    <tableColumn id="3537" xr3:uid="{BFA061C5-1D40-40DD-8CD6-A90759CDB140}" name="Column3537"/>
    <tableColumn id="3538" xr3:uid="{981C6E9F-D3DA-4CAF-B4D2-02F0B5097545}" name="Column3538"/>
    <tableColumn id="3539" xr3:uid="{922BFB42-1768-4DC2-A477-2C489A704FA7}" name="Column3539"/>
    <tableColumn id="3540" xr3:uid="{84102124-F968-4605-BECF-EB7BD1C4C850}" name="Column3540"/>
    <tableColumn id="3541" xr3:uid="{6F5C97D7-0381-4118-B3F2-DBE4151BC423}" name="Column3541"/>
    <tableColumn id="3542" xr3:uid="{27854586-6651-4403-BF48-FCC49F73DA5B}" name="Column3542"/>
    <tableColumn id="3543" xr3:uid="{1360140D-7C24-4E7D-8821-B74A06DBAE27}" name="Column3543"/>
    <tableColumn id="3544" xr3:uid="{5EE66E42-5443-4635-8FB0-43D75F46948A}" name="Column3544"/>
    <tableColumn id="3545" xr3:uid="{603EE689-7D81-4EC0-B0EB-3994502316FE}" name="Column3545"/>
    <tableColumn id="3546" xr3:uid="{BA8FD6C3-43E8-4CA3-B7EC-E3F359731D5E}" name="Column3546"/>
    <tableColumn id="3547" xr3:uid="{A7AAE75A-90AF-4297-90AE-B8FB1BCB9825}" name="Column3547"/>
    <tableColumn id="3548" xr3:uid="{78257732-5C76-4531-A1A8-CCF34163172A}" name="Column3548"/>
    <tableColumn id="3549" xr3:uid="{B661B10B-3E99-4A7E-BC85-0111D8088634}" name="Column3549"/>
    <tableColumn id="3550" xr3:uid="{A7A67FBB-2DFC-4D7E-8728-F49A44575AB4}" name="Column3550"/>
    <tableColumn id="3551" xr3:uid="{2414F6B5-614F-4791-82EE-93C52E23D339}" name="Column3551"/>
    <tableColumn id="3552" xr3:uid="{285D22FE-5076-40FE-93CB-8D240F316C70}" name="Column3552"/>
    <tableColumn id="3553" xr3:uid="{F1CE3FBE-1373-443D-A23B-0BFBA18E7B16}" name="Column3553"/>
    <tableColumn id="3554" xr3:uid="{4610B8ED-4C6E-4A49-885B-DC9A6DBC029E}" name="Column3554"/>
    <tableColumn id="3555" xr3:uid="{B465326A-51E0-4729-9B80-D8EB3F57D948}" name="Column3555"/>
    <tableColumn id="3556" xr3:uid="{98584118-B023-4080-9DD0-5C5CC1747864}" name="Column3556"/>
    <tableColumn id="3557" xr3:uid="{9BFBE338-F6CC-4CC0-804D-F83E17391132}" name="Column3557"/>
    <tableColumn id="3558" xr3:uid="{B47F3AB0-B591-458E-BF01-01D522C2B9BB}" name="Column3558"/>
    <tableColumn id="3559" xr3:uid="{A50A91E5-123C-45C7-B39B-647871B442F5}" name="Column3559"/>
    <tableColumn id="3560" xr3:uid="{6251E49A-CB3A-4D65-AE2F-8FFBE37A99D9}" name="Column3560"/>
    <tableColumn id="3561" xr3:uid="{E41C1CB3-DBE0-4A20-B5B2-B8229AFF8601}" name="Column3561"/>
    <tableColumn id="3562" xr3:uid="{380E3852-3A2A-42A0-A34A-42FBA9EF9629}" name="Column3562"/>
    <tableColumn id="3563" xr3:uid="{4A6E2486-19A3-4017-9918-171BB4C84E1E}" name="Column3563"/>
    <tableColumn id="3564" xr3:uid="{F79A85C5-42D7-4BF1-8687-164764FFCDBF}" name="Column3564"/>
    <tableColumn id="3565" xr3:uid="{9AA74481-8802-4B57-B9DE-0FBCC12937EC}" name="Column3565"/>
    <tableColumn id="3566" xr3:uid="{726500FD-B13D-4C15-8951-03CEB5840153}" name="Column3566"/>
    <tableColumn id="3567" xr3:uid="{15EF0109-6AF2-4C47-AA26-B1D2972E510A}" name="Column3567"/>
    <tableColumn id="3568" xr3:uid="{40EB307C-899B-4D1F-97C2-CCE498BBB774}" name="Column3568"/>
    <tableColumn id="3569" xr3:uid="{1CB38E78-9BAD-4199-A399-B9151654DF80}" name="Column3569"/>
    <tableColumn id="3570" xr3:uid="{1C1AFC8E-5A0B-4D97-90BD-1EA151950C52}" name="Column3570"/>
    <tableColumn id="3571" xr3:uid="{AECA3B8F-77E9-4F6C-ACA9-9F01808A90A2}" name="Column3571"/>
    <tableColumn id="3572" xr3:uid="{7E6BA86B-821A-4BEE-BB0C-3F7C8BA1F305}" name="Column3572"/>
    <tableColumn id="3573" xr3:uid="{7E43707A-AF8A-4399-9A15-0E5653B6CA56}" name="Column3573"/>
    <tableColumn id="3574" xr3:uid="{8F3BD979-36ED-4E50-9966-9D10BB930D30}" name="Column3574"/>
    <tableColumn id="3575" xr3:uid="{8A32B82D-BC55-46C6-A61C-5456B6E5F1C1}" name="Column3575"/>
    <tableColumn id="3576" xr3:uid="{19C4637D-0EC9-459D-9928-BF4689062FE1}" name="Column3576"/>
    <tableColumn id="3577" xr3:uid="{82722EBD-822E-48EA-9D08-8667BCBAFE0D}" name="Column3577"/>
    <tableColumn id="3578" xr3:uid="{ECF93E97-34CE-44CD-8459-4217AE03E561}" name="Column3578"/>
    <tableColumn id="3579" xr3:uid="{588886DE-1B86-458A-B625-FF480A721D63}" name="Column3579"/>
    <tableColumn id="3580" xr3:uid="{40D381CC-B1E9-467F-848C-0FFDE90EA6BD}" name="Column3580"/>
    <tableColumn id="3581" xr3:uid="{B32D3FFE-A519-46AA-89E9-9F6712E8C48A}" name="Column3581"/>
    <tableColumn id="3582" xr3:uid="{7AD6998B-9DEA-4875-90CE-C4E282B304DB}" name="Column3582"/>
    <tableColumn id="3583" xr3:uid="{32449432-987D-4EE3-A7FD-04D844B6075C}" name="Column3583"/>
    <tableColumn id="3584" xr3:uid="{482F8BF1-6A7A-41D4-BC76-96BF872D119C}" name="Column3584"/>
    <tableColumn id="3585" xr3:uid="{9E3DD2BE-005B-4B7D-94A9-1EA72FFD012B}" name="Column3585"/>
    <tableColumn id="3586" xr3:uid="{8DFA1F60-659A-41BC-B7DC-EE3C2B98C090}" name="Column3586"/>
    <tableColumn id="3587" xr3:uid="{AC20A9AE-7A82-4D69-B9E0-4E4AB88B3072}" name="Column3587"/>
    <tableColumn id="3588" xr3:uid="{CE31DF5B-8A04-46DF-B19D-D5383BAB8452}" name="Column3588"/>
    <tableColumn id="3589" xr3:uid="{A22F665C-5E00-4B20-AD87-5ED09A989D24}" name="Column3589"/>
    <tableColumn id="3590" xr3:uid="{48E16078-947E-40ED-82FC-BF65469B77AF}" name="Column3590"/>
    <tableColumn id="3591" xr3:uid="{EE4553E1-F947-4647-BC50-3B1C8777E480}" name="Column3591"/>
    <tableColumn id="3592" xr3:uid="{99267805-ADFA-4DF3-84D0-E0F50666B96F}" name="Column3592"/>
    <tableColumn id="3593" xr3:uid="{08A8800F-8C91-44B0-B203-04AFD90EF3EA}" name="Column3593"/>
    <tableColumn id="3594" xr3:uid="{101A802C-E010-4B6D-8DDD-B1A18708A387}" name="Column3594"/>
    <tableColumn id="3595" xr3:uid="{57D15855-BD82-4873-B6D6-E7AD548D8B0E}" name="Column3595"/>
    <tableColumn id="3596" xr3:uid="{00227CC8-0273-417C-AB48-FD97F4A25012}" name="Column3596"/>
    <tableColumn id="3597" xr3:uid="{A0A6314B-1B0B-4304-8D44-DF63B6D7E906}" name="Column3597"/>
    <tableColumn id="3598" xr3:uid="{D32E6269-2A11-46C5-955C-703783526D4B}" name="Column3598"/>
    <tableColumn id="3599" xr3:uid="{C4B76E56-BDCE-4B61-9B56-A378103006B0}" name="Column3599"/>
    <tableColumn id="3600" xr3:uid="{844B221D-637F-4FC7-8447-AF56F8ABFDA3}" name="Column3600"/>
    <tableColumn id="3601" xr3:uid="{A127D93E-EFC0-4F3F-9E74-679B61F5D504}" name="Column3601"/>
    <tableColumn id="3602" xr3:uid="{CB4EDC67-05C3-49DF-9B22-598A58E3995C}" name="Column3602"/>
    <tableColumn id="3603" xr3:uid="{D3FAC613-5929-4913-9129-1595D9956F8C}" name="Column3603"/>
    <tableColumn id="3604" xr3:uid="{BAC64E56-0C51-4CE2-B4A4-179A079A6A38}" name="Column3604"/>
    <tableColumn id="3605" xr3:uid="{517E8C05-0A4E-473B-B2A2-ED3551C8C51F}" name="Column3605"/>
    <tableColumn id="3606" xr3:uid="{A5215291-7899-4FC5-A836-6B4DB4443309}" name="Column3606"/>
    <tableColumn id="3607" xr3:uid="{F86C2820-C6B7-48A9-A381-4F895711BEC1}" name="Column3607"/>
    <tableColumn id="3608" xr3:uid="{296ACF19-52AB-410F-B5BD-41B9FCB24605}" name="Column3608"/>
    <tableColumn id="3609" xr3:uid="{632BE1F2-2AB7-4D15-A398-4D4B436494A9}" name="Column3609"/>
    <tableColumn id="3610" xr3:uid="{85FE74C5-0E6B-40C1-ACC9-C38622F2B7C0}" name="Column3610"/>
    <tableColumn id="3611" xr3:uid="{0B907EF9-20E3-4133-8FFC-DAA1A30B4797}" name="Column3611"/>
    <tableColumn id="3612" xr3:uid="{9A0CFDEF-6287-4054-B692-B57B9EEB91CD}" name="Column3612"/>
    <tableColumn id="3613" xr3:uid="{99F3BD4F-C40F-4D4C-97EF-0BD304D48AD6}" name="Column3613"/>
    <tableColumn id="3614" xr3:uid="{AF084C7F-1F37-4C1C-9330-65B9377FF2B9}" name="Column3614"/>
    <tableColumn id="3615" xr3:uid="{2C67076E-2B63-4701-9CF9-0B94B1A2A0ED}" name="Column3615"/>
    <tableColumn id="3616" xr3:uid="{C6352413-4240-4D29-A3D2-C5CB73A0A83F}" name="Column3616"/>
    <tableColumn id="3617" xr3:uid="{123B92B2-40B4-466E-9ADE-E0009059B9FD}" name="Column3617"/>
    <tableColumn id="3618" xr3:uid="{54149A05-3BA7-4441-AA9C-3634FE41BDD6}" name="Column3618"/>
    <tableColumn id="3619" xr3:uid="{9A81A67F-5598-48C7-80BF-E350C9A93EE8}" name="Column3619"/>
    <tableColumn id="3620" xr3:uid="{14F1A346-2529-4C39-9DF5-4119A8FE1820}" name="Column3620"/>
    <tableColumn id="3621" xr3:uid="{06E5BC56-E2BF-435C-8E9A-866700D1E980}" name="Column3621"/>
    <tableColumn id="3622" xr3:uid="{DAADC5A8-8DD5-4435-97A8-3DAAAC9D1074}" name="Column3622"/>
    <tableColumn id="3623" xr3:uid="{51559B65-D559-452D-816F-1F43CAB4FAC1}" name="Column3623"/>
    <tableColumn id="3624" xr3:uid="{2EC82DB8-9451-4B79-80DE-4101842EB4D3}" name="Column3624"/>
    <tableColumn id="3625" xr3:uid="{D241FFF2-88C1-42E8-ACCB-D8661FF94CB9}" name="Column3625"/>
    <tableColumn id="3626" xr3:uid="{A23CE39D-DE0D-4457-8628-9A3510007A88}" name="Column3626"/>
    <tableColumn id="3627" xr3:uid="{9D2E42DF-C0E6-4647-92FB-00D62D18608C}" name="Column3627"/>
    <tableColumn id="3628" xr3:uid="{0D66B5CC-E854-49BF-A8F2-18C005ADEF9C}" name="Column3628"/>
    <tableColumn id="3629" xr3:uid="{5AEB0D04-EC97-4482-BD92-F6F5C9A04423}" name="Column3629"/>
    <tableColumn id="3630" xr3:uid="{8C40E384-8AD3-4CC1-91C5-968EE2B1C48C}" name="Column3630"/>
    <tableColumn id="3631" xr3:uid="{7556C139-FA39-47B6-A977-2A941481330C}" name="Column3631"/>
    <tableColumn id="3632" xr3:uid="{E24E346A-FAAD-4314-804A-D0F4995EA8E5}" name="Column3632"/>
    <tableColumn id="3633" xr3:uid="{03B1D378-AB07-4B4F-85B0-1A574F25FA53}" name="Column3633"/>
    <tableColumn id="3634" xr3:uid="{83E65D05-1AAA-4251-83B1-8428DC19B04E}" name="Column3634"/>
    <tableColumn id="3635" xr3:uid="{7371AAC1-8269-4A1F-98C5-B5309355901F}" name="Column3635"/>
    <tableColumn id="3636" xr3:uid="{779CD213-8F46-49FC-9EFE-FDE67623CCF8}" name="Column3636"/>
    <tableColumn id="3637" xr3:uid="{E73B1583-BC5D-4C74-B191-081159DB45C2}" name="Column3637"/>
    <tableColumn id="3638" xr3:uid="{B755BF85-2744-4F97-AE4C-D8A23F921371}" name="Column3638"/>
    <tableColumn id="3639" xr3:uid="{198CAB3C-A180-43D5-B93E-6F25AF52038D}" name="Column3639"/>
    <tableColumn id="3640" xr3:uid="{DBD51498-674C-4715-A2B8-C71816DB6465}" name="Column3640"/>
    <tableColumn id="3641" xr3:uid="{E733FFFD-DA0D-4354-930B-546257FEE8DA}" name="Column3641"/>
    <tableColumn id="3642" xr3:uid="{AC481119-7D6D-44A0-BC5B-913D4F3DEF29}" name="Column3642"/>
    <tableColumn id="3643" xr3:uid="{70E9814A-E074-432E-AB8A-38C525CC2249}" name="Column3643"/>
    <tableColumn id="3644" xr3:uid="{16011505-389C-4106-9073-1C62C4B41B31}" name="Column3644"/>
    <tableColumn id="3645" xr3:uid="{672D7495-9941-4555-8394-A892A050910C}" name="Column3645"/>
    <tableColumn id="3646" xr3:uid="{ED60A13B-E4FE-4247-8481-BED68C57C066}" name="Column3646"/>
    <tableColumn id="3647" xr3:uid="{E875618E-61AB-467A-B853-321327E6121A}" name="Column3647"/>
    <tableColumn id="3648" xr3:uid="{A1C65C90-5ACE-461F-9F72-704B85A0EB47}" name="Column3648"/>
    <tableColumn id="3649" xr3:uid="{AB94E61D-5104-4428-ADFD-825A6433C876}" name="Column3649"/>
    <tableColumn id="3650" xr3:uid="{C4941409-AA30-4C4F-944C-521B54CAABB4}" name="Column3650"/>
    <tableColumn id="3651" xr3:uid="{DCF0C2E5-8995-454A-AA7C-AD545E61F8BA}" name="Column3651"/>
    <tableColumn id="3652" xr3:uid="{A4977324-6D1E-4DCB-BF80-04A20358B30C}" name="Column3652"/>
    <tableColumn id="3653" xr3:uid="{C1946574-E88E-445E-83EC-3E362B8444A2}" name="Column3653"/>
    <tableColumn id="3654" xr3:uid="{538BC638-274F-4432-8646-ECF58FD4CB30}" name="Column3654"/>
    <tableColumn id="3655" xr3:uid="{A03F1775-8B11-4D8E-AFCB-5B2D8CEC7D92}" name="Column3655"/>
    <tableColumn id="3656" xr3:uid="{D9106654-DED2-45AB-9F08-11D5D09A0EBD}" name="Column3656"/>
    <tableColumn id="3657" xr3:uid="{8FC3ADDC-6E80-46CE-968C-2FD4AA00D249}" name="Column3657"/>
    <tableColumn id="3658" xr3:uid="{56CE98C9-A8A1-4581-90EC-3BA54662DB6B}" name="Column3658"/>
    <tableColumn id="3659" xr3:uid="{C410E3E7-751F-4B10-BE25-DA7F0B2733D6}" name="Column3659"/>
    <tableColumn id="3660" xr3:uid="{DE30E97C-17AA-4513-AF86-9D1B3FFF0EAE}" name="Column3660"/>
    <tableColumn id="3661" xr3:uid="{921F4DF1-D877-4802-BAE3-8B69202A520F}" name="Column3661"/>
    <tableColumn id="3662" xr3:uid="{8DECAF48-8B73-4706-BBDE-90DBD55D0AE0}" name="Column3662"/>
    <tableColumn id="3663" xr3:uid="{BB174FCF-FDB2-47FA-96DD-0E83CBE7B2FF}" name="Column3663"/>
    <tableColumn id="3664" xr3:uid="{39EAA97C-C676-428F-9096-AEBF8C8D6430}" name="Column3664"/>
    <tableColumn id="3665" xr3:uid="{700B9B1F-4BA9-4904-80C5-600515E23DD2}" name="Column3665"/>
    <tableColumn id="3666" xr3:uid="{D155DAB3-2398-4229-B127-568D87AACED1}" name="Column3666"/>
    <tableColumn id="3667" xr3:uid="{26A571E3-A6B8-410A-B1A0-A8348C3A6679}" name="Column3667"/>
    <tableColumn id="3668" xr3:uid="{D952AEAA-0EEE-4E06-BC06-E42E0A7F07DE}" name="Column3668"/>
    <tableColumn id="3669" xr3:uid="{EEA4EEC1-33D0-4F3B-9707-F3F5469E90C7}" name="Column3669"/>
    <tableColumn id="3670" xr3:uid="{866D7C4A-3D2E-403A-AA03-6B102C2090D5}" name="Column3670"/>
    <tableColumn id="3671" xr3:uid="{2106252B-C784-408B-97D4-D9E7CED35D3E}" name="Column3671"/>
    <tableColumn id="3672" xr3:uid="{47082C49-42CB-4437-AAC9-66D4FE436DFC}" name="Column3672"/>
    <tableColumn id="3673" xr3:uid="{FBEB8623-B7A3-42C0-B508-5AC5852AF061}" name="Column3673"/>
    <tableColumn id="3674" xr3:uid="{E4B685B3-95CA-4759-B6BB-8FB75C769B54}" name="Column3674"/>
    <tableColumn id="3675" xr3:uid="{4C81F661-AD3F-4986-9581-D81BAC59B07A}" name="Column3675"/>
    <tableColumn id="3676" xr3:uid="{627A24C5-0DBF-4B73-A269-1EACEE02891E}" name="Column3676"/>
    <tableColumn id="3677" xr3:uid="{51A8C6F2-BC78-43EC-82B8-7F255FA7DD0C}" name="Column3677"/>
    <tableColumn id="3678" xr3:uid="{CCBEECA2-8529-4254-B422-6EED44FF3265}" name="Column3678"/>
    <tableColumn id="3679" xr3:uid="{0AB5C1AA-7C15-4260-9843-62C835DEBD3D}" name="Column3679"/>
    <tableColumn id="3680" xr3:uid="{326B9C07-9423-4DE3-A3BE-BCA79FB2FD93}" name="Column3680"/>
    <tableColumn id="3681" xr3:uid="{3DBACF74-A2FF-47AA-8F3F-4E2BED6EE4EC}" name="Column3681"/>
    <tableColumn id="3682" xr3:uid="{1C139F00-CF73-43AF-B800-CF35FF0D5822}" name="Column3682"/>
    <tableColumn id="3683" xr3:uid="{DEF6C925-31DC-4DA0-BB0E-F2553673C0AE}" name="Column3683"/>
    <tableColumn id="3684" xr3:uid="{CDBF193D-4916-449A-85EC-F5F00578268E}" name="Column3684"/>
    <tableColumn id="3685" xr3:uid="{93BAD03B-B8A6-4E5D-91F0-E8730E795AD2}" name="Column3685"/>
    <tableColumn id="3686" xr3:uid="{07E05E0E-E423-47EC-A82E-F376896E8D68}" name="Column3686"/>
    <tableColumn id="3687" xr3:uid="{5EFC5026-FAA7-4771-9E4E-A6C2F0B42555}" name="Column3687"/>
    <tableColumn id="3688" xr3:uid="{5DE407CE-61F9-4D2E-B26F-E22FDC7B76FE}" name="Column3688"/>
    <tableColumn id="3689" xr3:uid="{3224945A-24DF-44DE-9225-27BA798E1CB3}" name="Column3689"/>
    <tableColumn id="3690" xr3:uid="{80D22E02-E8DB-4894-8D2A-344596A43C99}" name="Column3690"/>
    <tableColumn id="3691" xr3:uid="{AE6328B7-9780-4417-AE8D-DFFA01EE3509}" name="Column3691"/>
    <tableColumn id="3692" xr3:uid="{248BF2D2-EEF8-45F3-82A3-F82249167123}" name="Column3692"/>
    <tableColumn id="3693" xr3:uid="{E49B4535-69D9-47DA-BD5A-67A00B826C09}" name="Column3693"/>
    <tableColumn id="3694" xr3:uid="{F0E757C4-F1B0-4D68-A287-8BD0F772BD2A}" name="Column3694"/>
    <tableColumn id="3695" xr3:uid="{158154CC-8B81-4699-9B50-A8B0915C0DA2}" name="Column3695"/>
    <tableColumn id="3696" xr3:uid="{FB80BD30-4032-4B0C-A208-49FD136AEE65}" name="Column3696"/>
    <tableColumn id="3697" xr3:uid="{AE350115-F2AC-4CAC-A9B3-A2C13E71C205}" name="Column3697"/>
    <tableColumn id="3698" xr3:uid="{49017C38-64B1-4847-9EF1-AE110A511BDC}" name="Column3698"/>
    <tableColumn id="3699" xr3:uid="{DFF4AE92-4E08-4A46-8935-5EF9893AC9CD}" name="Column3699"/>
    <tableColumn id="3700" xr3:uid="{E7EC2A50-C80F-43D5-96E3-601449FBEFE1}" name="Column3700"/>
    <tableColumn id="3701" xr3:uid="{A549B6C5-4997-4FB1-92A5-75E3C190CFE0}" name="Column3701"/>
    <tableColumn id="3702" xr3:uid="{3FCC816F-56D2-4F55-8586-6D41F5980DAA}" name="Column3702"/>
    <tableColumn id="3703" xr3:uid="{F8E16C22-BF95-4427-9705-B28E18CB6798}" name="Column3703"/>
    <tableColumn id="3704" xr3:uid="{BE594247-50CD-4F01-8F8E-1C5FEB3CF749}" name="Column3704"/>
    <tableColumn id="3705" xr3:uid="{B95F2535-EA76-4576-95F6-C4A3DE5D462A}" name="Column3705"/>
    <tableColumn id="3706" xr3:uid="{75B2E7FB-CE5A-48FA-A115-07A9D4092F0A}" name="Column3706"/>
    <tableColumn id="3707" xr3:uid="{F9EE47BD-94DF-4F55-920D-D3695B64FB45}" name="Column3707"/>
    <tableColumn id="3708" xr3:uid="{BF20189E-0085-4A5B-BEAE-490AD670AA70}" name="Column3708"/>
    <tableColumn id="3709" xr3:uid="{E54C9172-966F-4A7E-93A8-F90EA43F0E5A}" name="Column3709"/>
    <tableColumn id="3710" xr3:uid="{17C63CFF-B0CA-4EA8-8152-FA3E3473A674}" name="Column3710"/>
    <tableColumn id="3711" xr3:uid="{B1A8FAEC-676E-4EEC-8AA7-122BF3A09226}" name="Column3711"/>
    <tableColumn id="3712" xr3:uid="{06BD490B-6697-480A-BAF9-FA31A9E406E8}" name="Column3712"/>
    <tableColumn id="3713" xr3:uid="{4AFEAFED-458B-4419-B798-4A262B5A6E00}" name="Column3713"/>
    <tableColumn id="3714" xr3:uid="{6F67AE24-CC6F-4160-9597-82337900DAC4}" name="Column3714"/>
    <tableColumn id="3715" xr3:uid="{18AC441B-EB64-46CB-8A4F-7C18872CF07E}" name="Column3715"/>
    <tableColumn id="3716" xr3:uid="{17E5A3CB-E80A-430E-85B9-3A8C164BBA98}" name="Column3716"/>
    <tableColumn id="3717" xr3:uid="{7728AC2B-D974-42A8-A53B-44AB9021DC2E}" name="Column3717"/>
    <tableColumn id="3718" xr3:uid="{33BCE54D-C15B-4667-B165-0AFF73509A3F}" name="Column3718"/>
    <tableColumn id="3719" xr3:uid="{C41DC5D2-C5C0-4E1D-A6FF-E8B6DFB8DD3B}" name="Column3719"/>
    <tableColumn id="3720" xr3:uid="{23B71439-BFC5-492B-AECA-EFE2C151BB58}" name="Column3720"/>
    <tableColumn id="3721" xr3:uid="{A7ED72CA-060A-4AA7-90DA-3605C4432DD6}" name="Column3721"/>
    <tableColumn id="3722" xr3:uid="{294A5EB3-E8A8-4DB1-B889-98C27C52A575}" name="Column3722"/>
    <tableColumn id="3723" xr3:uid="{A2E8CED0-3693-4EE6-B08B-9DB5492939C2}" name="Column3723"/>
    <tableColumn id="3724" xr3:uid="{6FB93DBF-E2C8-4FF1-A124-1159C46A3A00}" name="Column3724"/>
    <tableColumn id="3725" xr3:uid="{432541E0-3B73-4B92-B80A-ECFF4A74A31A}" name="Column3725"/>
    <tableColumn id="3726" xr3:uid="{DC4466C2-E72C-429C-A274-A858962F499B}" name="Column3726"/>
    <tableColumn id="3727" xr3:uid="{6DD326D1-668F-404F-80FE-82832903BA20}" name="Column3727"/>
    <tableColumn id="3728" xr3:uid="{0FCC81D0-B9A4-4E5F-BCEF-E8F5FF256A12}" name="Column3728"/>
    <tableColumn id="3729" xr3:uid="{ECE58DFF-7FD8-4150-9222-F8D9FAD8C978}" name="Column3729"/>
    <tableColumn id="3730" xr3:uid="{C10DA7F1-1BF9-4657-B6AE-776BF24CA3E6}" name="Column3730"/>
    <tableColumn id="3731" xr3:uid="{EFF8904D-D8A3-46FE-B563-2B02BCD8DE6E}" name="Column3731"/>
    <tableColumn id="3732" xr3:uid="{CDD1C5ED-5D7C-465E-AD8C-B0A62E39B81C}" name="Column3732"/>
    <tableColumn id="3733" xr3:uid="{D6180EDC-2984-43B3-B504-D73F8B071DA5}" name="Column3733"/>
    <tableColumn id="3734" xr3:uid="{2D38A933-B5C3-463B-91A5-52A1AAF5D835}" name="Column3734"/>
    <tableColumn id="3735" xr3:uid="{DC4550F2-FE1F-4924-B818-F56B51384283}" name="Column3735"/>
    <tableColumn id="3736" xr3:uid="{EBEC6B69-7B4D-4B87-A09E-AF8E31F8FA82}" name="Column3736"/>
    <tableColumn id="3737" xr3:uid="{F5B63853-3F79-473A-B307-78C16BFEACB1}" name="Column3737"/>
    <tableColumn id="3738" xr3:uid="{A4D2835A-D11B-409A-81A3-F69955D3BD1F}" name="Column3738"/>
    <tableColumn id="3739" xr3:uid="{BAA09E1E-75E6-45A0-A5F3-1E7466C9C54E}" name="Column3739"/>
    <tableColumn id="3740" xr3:uid="{0F5C9B60-9357-481C-88CB-B0D6528301F4}" name="Column3740"/>
    <tableColumn id="3741" xr3:uid="{4744D312-006D-4FB4-99CC-F746E6355D2F}" name="Column3741"/>
    <tableColumn id="3742" xr3:uid="{13740CA9-F22F-4B2A-9C7A-47BF6B97B6F1}" name="Column3742"/>
    <tableColumn id="3743" xr3:uid="{8D1139FC-E9B3-43DA-9127-E10D8404CB95}" name="Column3743"/>
    <tableColumn id="3744" xr3:uid="{F06ED688-F7BC-4FBF-AED0-359273457751}" name="Column3744"/>
    <tableColumn id="3745" xr3:uid="{8F244D66-2EC1-478C-A1B5-38112E5CB1F4}" name="Column3745"/>
    <tableColumn id="3746" xr3:uid="{ACF8DBE4-3127-469D-A8D1-E0C496A3ED39}" name="Column3746"/>
    <tableColumn id="3747" xr3:uid="{7E321588-9961-466E-AF56-C580361208FA}" name="Column3747"/>
    <tableColumn id="3748" xr3:uid="{EE750F7F-B58E-4331-8DFD-EE822AA1F2E1}" name="Column3748"/>
    <tableColumn id="3749" xr3:uid="{CD219874-4AC1-4E41-9706-256F1712B24C}" name="Column3749"/>
    <tableColumn id="3750" xr3:uid="{21CAC601-4E01-419E-9466-773BA92DF224}" name="Column3750"/>
    <tableColumn id="3751" xr3:uid="{FC1BCF2A-9063-4A5F-A116-88C9E4BA8D0F}" name="Column3751"/>
    <tableColumn id="3752" xr3:uid="{31C88122-25F9-47E4-BB99-AC2E2768BF7C}" name="Column3752"/>
    <tableColumn id="3753" xr3:uid="{E8EFD230-1555-410D-BB6C-FABFC2C95E65}" name="Column3753"/>
    <tableColumn id="3754" xr3:uid="{EBB7259B-4C94-40CD-9C30-3CC38E21D4F0}" name="Column3754"/>
    <tableColumn id="3755" xr3:uid="{2BAC1B45-2148-4080-8A5E-37D3AB642334}" name="Column3755"/>
    <tableColumn id="3756" xr3:uid="{273E05B8-55B1-442C-841D-58EB714035B8}" name="Column3756"/>
    <tableColumn id="3757" xr3:uid="{A9FE6D38-EA36-4DE1-8C15-0221702B73D2}" name="Column3757"/>
    <tableColumn id="3758" xr3:uid="{B89CFAA9-03F2-407E-A1A1-1225F6340156}" name="Column3758"/>
    <tableColumn id="3759" xr3:uid="{86C727D7-F6ED-4CB4-9EA1-4BEDB4F18C87}" name="Column3759"/>
    <tableColumn id="3760" xr3:uid="{F5F34EFF-1935-42D4-BA64-575DD4409724}" name="Column3760"/>
    <tableColumn id="3761" xr3:uid="{7909512B-FF64-41D5-AB4A-F2174A066C48}" name="Column3761"/>
    <tableColumn id="3762" xr3:uid="{A2ECF8FC-C9AE-490F-BD54-964021CAD607}" name="Column3762"/>
    <tableColumn id="3763" xr3:uid="{2D07E896-138C-4E15-95C1-22DD688320AC}" name="Column3763"/>
    <tableColumn id="3764" xr3:uid="{D378143E-FA10-4658-BFF7-C750C07BC1FF}" name="Column3764"/>
    <tableColumn id="3765" xr3:uid="{A62E0231-1DF0-479E-8BFF-2FAA57882366}" name="Column3765"/>
    <tableColumn id="3766" xr3:uid="{D8A951EA-A06F-4D72-BC60-3B34FB74555E}" name="Column3766"/>
    <tableColumn id="3767" xr3:uid="{A3AAE953-23F2-48DF-B862-75455419D0FB}" name="Column3767"/>
    <tableColumn id="3768" xr3:uid="{3F1E1427-8B5D-4154-9357-8C13D146FD88}" name="Column3768"/>
    <tableColumn id="3769" xr3:uid="{100E3D88-D615-4D40-819A-16F8AC1C3BEA}" name="Column3769"/>
    <tableColumn id="3770" xr3:uid="{7C041B13-EB45-4265-ADC8-C3C26441D3AD}" name="Column3770"/>
    <tableColumn id="3771" xr3:uid="{E584959F-A6D8-4C0F-9003-A7AD006F1E6D}" name="Column3771"/>
    <tableColumn id="3772" xr3:uid="{5293E196-71C1-4406-A069-81537A3C610A}" name="Column3772"/>
    <tableColumn id="3773" xr3:uid="{DD39B240-4D2D-469E-91F7-D5886737CCF3}" name="Column3773"/>
    <tableColumn id="3774" xr3:uid="{384976D3-A13D-4FBF-96ED-892AEBB2500B}" name="Column3774"/>
    <tableColumn id="3775" xr3:uid="{6D08DDB3-E6BC-4C18-AB3D-D22DC99A6CDE}" name="Column3775"/>
    <tableColumn id="3776" xr3:uid="{74326B5C-8236-4219-B433-150308C725D8}" name="Column3776"/>
    <tableColumn id="3777" xr3:uid="{E41B5243-901F-4634-B511-7A1179AE3598}" name="Column3777"/>
    <tableColumn id="3778" xr3:uid="{39F0EF41-6480-4113-8C50-9A9815A60845}" name="Column3778"/>
    <tableColumn id="3779" xr3:uid="{CF599C40-96AA-4A78-A387-BD2F3C834341}" name="Column3779"/>
    <tableColumn id="3780" xr3:uid="{69BA4DD0-4354-4B5B-8D2D-3D008F603750}" name="Column3780"/>
    <tableColumn id="3781" xr3:uid="{61F2F9DE-C0AE-4371-8E3F-00BDE03E7356}" name="Column3781"/>
    <tableColumn id="3782" xr3:uid="{B806AD3F-6A50-4D8E-91F8-BB65EEA80845}" name="Column3782"/>
    <tableColumn id="3783" xr3:uid="{47CC7157-E802-48AB-939B-EC0497EA4F03}" name="Column3783"/>
    <tableColumn id="3784" xr3:uid="{3543E53F-8A76-416A-A87B-F4C2E22BBEA8}" name="Column3784"/>
    <tableColumn id="3785" xr3:uid="{252877E8-D638-473D-98D1-F0C2E9D7707B}" name="Column3785"/>
    <tableColumn id="3786" xr3:uid="{9E84F6F3-BBEE-40E2-8FEE-C2BAB630DD82}" name="Column3786"/>
    <tableColumn id="3787" xr3:uid="{585EB698-96BB-4D12-B873-6A3251884BF1}" name="Column3787"/>
    <tableColumn id="3788" xr3:uid="{A296D4EE-9D14-4C2E-9F3A-2D055383021E}" name="Column3788"/>
    <tableColumn id="3789" xr3:uid="{32371E64-9813-4D32-92CA-C20FB67D4714}" name="Column3789"/>
    <tableColumn id="3790" xr3:uid="{0621C35A-5F83-4A0B-B5F1-FF6B3549A677}" name="Column3790"/>
    <tableColumn id="3791" xr3:uid="{D1B7AE43-75B2-492A-ACA2-19431FA0C30A}" name="Column3791"/>
    <tableColumn id="3792" xr3:uid="{905D8103-8AB1-4ECA-8484-22E21D21CFD2}" name="Column3792"/>
    <tableColumn id="3793" xr3:uid="{CD920A07-6233-4FAE-B645-191494F950CC}" name="Column3793"/>
    <tableColumn id="3794" xr3:uid="{AEAA4AB0-C153-4C10-93DC-DE0E99399127}" name="Column3794"/>
    <tableColumn id="3795" xr3:uid="{2B25200B-8018-41F1-950D-AA79DF45ED78}" name="Column3795"/>
    <tableColumn id="3796" xr3:uid="{2F9E94EA-8F26-405E-AC24-80DF44735938}" name="Column3796"/>
    <tableColumn id="3797" xr3:uid="{81195F56-33F0-4AC6-BF9C-989E47AE181D}" name="Column3797"/>
    <tableColumn id="3798" xr3:uid="{EE720C55-6C55-4D9D-ACB3-A6DA68C80E64}" name="Column3798"/>
    <tableColumn id="3799" xr3:uid="{D1DD9DB9-0BC7-42F8-B2C6-1F037D38BC01}" name="Column3799"/>
    <tableColumn id="3800" xr3:uid="{E62742D4-E843-4A1C-9D38-E88E84DF1A68}" name="Column3800"/>
    <tableColumn id="3801" xr3:uid="{2E75E494-C663-4B8B-BADD-E7C40AE843B0}" name="Column3801"/>
    <tableColumn id="3802" xr3:uid="{239954C2-EB09-4BC3-8655-08C1F1E6CED7}" name="Column3802"/>
    <tableColumn id="3803" xr3:uid="{0A2BF9BD-9D2F-4B7D-8786-06B6AF4E18E0}" name="Column3803"/>
    <tableColumn id="3804" xr3:uid="{B25FA0D1-4F76-429F-AD5E-368D0C74AE27}" name="Column3804"/>
    <tableColumn id="3805" xr3:uid="{DAF00C94-6C68-4AA6-A830-12188770E3B1}" name="Column3805"/>
    <tableColumn id="3806" xr3:uid="{62BF0917-5107-496A-8C87-873FE53EBF8C}" name="Column3806"/>
    <tableColumn id="3807" xr3:uid="{48C0F3B5-285A-43A1-B3D3-10764E324627}" name="Column3807"/>
    <tableColumn id="3808" xr3:uid="{436C9ACF-1621-4EC7-8305-23949B2E17D9}" name="Column3808"/>
    <tableColumn id="3809" xr3:uid="{CD6EC5D7-1AB0-4E1E-837D-8EDF4D347A60}" name="Column3809"/>
    <tableColumn id="3810" xr3:uid="{D55E97EC-59D6-4465-A7A5-30A7AE91A092}" name="Column3810"/>
    <tableColumn id="3811" xr3:uid="{A0D2B337-1F80-4A30-98BB-9953942EDA07}" name="Column3811"/>
    <tableColumn id="3812" xr3:uid="{6D7FEF9B-6911-41B6-914B-8DCF5926A8F5}" name="Column3812"/>
    <tableColumn id="3813" xr3:uid="{1CD517CC-3475-4F25-8B79-F4FB80649CB0}" name="Column3813"/>
    <tableColumn id="3814" xr3:uid="{0CA9DF6B-F684-4A8A-AA23-64F490F9F657}" name="Column3814"/>
    <tableColumn id="3815" xr3:uid="{B9DC091A-2D9A-469D-9A61-3134E0B34BF1}" name="Column3815"/>
    <tableColumn id="3816" xr3:uid="{43DD8339-B2EE-4970-A68F-3E18E31EC0DF}" name="Column3816"/>
    <tableColumn id="3817" xr3:uid="{6C14D1D4-569E-49F9-99A7-2A440D08F6F0}" name="Column3817"/>
    <tableColumn id="3818" xr3:uid="{DD02D50C-D4FB-4F1B-ADD0-F40E6CCB98C6}" name="Column3818"/>
    <tableColumn id="3819" xr3:uid="{3BABB474-7E23-4815-9164-9DA2B221F5D0}" name="Column3819"/>
    <tableColumn id="3820" xr3:uid="{DF8AF7E5-E0EB-4BE0-B3DB-412CEC9EECE6}" name="Column3820"/>
    <tableColumn id="3821" xr3:uid="{19509D45-79F4-479D-83F1-21413BB77F31}" name="Column3821"/>
    <tableColumn id="3822" xr3:uid="{8C75A08D-26E4-4CA1-9B18-8D7F9EC818EB}" name="Column3822"/>
    <tableColumn id="3823" xr3:uid="{78C378A2-A09F-407C-BCF2-ECD26908480D}" name="Column3823"/>
    <tableColumn id="3824" xr3:uid="{4E77CDDB-87FD-469F-9342-75117BA628CB}" name="Column3824"/>
    <tableColumn id="3825" xr3:uid="{E8F08776-96BB-440F-8A50-B4E491DC2191}" name="Column3825"/>
    <tableColumn id="3826" xr3:uid="{11DD9405-94C7-4D0D-A0DE-38A5BF4694BA}" name="Column3826"/>
    <tableColumn id="3827" xr3:uid="{BFF18A68-68DF-449C-9D4B-CF8CBBB55D27}" name="Column3827"/>
    <tableColumn id="3828" xr3:uid="{89EBDB78-3D0E-4F06-AE7C-80DB07FF1385}" name="Column3828"/>
    <tableColumn id="3829" xr3:uid="{CF678D45-88EB-4C76-A18D-6870F452C8E0}" name="Column3829"/>
    <tableColumn id="3830" xr3:uid="{BE7EC1DA-0F3A-4579-B732-B801304D537D}" name="Column3830"/>
    <tableColumn id="3831" xr3:uid="{90B5F3A9-6052-4D3C-BD97-50E9208CC3DD}" name="Column3831"/>
    <tableColumn id="3832" xr3:uid="{46838513-416C-46AA-BAFE-A308D0AFBAD0}" name="Column3832"/>
    <tableColumn id="3833" xr3:uid="{2682585F-F9C5-484C-A61A-706FD0950698}" name="Column3833"/>
    <tableColumn id="3834" xr3:uid="{8BE94805-9CE8-42FC-83A2-FFEA8BDB50A1}" name="Column3834"/>
    <tableColumn id="3835" xr3:uid="{AEF314E3-258C-4203-99D8-75B9443BD904}" name="Column3835"/>
    <tableColumn id="3836" xr3:uid="{1A9DA624-4E58-4346-9A8B-BB13FA229BE6}" name="Column3836"/>
    <tableColumn id="3837" xr3:uid="{1E549C8C-15F1-40EC-A92D-6E9D8AC3A25F}" name="Column3837"/>
    <tableColumn id="3838" xr3:uid="{5298A3D0-1C5D-4115-96C7-370D96E0A2BF}" name="Column3838"/>
    <tableColumn id="3839" xr3:uid="{A08D9821-5A3C-46D2-BE4E-980A06E98A73}" name="Column3839"/>
    <tableColumn id="3840" xr3:uid="{4E651EB9-D2A2-478E-9AC3-6FD7E94443FA}" name="Column3840"/>
    <tableColumn id="3841" xr3:uid="{B98C5277-A74C-47C5-A971-265406ECE8AD}" name="Column3841"/>
    <tableColumn id="3842" xr3:uid="{7D075CB5-4D86-4DFE-BE66-B65B5F4EE837}" name="Column3842"/>
    <tableColumn id="3843" xr3:uid="{10236477-8E8A-4246-BF30-9EE9172762AA}" name="Column3843"/>
    <tableColumn id="3844" xr3:uid="{A71F2AB9-9862-48B8-BB54-DA7054D565CA}" name="Column3844"/>
    <tableColumn id="3845" xr3:uid="{50A476F6-6793-48D8-942C-F3133457DBC0}" name="Column3845"/>
    <tableColumn id="3846" xr3:uid="{587DE5E6-FCC2-4DE2-9A89-CD2728145259}" name="Column3846"/>
    <tableColumn id="3847" xr3:uid="{DA3B7782-B632-43B6-AC11-AA13BD3F6080}" name="Column3847"/>
    <tableColumn id="3848" xr3:uid="{25806147-1444-4F2D-A2E2-37F76A001526}" name="Column3848"/>
    <tableColumn id="3849" xr3:uid="{45E3B171-F7E8-4F1F-BC38-1EB817A36894}" name="Column3849"/>
    <tableColumn id="3850" xr3:uid="{4F1F60D2-32DE-4472-AF1E-CBA1E23E2B68}" name="Column3850"/>
    <tableColumn id="3851" xr3:uid="{EF222331-DAA2-4105-9F67-67B2CEEE1BE4}" name="Column3851"/>
    <tableColumn id="3852" xr3:uid="{A55CA6A6-D5DF-48C5-9060-11DD16F72DA5}" name="Column3852"/>
    <tableColumn id="3853" xr3:uid="{C30AEDCF-7D9D-4A0F-ADCE-DE7EDC4EE3E8}" name="Column3853"/>
    <tableColumn id="3854" xr3:uid="{ED44D7F7-B752-4566-A794-CC281419F003}" name="Column3854"/>
    <tableColumn id="3855" xr3:uid="{9B3F8724-D8AD-456A-BA74-BEE1907B7C54}" name="Column3855"/>
    <tableColumn id="3856" xr3:uid="{98BAFD62-CEFE-4638-B239-50EF10C4D097}" name="Column3856"/>
    <tableColumn id="3857" xr3:uid="{37AC3EF3-F541-4792-847D-A7DA39B3E512}" name="Column3857"/>
    <tableColumn id="3858" xr3:uid="{5E5F5A21-B465-4BBD-96BA-B7921BF34DE1}" name="Column3858"/>
    <tableColumn id="3859" xr3:uid="{DE5ABB41-4055-41BB-BCC8-C735A79586E3}" name="Column3859"/>
    <tableColumn id="3860" xr3:uid="{C6CAA765-A857-4179-B922-9D4F5C0E822C}" name="Column3860"/>
    <tableColumn id="3861" xr3:uid="{594BAC8B-731C-448F-B37E-267D26F19EB4}" name="Column3861"/>
    <tableColumn id="3862" xr3:uid="{B838AE62-4C02-492F-8AF8-32B749B1CE00}" name="Column3862"/>
    <tableColumn id="3863" xr3:uid="{6F45EFA9-2BD2-4A42-A7B4-C17FEC3E9C2D}" name="Column3863"/>
    <tableColumn id="3864" xr3:uid="{39F1D30E-A434-4604-9B47-8129832BFBBE}" name="Column3864"/>
    <tableColumn id="3865" xr3:uid="{94B05C87-66D6-4946-B538-B1651A4FFC55}" name="Column3865"/>
    <tableColumn id="3866" xr3:uid="{43EB3715-820E-4423-B3BC-07CBC7429A00}" name="Column3866"/>
    <tableColumn id="3867" xr3:uid="{2BE0DCA8-CB96-4111-92C2-DA0095C98AC5}" name="Column3867"/>
    <tableColumn id="3868" xr3:uid="{67F9AA78-2D98-400F-AAAB-D0070D26AE0F}" name="Column3868"/>
    <tableColumn id="3869" xr3:uid="{45CBF853-4DD7-4E3E-AD16-F6F2FC49C788}" name="Column3869"/>
    <tableColumn id="3870" xr3:uid="{07FEC38A-299C-4371-99F2-20C859C3BB4E}" name="Column3870"/>
    <tableColumn id="3871" xr3:uid="{8D65B39B-0E8D-45CA-8D3C-8788250C3A31}" name="Column3871"/>
    <tableColumn id="3872" xr3:uid="{A8674744-189C-47FE-823A-F11DD8C5B325}" name="Column3872"/>
    <tableColumn id="3873" xr3:uid="{34D5C3CF-8FA8-4D15-A8FD-619D2A257CB0}" name="Column3873"/>
    <tableColumn id="3874" xr3:uid="{D9CD75BB-4CB6-42F7-956B-04EEFEEC8DD8}" name="Column3874"/>
    <tableColumn id="3875" xr3:uid="{26AB4837-3863-42D3-A3FA-543C4A22AD08}" name="Column3875"/>
    <tableColumn id="3876" xr3:uid="{15D74A16-34F4-4620-9930-E42E8064BFCC}" name="Column3876"/>
    <tableColumn id="3877" xr3:uid="{08A38E07-2E22-4FC7-AF97-2DF840286480}" name="Column3877"/>
    <tableColumn id="3878" xr3:uid="{FFD5FD99-6B0F-4D09-872F-38F464EBFBFB}" name="Column3878"/>
    <tableColumn id="3879" xr3:uid="{89A2E4C9-4207-49CC-B5A9-D53A06E91BA4}" name="Column3879"/>
    <tableColumn id="3880" xr3:uid="{22161019-6E27-4900-82DC-F1527A97FA7E}" name="Column3880"/>
    <tableColumn id="3881" xr3:uid="{6835E929-7AA4-42FE-93A1-45CA70601F23}" name="Column3881"/>
    <tableColumn id="3882" xr3:uid="{2438220D-52D8-4F22-BA37-C0F950494C72}" name="Column3882"/>
    <tableColumn id="3883" xr3:uid="{1B21F333-1B5D-4C3A-847E-72745F662CC8}" name="Column3883"/>
    <tableColumn id="3884" xr3:uid="{DA15E5AD-BFF7-4EAE-9E9D-3A00A1B4F0A1}" name="Column3884"/>
    <tableColumn id="3885" xr3:uid="{39CE2D68-7323-4A61-A7B5-AA512AE8A60F}" name="Column3885"/>
    <tableColumn id="3886" xr3:uid="{5B5ADA09-7A55-447D-80F7-0D4B370CDF2E}" name="Column3886"/>
    <tableColumn id="3887" xr3:uid="{B2F64BF6-BC2F-4229-8DCF-44789C10A67B}" name="Column3887"/>
    <tableColumn id="3888" xr3:uid="{97BD9B7F-1852-440E-B837-21C16A1DE708}" name="Column3888"/>
    <tableColumn id="3889" xr3:uid="{FDAF97B4-00A6-40D9-8D3D-D235B410B048}" name="Column3889"/>
    <tableColumn id="3890" xr3:uid="{8A0C7716-58EA-482B-A9C4-C7C7FEB41964}" name="Column3890"/>
    <tableColumn id="3891" xr3:uid="{A500AEE1-C1D1-47AC-99FF-A78604264166}" name="Column3891"/>
    <tableColumn id="3892" xr3:uid="{B0316366-5FA9-4104-BF74-A9ECB9BE8393}" name="Column3892"/>
    <tableColumn id="3893" xr3:uid="{69F9031D-A2CC-4BC9-85CD-5F860BDEE968}" name="Column3893"/>
    <tableColumn id="3894" xr3:uid="{0F1B99E0-4D05-4DAF-8E37-34A0A2FC8B91}" name="Column3894"/>
    <tableColumn id="3895" xr3:uid="{93A48A88-FD99-43D1-A6D9-19770F8FF23A}" name="Column3895"/>
    <tableColumn id="3896" xr3:uid="{3AB0AAE7-FB9E-4032-AF3B-4644CAB7C9D4}" name="Column3896"/>
    <tableColumn id="3897" xr3:uid="{614F6A60-7C14-427F-B97E-E5DACF64EFAC}" name="Column3897"/>
    <tableColumn id="3898" xr3:uid="{93BF0301-3307-433D-916C-D3DAB650C17E}" name="Column3898"/>
    <tableColumn id="3899" xr3:uid="{E7860DD1-7B42-4924-B533-8FB89E1FC4A1}" name="Column3899"/>
    <tableColumn id="3900" xr3:uid="{34983564-26CE-4DC6-B819-4A6692A01D4B}" name="Column3900"/>
    <tableColumn id="3901" xr3:uid="{A43B3F69-13BC-4EEA-93E8-A94051E61C81}" name="Column3901"/>
    <tableColumn id="3902" xr3:uid="{D8349D73-9BE6-4C0A-B747-34594FC8AC04}" name="Column3902"/>
    <tableColumn id="3903" xr3:uid="{AEC87EB7-8A38-4752-B3FD-C65226A17156}" name="Column3903"/>
    <tableColumn id="3904" xr3:uid="{6261CA27-4D59-4FDA-A1F2-52883F7ED86B}" name="Column3904"/>
    <tableColumn id="3905" xr3:uid="{DB30CF09-C6EF-4C0C-B66B-ECC10E2DDA63}" name="Column3905"/>
    <tableColumn id="3906" xr3:uid="{CEC9F804-9844-4911-8D85-C1D7142C340C}" name="Column3906"/>
    <tableColumn id="3907" xr3:uid="{D2CC882F-9585-4671-80F4-376FB766E3DA}" name="Column3907"/>
    <tableColumn id="3908" xr3:uid="{26F57137-FB87-4739-A4DF-C68671BFAE37}" name="Column3908"/>
    <tableColumn id="3909" xr3:uid="{5091DC25-13B3-4715-AFF7-D90A1ABEC2D2}" name="Column3909"/>
    <tableColumn id="3910" xr3:uid="{67534BC8-B326-4C53-9873-FF30C5B4C5C7}" name="Column3910"/>
    <tableColumn id="3911" xr3:uid="{CAEAFF5E-7951-466F-AF0C-05A7D7B4541C}" name="Column3911"/>
    <tableColumn id="3912" xr3:uid="{36AD91E1-AAB2-4C7C-8DAF-E7542357B999}" name="Column3912"/>
    <tableColumn id="3913" xr3:uid="{DE6813CB-602E-41B9-ACC1-1AA6D8B74F7F}" name="Column3913"/>
    <tableColumn id="3914" xr3:uid="{7DB8CBE1-F488-450B-83A3-41E0289EB913}" name="Column3914"/>
    <tableColumn id="3915" xr3:uid="{4CD50C0E-93B8-4747-AB63-FD43CDAF163D}" name="Column3915"/>
    <tableColumn id="3916" xr3:uid="{15F0BC71-A983-4A18-A863-E1A8D9494274}" name="Column3916"/>
    <tableColumn id="3917" xr3:uid="{DDB864E6-EBD1-4DAD-BE5E-182256005F94}" name="Column3917"/>
    <tableColumn id="3918" xr3:uid="{E65B29A3-70EA-4625-B840-2A8339E0A3F9}" name="Column3918"/>
    <tableColumn id="3919" xr3:uid="{210AA989-E834-448B-9F1D-A2F24E051222}" name="Column3919"/>
    <tableColumn id="3920" xr3:uid="{E6C83F2D-3A08-46E2-9FEC-500CAC28B1B6}" name="Column3920"/>
    <tableColumn id="3921" xr3:uid="{EC1C9142-E024-4B6B-8AAA-52CA9FA75F57}" name="Column3921"/>
    <tableColumn id="3922" xr3:uid="{7CE98892-6153-4219-8C14-48DAB0F02256}" name="Column3922"/>
    <tableColumn id="3923" xr3:uid="{A951AF76-FE31-42DB-BEE9-DC053872A054}" name="Column3923"/>
    <tableColumn id="3924" xr3:uid="{0B876B66-7EB6-49AA-850B-DB6025888775}" name="Column3924"/>
    <tableColumn id="3925" xr3:uid="{1447E5EC-45CA-4143-ACDA-8591A6A08171}" name="Column3925"/>
    <tableColumn id="3926" xr3:uid="{F0EF7AB0-5443-477F-AC80-8BBEECB99ABF}" name="Column3926"/>
    <tableColumn id="3927" xr3:uid="{5F49DD42-F140-4ED8-B4B3-32DDEE95A722}" name="Column3927"/>
    <tableColumn id="3928" xr3:uid="{28A598F5-3DBE-46CA-8760-B6ABAA781469}" name="Column3928"/>
    <tableColumn id="3929" xr3:uid="{88CF21F3-48F9-41C3-87E6-9A59B7BF9A0B}" name="Column3929"/>
    <tableColumn id="3930" xr3:uid="{A0B4FC9D-485E-4B2F-8C30-B8C96960F1F7}" name="Column3930"/>
    <tableColumn id="3931" xr3:uid="{2DA8012C-4BA8-47B0-9DE5-4595774E8976}" name="Column3931"/>
    <tableColumn id="3932" xr3:uid="{7A12C70D-51F5-418B-9D9C-6B703DD6D7A5}" name="Column3932"/>
    <tableColumn id="3933" xr3:uid="{346B0701-6E1B-4C98-87BE-4482D322B9FB}" name="Column3933"/>
    <tableColumn id="3934" xr3:uid="{36025F58-0DAC-465D-8FAE-7CAFC05FFE9D}" name="Column3934"/>
    <tableColumn id="3935" xr3:uid="{AE00E75A-C6A1-4247-AF51-4C8FC858A96C}" name="Column3935"/>
    <tableColumn id="3936" xr3:uid="{8DF5AEC9-E574-4654-BD7F-AFB512560B2C}" name="Column3936"/>
    <tableColumn id="3937" xr3:uid="{04987E5C-42C5-4F04-987C-2994305329F6}" name="Column3937"/>
    <tableColumn id="3938" xr3:uid="{CFE43461-790B-417D-A07B-631A375CBFCB}" name="Column3938"/>
    <tableColumn id="3939" xr3:uid="{F464F499-2F92-4793-9A26-8774FA3BA105}" name="Column3939"/>
    <tableColumn id="3940" xr3:uid="{BE42E6B4-0907-4575-9EE8-8F8E3E5E03BE}" name="Column3940"/>
    <tableColumn id="3941" xr3:uid="{407311C8-DA27-478B-8812-E7A57592682E}" name="Column3941"/>
    <tableColumn id="3942" xr3:uid="{BC3928E7-8783-4C54-B060-B8BC56ACBE5B}" name="Column3942"/>
    <tableColumn id="3943" xr3:uid="{FAEEC939-D6A4-440B-AC75-223050ACCC39}" name="Column3943"/>
    <tableColumn id="3944" xr3:uid="{3A329776-2494-4B4A-8EE2-1A842E94C53E}" name="Column3944"/>
    <tableColumn id="3945" xr3:uid="{B2191B3A-ED8D-457A-8926-F2BCE7299469}" name="Column3945"/>
    <tableColumn id="3946" xr3:uid="{ACEBA4D6-C566-4832-A655-695CAAD117D0}" name="Column3946"/>
    <tableColumn id="3947" xr3:uid="{81AE89E5-A9D1-44B5-B34D-524EF65939CD}" name="Column3947"/>
    <tableColumn id="3948" xr3:uid="{7428FD5C-3704-435A-8603-1A0C8A677E5F}" name="Column3948"/>
    <tableColumn id="3949" xr3:uid="{A5A8D226-D7D3-4ACB-8E44-4A5FF878865D}" name="Column3949"/>
    <tableColumn id="3950" xr3:uid="{9E9A7123-1965-42E8-80A4-A6EA000C2D81}" name="Column3950"/>
    <tableColumn id="3951" xr3:uid="{B7C41D1C-1BE8-44B7-A6BC-4E985172B195}" name="Column3951"/>
    <tableColumn id="3952" xr3:uid="{7EDAFA88-2911-4B13-9C17-BF2FFEA3B256}" name="Column3952"/>
    <tableColumn id="3953" xr3:uid="{E19BB6F6-9764-4D02-97F2-455735A608A6}" name="Column3953"/>
    <tableColumn id="3954" xr3:uid="{26D771C0-0670-4DDF-B512-48904DE145FB}" name="Column3954"/>
    <tableColumn id="3955" xr3:uid="{6D658894-8FA2-47B5-960F-154C3CF64AA7}" name="Column3955"/>
    <tableColumn id="3956" xr3:uid="{2F4BA6B6-D77E-4B5F-8FA8-F669C34BB811}" name="Column3956"/>
    <tableColumn id="3957" xr3:uid="{2FB28420-6363-4DE3-9FE7-78BA7DDE3ACF}" name="Column3957"/>
    <tableColumn id="3958" xr3:uid="{C4036F35-3492-41E3-81C2-67699BE87631}" name="Column3958"/>
    <tableColumn id="3959" xr3:uid="{42F7AA85-35ED-4523-AC4A-5F3ABB5B6323}" name="Column3959"/>
    <tableColumn id="3960" xr3:uid="{8C529528-3819-4B87-9640-77B3A01648C0}" name="Column3960"/>
    <tableColumn id="3961" xr3:uid="{897A0B87-00B9-4081-8879-97BBAFFBD967}" name="Column3961"/>
    <tableColumn id="3962" xr3:uid="{FCCC6F17-8957-43B5-89D6-3FE6265C2CB9}" name="Column3962"/>
    <tableColumn id="3963" xr3:uid="{954F9E30-D89A-4466-A296-0E7C4AC6CB17}" name="Column3963"/>
    <tableColumn id="3964" xr3:uid="{B77BF9FA-57ED-40B5-8E05-0668607995D6}" name="Column3964"/>
    <tableColumn id="3965" xr3:uid="{95E52C47-180D-4416-97DF-96A68C07F60B}" name="Column3965"/>
    <tableColumn id="3966" xr3:uid="{F5EDF242-1612-42FB-865C-F70836923567}" name="Column3966"/>
    <tableColumn id="3967" xr3:uid="{D32A6984-88EE-4FA9-837E-14963211B0D7}" name="Column3967"/>
    <tableColumn id="3968" xr3:uid="{3EC472E3-3AD2-4A1A-BBAA-FBB461CFF9B1}" name="Column3968"/>
    <tableColumn id="3969" xr3:uid="{5B7737DE-94DD-498C-BE52-CA67CE447F78}" name="Column3969"/>
    <tableColumn id="3970" xr3:uid="{3A1A4CF1-306D-4FEE-9B81-38C1E316096E}" name="Column3970"/>
    <tableColumn id="3971" xr3:uid="{7E489CC3-D6C1-4DD2-9238-D42450CC2BF1}" name="Column3971"/>
    <tableColumn id="3972" xr3:uid="{D1CDEBFC-E606-4B75-AF84-AA5418F916F5}" name="Column3972"/>
    <tableColumn id="3973" xr3:uid="{B947FFB6-3C7D-4841-99B3-A19335AFC131}" name="Column3973"/>
    <tableColumn id="3974" xr3:uid="{779D02C9-7DA2-41EC-8A81-EFE81824877C}" name="Column3974"/>
    <tableColumn id="3975" xr3:uid="{8A9B5740-9972-4BCB-8BF8-08489216395D}" name="Column3975"/>
    <tableColumn id="3976" xr3:uid="{3EC781F0-3DF8-4899-AF02-D0A5DA6250B0}" name="Column3976"/>
    <tableColumn id="3977" xr3:uid="{C9D2EBDF-4B67-4DB5-9227-FF971AF57025}" name="Column3977"/>
    <tableColumn id="3978" xr3:uid="{DF81EEA1-5CDC-4722-A993-69420CC86A9C}" name="Column3978"/>
    <tableColumn id="3979" xr3:uid="{DEEAFBFA-6BB4-46FE-B2D6-D5219845146F}" name="Column3979"/>
    <tableColumn id="3980" xr3:uid="{774000AF-836E-4D44-AE8D-DBF6B2E4558D}" name="Column3980"/>
    <tableColumn id="3981" xr3:uid="{83DD6AD7-3494-48A0-8A0B-775C34DA3E8D}" name="Column3981"/>
    <tableColumn id="3982" xr3:uid="{58757AC9-E136-490E-93DF-782CCC2F878D}" name="Column3982"/>
    <tableColumn id="3983" xr3:uid="{5EBB0096-0E50-4FD5-9F32-4969558B8397}" name="Column3983"/>
    <tableColumn id="3984" xr3:uid="{221C423A-9BBD-46E5-B281-2CE38D8C8A5F}" name="Column3984"/>
    <tableColumn id="3985" xr3:uid="{84B85714-02A1-4881-8803-17ACB8D2F539}" name="Column3985"/>
    <tableColumn id="3986" xr3:uid="{1E60FD34-B522-42F7-A2FE-60E27EDBF36D}" name="Column3986"/>
    <tableColumn id="3987" xr3:uid="{49602C9B-0F8B-458D-A830-6A2655308F55}" name="Column3987"/>
    <tableColumn id="3988" xr3:uid="{C8DF0842-F5B5-46DC-9C43-3A1109E9F7D8}" name="Column3988"/>
    <tableColumn id="3989" xr3:uid="{C2BB5EA6-2BA3-4088-84F6-C96950EFB248}" name="Column3989"/>
    <tableColumn id="3990" xr3:uid="{A5FD95ED-0E2F-451F-B16F-66106F4BFE46}" name="Column3990"/>
    <tableColumn id="3991" xr3:uid="{D11CAB94-D039-4052-B59D-144F3FF650C8}" name="Column3991"/>
    <tableColumn id="3992" xr3:uid="{0203B298-5836-4A71-8537-A5D6988F8B0D}" name="Column3992"/>
    <tableColumn id="3993" xr3:uid="{CC1D8AEE-7FC6-419F-9A43-4D87138004C5}" name="Column3993"/>
    <tableColumn id="3994" xr3:uid="{079C5152-BC07-48F2-8E55-79A1ABD2EFC3}" name="Column3994"/>
    <tableColumn id="3995" xr3:uid="{B55C664F-6511-4FF0-8BC9-890E9883BE58}" name="Column3995"/>
    <tableColumn id="3996" xr3:uid="{8F64C82A-7C32-4156-8D82-54D25ABABF9E}" name="Column3996"/>
    <tableColumn id="3997" xr3:uid="{3A1721E3-37D4-4F40-8514-338A3CFE6738}" name="Column3997"/>
    <tableColumn id="3998" xr3:uid="{299B5A8B-EBA0-4E3D-8C43-382FFE30CE5B}" name="Column3998"/>
    <tableColumn id="3999" xr3:uid="{00F6DD9D-5852-4DB1-81EE-F014610E0891}" name="Column3999"/>
    <tableColumn id="4000" xr3:uid="{B98BD562-7BA7-4D8D-B289-6A85B8FDF0E8}" name="Column4000"/>
    <tableColumn id="4001" xr3:uid="{603BD4AB-D212-41A9-BF57-914DE1AF090C}" name="Column4001"/>
    <tableColumn id="4002" xr3:uid="{D32407FD-A9B7-4EAC-BDD5-E7C86D44F304}" name="Column4002"/>
    <tableColumn id="4003" xr3:uid="{FA811C6E-A8F1-45EC-8C83-A0317EC88AEC}" name="Column4003"/>
    <tableColumn id="4004" xr3:uid="{FBA1A108-B0D7-4FC2-9D75-CF8B915BD943}" name="Column4004"/>
    <tableColumn id="4005" xr3:uid="{907B1AD1-5498-4F14-B51D-CC2E4095E002}" name="Column4005"/>
    <tableColumn id="4006" xr3:uid="{53347B9D-D9F4-49DC-B73B-E0F8F00D5A44}" name="Column4006"/>
    <tableColumn id="4007" xr3:uid="{8D685CE1-A7DB-479E-B789-CB53D394F9FF}" name="Column4007"/>
    <tableColumn id="4008" xr3:uid="{283C8EFE-AFC1-4073-B39B-203D55582F68}" name="Column4008"/>
    <tableColumn id="4009" xr3:uid="{04427636-802A-4EC7-BE1B-2295B8BCC92E}" name="Column4009"/>
    <tableColumn id="4010" xr3:uid="{610E67B0-D0E3-4451-B260-EFA7706CEFF4}" name="Column4010"/>
    <tableColumn id="4011" xr3:uid="{98244609-3A87-40B1-85EE-2CB7F3CA60B8}" name="Column4011"/>
    <tableColumn id="4012" xr3:uid="{FC6D154C-968A-487D-A004-0A3EAD21D51B}" name="Column4012"/>
    <tableColumn id="4013" xr3:uid="{A3FF96BA-B436-4CEE-83F1-3A7D24622CA6}" name="Column4013"/>
    <tableColumn id="4014" xr3:uid="{E763ECD7-2D97-46A8-B3AB-65728C33CCF7}" name="Column4014"/>
    <tableColumn id="4015" xr3:uid="{DF30A2AE-C199-4CD1-9BCE-0BA6B7A09C2D}" name="Column4015"/>
    <tableColumn id="4016" xr3:uid="{FD503637-50DE-45C3-A160-A51C20427547}" name="Column4016"/>
    <tableColumn id="4017" xr3:uid="{D4ED11F7-35CC-452E-9179-4493351A5EC2}" name="Column4017"/>
    <tableColumn id="4018" xr3:uid="{98985B32-C498-49E6-BCF2-46939894C575}" name="Column4018"/>
    <tableColumn id="4019" xr3:uid="{482FD58C-9470-4E55-B59D-3C4774355FCD}" name="Column4019"/>
    <tableColumn id="4020" xr3:uid="{9DAB1DBB-4285-44A8-AAEA-31919EC089F3}" name="Column4020"/>
    <tableColumn id="4021" xr3:uid="{978C3F6C-830D-4814-B5A2-C65B0FE66381}" name="Column4021"/>
    <tableColumn id="4022" xr3:uid="{6B8A2707-409E-404E-BF77-BD55F31A3A19}" name="Column4022"/>
    <tableColumn id="4023" xr3:uid="{D0E3A1BD-7972-45B2-90C1-783AC3F60D61}" name="Column4023"/>
    <tableColumn id="4024" xr3:uid="{27D80197-74F8-4A3C-8E5E-97D0C4A2B00F}" name="Column4024"/>
    <tableColumn id="4025" xr3:uid="{3946D375-96BE-4E2A-85F8-98D6F8139907}" name="Column4025"/>
    <tableColumn id="4026" xr3:uid="{9137DAA2-E68A-4800-B029-12B4736E3319}" name="Column4026"/>
    <tableColumn id="4027" xr3:uid="{D1BF2F26-FCA3-414F-B6A8-B76508EE3D0B}" name="Column4027"/>
    <tableColumn id="4028" xr3:uid="{195122A5-1916-49F7-9D73-FFB39E6AE634}" name="Column4028"/>
    <tableColumn id="4029" xr3:uid="{93CB2631-764B-4055-B5F0-0B1DB147D4C4}" name="Column4029"/>
    <tableColumn id="4030" xr3:uid="{239D734F-51E8-42C9-8DA9-B5B3290EFFD7}" name="Column4030"/>
    <tableColumn id="4031" xr3:uid="{096114D2-3B13-49C8-9D6A-C312A8955E26}" name="Column4031"/>
    <tableColumn id="4032" xr3:uid="{A372D719-D1AC-4F0B-AC02-524C471E0D60}" name="Column4032"/>
    <tableColumn id="4033" xr3:uid="{9FB8BAD3-64F6-4C6E-B0BC-7D399FC92A04}" name="Column4033"/>
    <tableColumn id="4034" xr3:uid="{266FC9F7-98B3-4EF1-B80B-BC89F0DD7972}" name="Column4034"/>
    <tableColumn id="4035" xr3:uid="{592FAB24-788E-4DB6-92C9-DAE958035919}" name="Column4035"/>
    <tableColumn id="4036" xr3:uid="{5529D5DC-6DC1-4D16-90A4-E885B8EFA03C}" name="Column4036"/>
    <tableColumn id="4037" xr3:uid="{1A49D393-A5D8-4108-BFC0-3DD733A4EE22}" name="Column4037"/>
    <tableColumn id="4038" xr3:uid="{4D7D1B9C-0C0F-4668-A125-182AAEBCE1CD}" name="Column4038"/>
    <tableColumn id="4039" xr3:uid="{294A1C47-4E4A-4BFD-AAE7-B81491DF660F}" name="Column4039"/>
    <tableColumn id="4040" xr3:uid="{EFA9907E-4FCE-48E9-ACDB-58076FB97116}" name="Column4040"/>
    <tableColumn id="4041" xr3:uid="{6D5BA45F-A586-4623-985B-7BFBE3DC09E5}" name="Column4041"/>
    <tableColumn id="4042" xr3:uid="{951B19FF-826C-4267-9F46-3F3D0F95F0E1}" name="Column4042"/>
    <tableColumn id="4043" xr3:uid="{F7AD78C5-93D4-4AF8-B6BB-7DC614F6C351}" name="Column4043"/>
    <tableColumn id="4044" xr3:uid="{52FFA35D-5EF0-43FE-9F7E-46AE87B7D321}" name="Column4044"/>
    <tableColumn id="4045" xr3:uid="{8C5D490A-F01E-4271-A7A2-DF4E1D3CE50D}" name="Column4045"/>
    <tableColumn id="4046" xr3:uid="{5904C1F6-616D-4E41-8F5B-5452F5A06555}" name="Column4046"/>
    <tableColumn id="4047" xr3:uid="{452EB128-9D88-439A-9B1F-01E9909AB5DD}" name="Column4047"/>
    <tableColumn id="4048" xr3:uid="{A0433029-F75A-4EA8-9735-7E42F6B2926A}" name="Column4048"/>
    <tableColumn id="4049" xr3:uid="{F2C57B7F-ED17-4937-93C0-1C8C39103209}" name="Column4049"/>
    <tableColumn id="4050" xr3:uid="{E47AE7E3-9E39-4D00-B9EC-19503682983C}" name="Column4050"/>
    <tableColumn id="4051" xr3:uid="{4191080B-699B-4AFE-94E3-694AD567BF91}" name="Column4051"/>
    <tableColumn id="4052" xr3:uid="{5C0D9435-BF0E-4DAA-B69E-E9027540AC2B}" name="Column4052"/>
    <tableColumn id="4053" xr3:uid="{33CFF54E-EBE0-42CF-BF7B-F4A3BD4BF2E4}" name="Column4053"/>
    <tableColumn id="4054" xr3:uid="{F7BE5441-78CF-4CA5-9C19-722F0BC91690}" name="Column4054"/>
    <tableColumn id="4055" xr3:uid="{5EF43B3F-D734-48B2-8572-0E843AECA6BA}" name="Column4055"/>
    <tableColumn id="4056" xr3:uid="{4FEF34AD-E80C-40D2-9102-9F4880503486}" name="Column4056"/>
    <tableColumn id="4057" xr3:uid="{7C2B5FDA-D1FD-47BD-AC92-3445633533BE}" name="Column4057"/>
    <tableColumn id="4058" xr3:uid="{D6937FEC-9ECD-4504-8A62-574ABAF098E5}" name="Column4058"/>
    <tableColumn id="4059" xr3:uid="{2746B320-38B8-4418-AF78-D82A63EB6A15}" name="Column4059"/>
    <tableColumn id="4060" xr3:uid="{EC1DEA03-A628-4E9D-BAE1-CF79676566CC}" name="Column4060"/>
    <tableColumn id="4061" xr3:uid="{BC41A6E7-63C2-45FB-AFE0-2B5C85D64831}" name="Column4061"/>
    <tableColumn id="4062" xr3:uid="{62D3C18C-0927-4218-84FA-80B048169DED}" name="Column4062"/>
    <tableColumn id="4063" xr3:uid="{B9C2FDA3-8A7D-4539-AD39-EB089F3BD267}" name="Column4063"/>
    <tableColumn id="4064" xr3:uid="{BC8BC85C-9723-46B2-9865-5A5BF0210DD4}" name="Column4064"/>
    <tableColumn id="4065" xr3:uid="{5647B195-DC1A-431A-BB51-3CAB55BC50CC}" name="Column4065"/>
    <tableColumn id="4066" xr3:uid="{F8CAC58D-4801-4343-B46D-E4801BD21EE6}" name="Column4066"/>
    <tableColumn id="4067" xr3:uid="{98A45AD7-D677-4CC6-BA92-78CD3E923DF8}" name="Column4067"/>
    <tableColumn id="4068" xr3:uid="{059E7E3D-E03D-46D9-9F78-FCB9FC3DA8BE}" name="Column4068"/>
    <tableColumn id="4069" xr3:uid="{4A04E460-B846-4139-9414-ED23DAF11B74}" name="Column4069"/>
    <tableColumn id="4070" xr3:uid="{7544FCF1-B4D5-48B2-BE79-5D7B580EBE00}" name="Column4070"/>
    <tableColumn id="4071" xr3:uid="{4131D711-46F3-497A-9736-3C3DCF3D4B86}" name="Column4071"/>
    <tableColumn id="4072" xr3:uid="{E612ACAD-1981-4365-A05B-B40CE9218933}" name="Column4072"/>
    <tableColumn id="4073" xr3:uid="{67990D22-F78D-499C-9DBB-756578525923}" name="Column4073"/>
    <tableColumn id="4074" xr3:uid="{C99A68E5-365D-41ED-8779-EA2BC8C51D13}" name="Column4074"/>
    <tableColumn id="4075" xr3:uid="{9F261CB9-2D2E-44BA-AB1D-AA09E4F04E66}" name="Column4075"/>
    <tableColumn id="4076" xr3:uid="{BAC1AC2F-32C9-4944-B62C-13B818B09944}" name="Column4076"/>
    <tableColumn id="4077" xr3:uid="{03559483-91D0-4D91-A708-1ADDCA3A4862}" name="Column4077"/>
    <tableColumn id="4078" xr3:uid="{AD5E56AD-61D9-4739-8929-92355E6AC846}" name="Column4078"/>
    <tableColumn id="4079" xr3:uid="{02392D28-0872-4A8C-B0A3-A516B968CEBD}" name="Column4079"/>
    <tableColumn id="4080" xr3:uid="{E371CF76-235B-4B7F-B7DF-EB33E0248085}" name="Column4080"/>
    <tableColumn id="4081" xr3:uid="{DB820860-C116-43BE-BA7A-7F51E0959732}" name="Column4081"/>
    <tableColumn id="4082" xr3:uid="{08E02BEC-ABDA-4C6B-9010-25ED1C8E40C5}" name="Column4082"/>
    <tableColumn id="4083" xr3:uid="{6779A14B-C91E-4B0A-AADF-AA5A59983A23}" name="Column4083"/>
    <tableColumn id="4084" xr3:uid="{98AF3F1C-9444-42C0-908F-6FF3F08DA6DA}" name="Column4084"/>
    <tableColumn id="4085" xr3:uid="{CE4281BB-0146-4351-BD89-941E85DFBA91}" name="Column4085"/>
    <tableColumn id="4086" xr3:uid="{BB8AF12B-4159-4DFF-B1CB-AFA8F33462B1}" name="Column4086"/>
    <tableColumn id="4087" xr3:uid="{161DD432-740C-4DDE-9C01-7CEDD8700573}" name="Column4087"/>
    <tableColumn id="4088" xr3:uid="{69865C66-0138-459F-A9F9-76E0CE99B997}" name="Column4088"/>
    <tableColumn id="4089" xr3:uid="{5BB2ABA7-BB97-4785-A238-9D33F94EEDF7}" name="Column4089"/>
    <tableColumn id="4090" xr3:uid="{1C61578E-863E-4820-B365-81E27CA9E805}" name="Column4090"/>
    <tableColumn id="4091" xr3:uid="{78928FED-4B8B-42DF-AFE3-2DA05DDD3E1F}" name="Column4091"/>
    <tableColumn id="4092" xr3:uid="{6D792372-87E2-4B4B-A1E0-5D114055E30D}" name="Column4092"/>
    <tableColumn id="4093" xr3:uid="{4ACE91DD-985D-4454-AAC5-061C39083529}" name="Column4093"/>
    <tableColumn id="4094" xr3:uid="{4DE1BBA5-9D00-4526-A6CD-4BC83CEB4543}" name="Column4094"/>
    <tableColumn id="4095" xr3:uid="{05228C8B-2BB7-4129-B3A3-DC8A227E05D6}" name="Column4095"/>
    <tableColumn id="4096" xr3:uid="{6C1259E3-DD4E-4B5C-BB46-A311DBC0C46A}" name="Column4096"/>
    <tableColumn id="4097" xr3:uid="{DD88497A-158C-451B-8E10-8124DD40D27F}" name="Column4097"/>
    <tableColumn id="4098" xr3:uid="{E5AB1597-2EA9-40FE-A590-979A9DADF3CB}" name="Column4098"/>
    <tableColumn id="4099" xr3:uid="{91EEE9E1-D5A3-4BFE-9F99-927B5EC33406}" name="Column4099"/>
    <tableColumn id="4100" xr3:uid="{A904FF08-243E-4EAC-BDBD-95775A6D1928}" name="Column4100"/>
    <tableColumn id="4101" xr3:uid="{EA533625-4424-490C-9C41-6F2372292939}" name="Column4101"/>
    <tableColumn id="4102" xr3:uid="{4DD1ACC2-527F-4F1D-818D-707C2456E836}" name="Column4102"/>
    <tableColumn id="4103" xr3:uid="{70B61528-B84B-46C6-BA8A-E9FD4BD7E92B}" name="Column4103"/>
    <tableColumn id="4104" xr3:uid="{BB6B4C26-5B21-46BE-A81C-C97980958686}" name="Column4104"/>
    <tableColumn id="4105" xr3:uid="{582F33A4-1EBB-4CFB-8194-FA33A0DC6730}" name="Column4105"/>
    <tableColumn id="4106" xr3:uid="{28CCFBB4-1262-4B2D-A485-7EE44CCBF719}" name="Column4106"/>
    <tableColumn id="4107" xr3:uid="{4FC8755C-1B44-4724-9ADC-020AFDAD5A94}" name="Column4107"/>
    <tableColumn id="4108" xr3:uid="{3E687F81-7B9C-4D88-90D7-06F439804AEB}" name="Column4108"/>
    <tableColumn id="4109" xr3:uid="{6ACB54C2-EC31-466D-B247-F80AD96E0AE9}" name="Column4109"/>
    <tableColumn id="4110" xr3:uid="{066C09D5-7EB6-4B81-983A-166A0B9E2FC6}" name="Column4110"/>
    <tableColumn id="4111" xr3:uid="{7D712C7E-059D-4CB2-90BD-F40108397D6A}" name="Column4111"/>
    <tableColumn id="4112" xr3:uid="{1B36C59E-4623-4FCD-B0BD-A55D73107546}" name="Column4112"/>
    <tableColumn id="4113" xr3:uid="{B47BF530-71EF-42AB-B2F6-57AE1B5C074D}" name="Column4113"/>
    <tableColumn id="4114" xr3:uid="{09EC52AF-3EB9-43D7-9916-5B64B17DCA05}" name="Column4114"/>
    <tableColumn id="4115" xr3:uid="{E680BB5E-BD6F-4436-8917-F70A40A6A0D9}" name="Column4115"/>
    <tableColumn id="4116" xr3:uid="{35845640-CF67-4E30-A538-BD57BA731B74}" name="Column4116"/>
    <tableColumn id="4117" xr3:uid="{04882A5D-0334-43CD-B6AE-86B586FF2691}" name="Column4117"/>
    <tableColumn id="4118" xr3:uid="{4C52B872-EA4A-4B7B-8119-71E6D7600CA6}" name="Column4118"/>
    <tableColumn id="4119" xr3:uid="{65A22CB6-98E1-4EB3-A23B-16D7A53BFBD7}" name="Column4119"/>
    <tableColumn id="4120" xr3:uid="{0EE5228F-0712-4EA4-9BFC-2BDBF86CD841}" name="Column4120"/>
    <tableColumn id="4121" xr3:uid="{2E249623-7E38-4802-91AE-924CA98786C7}" name="Column4121"/>
    <tableColumn id="4122" xr3:uid="{3E4E931F-9874-4EDB-A8C6-843C4008675E}" name="Column4122"/>
    <tableColumn id="4123" xr3:uid="{57070604-F31B-44EA-A02E-CD7C1B9C9873}" name="Column4123"/>
    <tableColumn id="4124" xr3:uid="{8C925554-4714-4AE4-9C1A-1D6B028BDE36}" name="Column4124"/>
    <tableColumn id="4125" xr3:uid="{747E83F2-A6BA-49F8-AE7A-EF8762F1CA54}" name="Column4125"/>
    <tableColumn id="4126" xr3:uid="{FCCDE490-A60D-4587-8CBF-5EE214EC03BD}" name="Column4126"/>
    <tableColumn id="4127" xr3:uid="{25C03659-06B7-4DE2-9F8D-3E80852ADD5D}" name="Column4127"/>
    <tableColumn id="4128" xr3:uid="{14B67A6F-C4C0-4878-93C6-DE53B2466D56}" name="Column4128"/>
    <tableColumn id="4129" xr3:uid="{26011662-AFDB-4848-9219-7AF9CA940732}" name="Column4129"/>
    <tableColumn id="4130" xr3:uid="{879D8630-5BF5-4807-BC90-914799A97060}" name="Column4130"/>
    <tableColumn id="4131" xr3:uid="{3A253CE1-6462-4A54-B9F2-2BD6F1E404B6}" name="Column4131"/>
    <tableColumn id="4132" xr3:uid="{C2D0CB03-2F56-4B55-911F-42F93759A1BC}" name="Column4132"/>
    <tableColumn id="4133" xr3:uid="{DEB872DF-9865-4972-A237-21A80A406124}" name="Column4133"/>
    <tableColumn id="4134" xr3:uid="{1811C000-D20F-4CEB-A569-00E469FACFEF}" name="Column4134"/>
    <tableColumn id="4135" xr3:uid="{A0F9A5CF-4B4F-486A-B7F6-783F8240F4B9}" name="Column4135"/>
    <tableColumn id="4136" xr3:uid="{6BD0ECBD-3979-4439-99AD-1FE255B08F57}" name="Column4136"/>
    <tableColumn id="4137" xr3:uid="{CD5E240D-CF60-4254-BF45-56048E84C48D}" name="Column4137"/>
    <tableColumn id="4138" xr3:uid="{B35E0785-D2BE-4AD0-837A-9B3822EB5B0E}" name="Column4138"/>
    <tableColumn id="4139" xr3:uid="{1A101612-C5BD-4BB8-9268-5AD023204A24}" name="Column4139"/>
    <tableColumn id="4140" xr3:uid="{CA8BD2AC-C532-49DA-9B04-3527C26EDDF9}" name="Column4140"/>
    <tableColumn id="4141" xr3:uid="{CD6042DE-7087-4EFD-B157-7C53B2F11BE6}" name="Column4141"/>
    <tableColumn id="4142" xr3:uid="{65ADA61C-F3C2-4C1B-8BAF-CF599457484D}" name="Column4142"/>
    <tableColumn id="4143" xr3:uid="{C4383392-C2F3-442F-ABF7-C4EEB8228A01}" name="Column4143"/>
    <tableColumn id="4144" xr3:uid="{9DD1B6CA-8310-48B7-95D5-F9F975ECEF40}" name="Column4144"/>
    <tableColumn id="4145" xr3:uid="{37356AA1-D710-40AB-9989-9E6AE88EEEA5}" name="Column4145"/>
    <tableColumn id="4146" xr3:uid="{8F4DB208-3C34-4727-8E4F-0729DE0697B0}" name="Column4146"/>
    <tableColumn id="4147" xr3:uid="{4FA8D451-F69C-48D8-9087-DC9B1D013E78}" name="Column4147"/>
    <tableColumn id="4148" xr3:uid="{B63169AE-A07A-4A0E-9E00-DD4E73CCE9EB}" name="Column4148"/>
    <tableColumn id="4149" xr3:uid="{E1279F89-7F6B-48A0-826A-2F9FE6CD4711}" name="Column4149"/>
    <tableColumn id="4150" xr3:uid="{FDC1A79E-92D6-4AA3-8A1D-90D36B7FA443}" name="Column4150"/>
    <tableColumn id="4151" xr3:uid="{40708D24-02EF-4F0B-B467-BF6213DC719E}" name="Column4151"/>
    <tableColumn id="4152" xr3:uid="{9DDB3340-9918-4B58-BD32-DB1C00D00446}" name="Column4152"/>
    <tableColumn id="4153" xr3:uid="{739013DF-3AA4-4495-822D-416ECA1CC75C}" name="Column4153"/>
    <tableColumn id="4154" xr3:uid="{DA4517F0-BEA2-4D2B-B06A-278136B345A4}" name="Column4154"/>
    <tableColumn id="4155" xr3:uid="{C95B0CD3-482F-4B7B-84F5-9A55D9758684}" name="Column4155"/>
    <tableColumn id="4156" xr3:uid="{6F191F50-D7BD-42B2-A2BF-2D6CA961142F}" name="Column4156"/>
    <tableColumn id="4157" xr3:uid="{E83B653B-60AD-4DB9-A0BB-B76A69692093}" name="Column4157"/>
    <tableColumn id="4158" xr3:uid="{D650332B-8F5C-45E7-B43C-133CDA9DD4FA}" name="Column4158"/>
    <tableColumn id="4159" xr3:uid="{4C463D75-937D-487B-81B0-7B3AAB689C00}" name="Column4159"/>
    <tableColumn id="4160" xr3:uid="{2821A53C-6D58-4FEA-81D2-34FE446C225E}" name="Column4160"/>
    <tableColumn id="4161" xr3:uid="{E0AF6E38-5832-4098-BF00-6C129617C1C5}" name="Column4161"/>
    <tableColumn id="4162" xr3:uid="{663A9102-C846-4A49-9DCE-C27CD0E64C33}" name="Column4162"/>
    <tableColumn id="4163" xr3:uid="{041324F1-B14E-445B-B37C-011AFD52CC39}" name="Column4163"/>
    <tableColumn id="4164" xr3:uid="{A1B3E839-D0D1-4CD5-9102-AAB166D087D1}" name="Column4164"/>
    <tableColumn id="4165" xr3:uid="{B4727BEC-350C-4C20-A5F2-1A21A156BA27}" name="Column4165"/>
    <tableColumn id="4166" xr3:uid="{A20A8705-6B7F-4050-9E44-571DF96FDF23}" name="Column4166"/>
    <tableColumn id="4167" xr3:uid="{BFBB7B96-F90A-474A-B88E-6BE982311A61}" name="Column4167"/>
    <tableColumn id="4168" xr3:uid="{6F3A2299-AE70-4245-AE96-D30CBDA6D65C}" name="Column4168"/>
    <tableColumn id="4169" xr3:uid="{7395EC97-7E3A-4575-A70C-A19767F2BF73}" name="Column4169"/>
    <tableColumn id="4170" xr3:uid="{98ACC769-92A4-49F6-86D3-513037DF2DCD}" name="Column4170"/>
    <tableColumn id="4171" xr3:uid="{9E44AC16-1B00-4085-9528-98C1E33879DF}" name="Column4171"/>
    <tableColumn id="4172" xr3:uid="{18A75A80-D8EC-47A4-B509-B375F910DCE4}" name="Column4172"/>
    <tableColumn id="4173" xr3:uid="{CC07759C-7295-4A54-83B3-8F909CDED028}" name="Column4173"/>
    <tableColumn id="4174" xr3:uid="{667B676C-D245-42A7-94AE-FDBDD46DEC41}" name="Column4174"/>
    <tableColumn id="4175" xr3:uid="{170A1366-7589-4E32-9CE2-CECD50141E89}" name="Column4175"/>
    <tableColumn id="4176" xr3:uid="{FEAF86B1-B826-4967-BFAA-5C0E982F05B4}" name="Column4176"/>
    <tableColumn id="4177" xr3:uid="{56D9C489-3375-4DCE-84E3-9E649D170CD2}" name="Column4177"/>
    <tableColumn id="4178" xr3:uid="{DF3C95BE-A133-4229-B61B-126027DE710C}" name="Column4178"/>
    <tableColumn id="4179" xr3:uid="{FA6C7F63-D619-41D1-B302-AEA229F10FD4}" name="Column4179"/>
    <tableColumn id="4180" xr3:uid="{A316149E-BA2C-4747-B8C8-9984E7A3D98F}" name="Column4180"/>
    <tableColumn id="4181" xr3:uid="{7F568F74-C2D2-4D4A-A9C5-95EF799F1114}" name="Column4181"/>
    <tableColumn id="4182" xr3:uid="{EB4B9392-E3CD-4A7A-9106-BCCCAAD88518}" name="Column4182"/>
    <tableColumn id="4183" xr3:uid="{279FA91D-DD03-47B8-876B-06E91F054116}" name="Column4183"/>
    <tableColumn id="4184" xr3:uid="{A6325857-BC7F-4E16-B35D-50639994BCCF}" name="Column4184"/>
    <tableColumn id="4185" xr3:uid="{F6628A99-72DB-4530-ABCC-1AB199648BF4}" name="Column4185"/>
    <tableColumn id="4186" xr3:uid="{9D920A6D-A52F-4A53-B729-978A900D40F0}" name="Column4186"/>
    <tableColumn id="4187" xr3:uid="{31C693FD-9269-4332-B1C9-AB1060EB2826}" name="Column4187"/>
    <tableColumn id="4188" xr3:uid="{1468824F-086F-4F61-8B46-B3F88D6DA240}" name="Column4188"/>
    <tableColumn id="4189" xr3:uid="{9C5C55B8-D369-4D80-845E-775440A5AD68}" name="Column4189"/>
    <tableColumn id="4190" xr3:uid="{443B832A-A7B9-4E7C-829B-3D66E1895EA7}" name="Column4190"/>
    <tableColumn id="4191" xr3:uid="{52098E2E-50E9-4F76-9869-6C55F88AAE4C}" name="Column4191"/>
    <tableColumn id="4192" xr3:uid="{BDB6945E-D0A3-4F1C-8646-B1301E2F1FD4}" name="Column4192"/>
    <tableColumn id="4193" xr3:uid="{C0E1244D-B3C9-47E5-BEF6-C9CD2BA1C84A}" name="Column4193"/>
    <tableColumn id="4194" xr3:uid="{4D5018EE-C208-4C58-9A84-F5C265545DB7}" name="Column4194"/>
    <tableColumn id="4195" xr3:uid="{5262B8E4-3207-480C-A25B-DD35CEB6E42D}" name="Column4195"/>
    <tableColumn id="4196" xr3:uid="{6C3F2F3D-8006-4196-B9DE-502B74B65354}" name="Column4196"/>
    <tableColumn id="4197" xr3:uid="{28381D4F-95E5-43E4-B9EA-86F6F138D741}" name="Column4197"/>
    <tableColumn id="4198" xr3:uid="{03E2C5BE-3DBE-45FE-9D5C-F3D3F7951753}" name="Column4198"/>
    <tableColumn id="4199" xr3:uid="{85044E80-BAD2-422A-B63B-AF3BBCE2E7C7}" name="Column4199"/>
    <tableColumn id="4200" xr3:uid="{3C1B2D69-2439-4AB4-9CB7-03D6F2D4117E}" name="Column4200"/>
    <tableColumn id="4201" xr3:uid="{DAA807DD-561C-431F-B523-8C1B7C2D04FC}" name="Column4201"/>
    <tableColumn id="4202" xr3:uid="{A77CB1FB-665D-4EE3-BD75-414F750D511F}" name="Column4202"/>
    <tableColumn id="4203" xr3:uid="{3DCAAFE3-7B65-4044-9CF9-C521078413F1}" name="Column4203"/>
    <tableColumn id="4204" xr3:uid="{0F4046CD-2195-4CA6-A66B-D13FA9475D94}" name="Column4204"/>
    <tableColumn id="4205" xr3:uid="{EBFE4426-5521-4AC5-B95C-8BB748C7D136}" name="Column4205"/>
    <tableColumn id="4206" xr3:uid="{E3F75DE4-649D-49C9-8FC2-0C629077D3D8}" name="Column4206"/>
    <tableColumn id="4207" xr3:uid="{C0B7AB96-7A5D-43D0-9E50-1AF1A60ECE49}" name="Column4207"/>
    <tableColumn id="4208" xr3:uid="{011ABD4D-1EF5-48DF-8DFA-3439E3848EF2}" name="Column4208"/>
    <tableColumn id="4209" xr3:uid="{BC93F366-6936-46DE-9773-E40EE81AE0CF}" name="Column4209"/>
    <tableColumn id="4210" xr3:uid="{AA7F246E-DD11-4C98-9DB3-1B3BAE3216D9}" name="Column4210"/>
    <tableColumn id="4211" xr3:uid="{7F249146-93C0-4954-87E3-430EBE884D11}" name="Column4211"/>
    <tableColumn id="4212" xr3:uid="{BEE23369-16C0-4902-8ECA-4B93804B1D32}" name="Column4212"/>
    <tableColumn id="4213" xr3:uid="{47218A5A-1F56-48A5-91BC-8DB61DE60054}" name="Column4213"/>
    <tableColumn id="4214" xr3:uid="{9C467A2A-8F40-4D68-9595-2D728FB4672B}" name="Column4214"/>
    <tableColumn id="4215" xr3:uid="{51AD071C-DDFE-4413-B8AF-D7AC1A497F1E}" name="Column4215"/>
    <tableColumn id="4216" xr3:uid="{425F53A4-DBCE-427A-8BA4-B9BEE3C4956B}" name="Column4216"/>
    <tableColumn id="4217" xr3:uid="{0197E090-D7E0-4531-9D9F-643673E9CBBA}" name="Column4217"/>
    <tableColumn id="4218" xr3:uid="{A284DBEE-71BC-4E45-B25B-E0A4BBBB0236}" name="Column4218"/>
    <tableColumn id="4219" xr3:uid="{CE52E3DE-39D0-454D-BD68-E94E20C553A7}" name="Column4219"/>
    <tableColumn id="4220" xr3:uid="{3F732D60-65CE-40BD-89E6-28FEB424F3CE}" name="Column4220"/>
    <tableColumn id="4221" xr3:uid="{AD1DB4C2-7589-4C14-93FA-A0759BD8ACA2}" name="Column4221"/>
    <tableColumn id="4222" xr3:uid="{0E7AED0F-DE18-420B-B051-9A325867E267}" name="Column4222"/>
    <tableColumn id="4223" xr3:uid="{FC769D16-831F-4ADF-8E36-5198ED2266CD}" name="Column4223"/>
    <tableColumn id="4224" xr3:uid="{91F7C8AC-1E1C-4B49-A3B3-4A4D75B88AD4}" name="Column4224"/>
    <tableColumn id="4225" xr3:uid="{EA3522BD-5A3B-45FC-B012-24F21F130350}" name="Column4225"/>
    <tableColumn id="4226" xr3:uid="{E344DC6D-CB6B-433B-819D-9051E1C30353}" name="Column4226"/>
    <tableColumn id="4227" xr3:uid="{1D3BD921-CB86-4F55-94A8-439E75139C09}" name="Column4227"/>
    <tableColumn id="4228" xr3:uid="{CF167211-65F2-479F-912D-688915AFCEEB}" name="Column4228"/>
    <tableColumn id="4229" xr3:uid="{0F90D5A1-323A-4EEB-96A7-242BDDD86900}" name="Column4229"/>
    <tableColumn id="4230" xr3:uid="{B0A0CA92-0BFE-4395-9C3E-1F00A14C14DC}" name="Column4230"/>
    <tableColumn id="4231" xr3:uid="{85C974C3-F48E-4420-A0F3-F09F8C4DCCB0}" name="Column4231"/>
    <tableColumn id="4232" xr3:uid="{17977598-8F14-44E6-BBFB-6A5392588A3B}" name="Column4232"/>
    <tableColumn id="4233" xr3:uid="{A5F016B9-D8B7-4ED8-BABC-CE6C5D8C8A62}" name="Column4233"/>
    <tableColumn id="4234" xr3:uid="{F8285673-8822-43FD-A8E1-70ABA37F7C9F}" name="Column4234"/>
    <tableColumn id="4235" xr3:uid="{A8296916-8E33-4C47-9D0D-2782B9761B48}" name="Column4235"/>
    <tableColumn id="4236" xr3:uid="{42C4324A-A9B6-4514-8C4C-E3DABCAAA8EE}" name="Column4236"/>
    <tableColumn id="4237" xr3:uid="{72047675-CA22-4523-BBF1-5AF039D3C246}" name="Column4237"/>
    <tableColumn id="4238" xr3:uid="{386E4815-3C0C-49A0-B53B-7C787F1C20E5}" name="Column4238"/>
    <tableColumn id="4239" xr3:uid="{9D3E5B05-522B-4AA6-B962-4401CC0F5303}" name="Column4239"/>
    <tableColumn id="4240" xr3:uid="{EB2ADFCC-E45F-4965-A20F-C65C8C14CC7C}" name="Column4240"/>
    <tableColumn id="4241" xr3:uid="{3A94F9E6-29C1-4B38-BB07-61B75E6678B8}" name="Column4241"/>
    <tableColumn id="4242" xr3:uid="{7936D0CF-9DCB-4844-9EB6-97398FF67997}" name="Column4242"/>
    <tableColumn id="4243" xr3:uid="{E05770C4-FA24-43A6-BB8A-478E50A407B1}" name="Column4243"/>
    <tableColumn id="4244" xr3:uid="{AE654013-DF48-4407-9029-282170AE5CEA}" name="Column4244"/>
    <tableColumn id="4245" xr3:uid="{35C84849-54F7-4705-8E59-55C6E8858752}" name="Column4245"/>
    <tableColumn id="4246" xr3:uid="{6C93BA08-0DA8-43AA-84DD-B3828BA41DEA}" name="Column4246"/>
    <tableColumn id="4247" xr3:uid="{C044C66E-B993-4025-802A-C6F6B6329A7D}" name="Column4247"/>
    <tableColumn id="4248" xr3:uid="{38BD10BC-59D2-4FB6-978D-60BBC9038361}" name="Column4248"/>
    <tableColumn id="4249" xr3:uid="{743E9E83-06B8-4B1C-B74D-71179C1B26A1}" name="Column4249"/>
    <tableColumn id="4250" xr3:uid="{BE44B936-EA41-478F-9D05-972AEADC57D2}" name="Column4250"/>
    <tableColumn id="4251" xr3:uid="{42A9A52D-F83C-42D6-9E8B-DD5879D466EE}" name="Column4251"/>
    <tableColumn id="4252" xr3:uid="{EF9765C0-B3AD-4F2A-985A-A99EB5506B20}" name="Column4252"/>
    <tableColumn id="4253" xr3:uid="{46D38841-9F44-4C2A-B270-D818BCAB79C4}" name="Column4253"/>
    <tableColumn id="4254" xr3:uid="{54BB7185-FD1C-47FA-A05C-EC9C9AC99279}" name="Column4254"/>
    <tableColumn id="4255" xr3:uid="{4B6C2BFE-BD78-4407-B2C1-6D1E13B5CEBB}" name="Column4255"/>
    <tableColumn id="4256" xr3:uid="{AD36DFE0-B4F7-4B03-8C4E-04AABC38074D}" name="Column4256"/>
    <tableColumn id="4257" xr3:uid="{264516F7-ED6F-4414-8520-E8B27F6FD307}" name="Column4257"/>
    <tableColumn id="4258" xr3:uid="{1FC3A818-CC66-42C4-9A86-E0D2C00A56DC}" name="Column4258"/>
    <tableColumn id="4259" xr3:uid="{5FF5DA44-CC06-4C57-BF21-B1429759D434}" name="Column4259"/>
    <tableColumn id="4260" xr3:uid="{2372CA01-4DF1-4FE9-AF15-44D25C64CE42}" name="Column4260"/>
    <tableColumn id="4261" xr3:uid="{032ED0E1-23D6-4871-9067-7828D2CC0D48}" name="Column4261"/>
    <tableColumn id="4262" xr3:uid="{1802DD17-0BC3-4CA4-8155-0E0593619433}" name="Column4262"/>
    <tableColumn id="4263" xr3:uid="{81CAA4D6-BF28-4878-99DA-B84A5A963461}" name="Column4263"/>
    <tableColumn id="4264" xr3:uid="{3ABD339E-8D26-46B0-A2E8-2266F356C5BA}" name="Column4264"/>
    <tableColumn id="4265" xr3:uid="{8C27DFBD-8099-4124-8495-A201D3B893BB}" name="Column4265"/>
    <tableColumn id="4266" xr3:uid="{674A6C34-46CA-4AF0-B108-7E761A845D77}" name="Column4266"/>
    <tableColumn id="4267" xr3:uid="{6FCDA3EA-09C0-4DE5-8D76-5495B6337560}" name="Column4267"/>
    <tableColumn id="4268" xr3:uid="{0035E440-AA11-46B6-886A-3095A45EFC7F}" name="Column4268"/>
    <tableColumn id="4269" xr3:uid="{EC0E5F4F-BA49-4BCF-AF54-EAC9BDFB9B34}" name="Column4269"/>
    <tableColumn id="4270" xr3:uid="{8D4CF0C2-172A-4B9C-8825-B6D8579AA94D}" name="Column4270"/>
    <tableColumn id="4271" xr3:uid="{86BDB0DB-7FC2-4B57-8B46-49301613B37C}" name="Column4271"/>
    <tableColumn id="4272" xr3:uid="{469165CE-8878-49B1-ADF0-79B5B102CC0D}" name="Column4272"/>
    <tableColumn id="4273" xr3:uid="{CCFFC805-46AC-406D-ADDD-E60BA03B2712}" name="Column4273"/>
    <tableColumn id="4274" xr3:uid="{B3DF9EE0-6E4B-41A5-9D2F-8AA821649E53}" name="Column4274"/>
    <tableColumn id="4275" xr3:uid="{203D173C-FED0-47BC-91D5-C3CC1AE04CD0}" name="Column4275"/>
    <tableColumn id="4276" xr3:uid="{B5F2585F-49CD-4F58-869F-E5E00491E0C0}" name="Column4276"/>
    <tableColumn id="4277" xr3:uid="{4BA0DF81-8AB0-48E1-87E9-4376AA2736A8}" name="Column4277"/>
    <tableColumn id="4278" xr3:uid="{2CE6FDD8-21B6-4DC2-BEA2-0689F86C6840}" name="Column4278"/>
    <tableColumn id="4279" xr3:uid="{0016DBFE-00B0-46A3-A318-79F0F07C3458}" name="Column4279"/>
    <tableColumn id="4280" xr3:uid="{FDCAE72B-09F1-4859-9D21-F6629B89449F}" name="Column4280"/>
    <tableColumn id="4281" xr3:uid="{7654C708-6B11-48E2-A427-E10E815B4192}" name="Column4281"/>
    <tableColumn id="4282" xr3:uid="{3B3EDEB1-6468-4111-8BD0-F64C9C844C21}" name="Column4282"/>
    <tableColumn id="4283" xr3:uid="{AC959AD3-DC15-42C6-832D-3EED2DD3982A}" name="Column4283"/>
    <tableColumn id="4284" xr3:uid="{D9B9C228-A8D9-4133-B116-A1B56E127101}" name="Column4284"/>
    <tableColumn id="4285" xr3:uid="{64918F0B-9E22-4161-B361-EB75F0FAC0AD}" name="Column4285"/>
    <tableColumn id="4286" xr3:uid="{6E3C0844-B11B-4A3F-B1E6-B457059BF6A4}" name="Column4286"/>
    <tableColumn id="4287" xr3:uid="{ADF6CFDD-3CD5-4D9D-B150-8D53FA01584B}" name="Column4287"/>
    <tableColumn id="4288" xr3:uid="{3BD6E90C-D1AB-485C-B700-3D96E9C0E6B8}" name="Column4288"/>
    <tableColumn id="4289" xr3:uid="{AD52DCB4-EDC9-4FFB-ABB2-B52C659C4861}" name="Column4289"/>
    <tableColumn id="4290" xr3:uid="{7934E1DD-5EFE-4135-A62A-94400F15989C}" name="Column4290"/>
    <tableColumn id="4291" xr3:uid="{AD07E599-93A5-4DFB-BEB4-7BBB1725F9B8}" name="Column4291"/>
    <tableColumn id="4292" xr3:uid="{A02DE281-99CF-4B32-B0CC-E60DBB914E56}" name="Column4292"/>
    <tableColumn id="4293" xr3:uid="{4533C6B3-FE2D-4863-B678-E08D1A7B45D1}" name="Column4293"/>
    <tableColumn id="4294" xr3:uid="{A7540217-3C0C-4406-ADF2-49CB520BD556}" name="Column4294"/>
    <tableColumn id="4295" xr3:uid="{A4E6DB74-F9D5-486B-8D62-93471EC472AA}" name="Column4295"/>
    <tableColumn id="4296" xr3:uid="{3C1A5ECC-FCF2-43FC-A57E-2FF2E4C1C8F4}" name="Column4296"/>
    <tableColumn id="4297" xr3:uid="{81DB2F6D-DDB7-405C-8A5B-500FCEAAF60C}" name="Column4297"/>
    <tableColumn id="4298" xr3:uid="{92662FC2-1D6B-4E24-81EA-9544288C9A41}" name="Column4298"/>
    <tableColumn id="4299" xr3:uid="{6E67E12F-D97C-45F4-8533-E659C4F65611}" name="Column4299"/>
    <tableColumn id="4300" xr3:uid="{C5CB7EE3-3B18-4AC4-8AAB-7614D6D0E502}" name="Column4300"/>
    <tableColumn id="4301" xr3:uid="{05A4083D-BF02-4172-9313-453A09C560B0}" name="Column4301"/>
    <tableColumn id="4302" xr3:uid="{5DA298C5-ECF6-4D7B-AB72-98CEFB58B702}" name="Column4302"/>
    <tableColumn id="4303" xr3:uid="{C4BB19EB-C07D-4F0C-8D99-57A99B17A4FD}" name="Column4303"/>
    <tableColumn id="4304" xr3:uid="{C187D500-726B-4309-8AB1-9CADF0CECDC0}" name="Column4304"/>
    <tableColumn id="4305" xr3:uid="{6CFF06D3-E69F-4518-8E16-0302FC59C7D6}" name="Column4305"/>
    <tableColumn id="4306" xr3:uid="{879A2C77-6A15-4B99-BFBE-25105CA4C613}" name="Column4306"/>
    <tableColumn id="4307" xr3:uid="{C55A1F1F-BCD9-4D9A-92FA-0245ECBEF028}" name="Column4307"/>
    <tableColumn id="4308" xr3:uid="{8C313F11-A9C6-4C0C-A934-98CF4D6F6C5B}" name="Column4308"/>
    <tableColumn id="4309" xr3:uid="{EF7F2150-793D-46A7-B06A-5DF94AB8CCA6}" name="Column4309"/>
    <tableColumn id="4310" xr3:uid="{ACEA0D80-305D-4630-8180-65FF5F7569FA}" name="Column4310"/>
    <tableColumn id="4311" xr3:uid="{EEAADBD7-81D8-45E8-9445-4F1DFBBFBBEF}" name="Column4311"/>
    <tableColumn id="4312" xr3:uid="{2A38D625-0CEE-43E9-BE28-86DB013EBA05}" name="Column4312"/>
    <tableColumn id="4313" xr3:uid="{E36E1D47-6546-4ED4-938E-B4765A87F29D}" name="Column4313"/>
    <tableColumn id="4314" xr3:uid="{0CB552FE-046E-47C0-A265-8F488B114C19}" name="Column4314"/>
    <tableColumn id="4315" xr3:uid="{619B587E-2214-4DE4-A347-920B5518F2D5}" name="Column4315"/>
    <tableColumn id="4316" xr3:uid="{00F5055C-3FCC-4976-A6F3-7E02A3BEAC2A}" name="Column4316"/>
    <tableColumn id="4317" xr3:uid="{5CAC91B0-E3F9-4BE6-915C-2C847B32A6C8}" name="Column4317"/>
    <tableColumn id="4318" xr3:uid="{CC03193A-72AF-434F-A264-B3EFA6894328}" name="Column4318"/>
    <tableColumn id="4319" xr3:uid="{F0789497-BD48-4ABE-B63A-337022EB8CFB}" name="Column4319"/>
    <tableColumn id="4320" xr3:uid="{67720CB2-545A-4697-9688-61B83229BD07}" name="Column4320"/>
    <tableColumn id="4321" xr3:uid="{C3DB2EFE-5E33-4020-8987-B15B74C4FD64}" name="Column4321"/>
    <tableColumn id="4322" xr3:uid="{7368EBFB-47B4-432E-8016-8D5DBD5F7AFE}" name="Column4322"/>
    <tableColumn id="4323" xr3:uid="{87DE43D5-054C-451D-A5CD-A1C27194E0FE}" name="Column4323"/>
    <tableColumn id="4324" xr3:uid="{F4F40713-0E8B-49AB-8113-F8A1F182BA7E}" name="Column4324"/>
    <tableColumn id="4325" xr3:uid="{D307F656-8840-4E72-B51D-AACADD7D2CE2}" name="Column4325"/>
    <tableColumn id="4326" xr3:uid="{347105BD-22FB-4AC5-B32C-5CC1F97BBA8E}" name="Column4326"/>
    <tableColumn id="4327" xr3:uid="{87BC5179-C1C1-43B7-B4CD-7BBE95167868}" name="Column4327"/>
    <tableColumn id="4328" xr3:uid="{2D485D12-43FD-488F-8CD6-87573D065639}" name="Column4328"/>
    <tableColumn id="4329" xr3:uid="{A1B3977F-DDE6-4774-904B-FBBCCD07CE07}" name="Column4329"/>
    <tableColumn id="4330" xr3:uid="{9519D5E9-10FD-461A-9AE6-0E706B6F4AEA}" name="Column4330"/>
    <tableColumn id="4331" xr3:uid="{B45E5A4C-C538-4649-B788-15753950B776}" name="Column4331"/>
    <tableColumn id="4332" xr3:uid="{BB991A99-3DF2-4817-B3F4-11A79520B92A}" name="Column4332"/>
    <tableColumn id="4333" xr3:uid="{37255E11-0C07-4FD4-AF2F-6497EEF3AA6D}" name="Column4333"/>
    <tableColumn id="4334" xr3:uid="{A84A6E0D-E796-4A1A-8AD9-6A564F64516B}" name="Column4334"/>
    <tableColumn id="4335" xr3:uid="{AF23A1E9-9AD1-4A6B-9B72-C7796449B6ED}" name="Column4335"/>
    <tableColumn id="4336" xr3:uid="{EEA83CA4-EE76-4BCA-A36A-4C256B5B3AAB}" name="Column4336"/>
    <tableColumn id="4337" xr3:uid="{4A40AC15-5BAD-4C64-819C-DC66242D6873}" name="Column4337"/>
    <tableColumn id="4338" xr3:uid="{D6FA1563-2072-4EDC-92AA-7647883F9D3A}" name="Column4338"/>
    <tableColumn id="4339" xr3:uid="{773685AF-9B9C-4BFD-9333-B49BECF38FF9}" name="Column4339"/>
    <tableColumn id="4340" xr3:uid="{7E1D95E1-D73F-42AC-B720-BCCAF0D9300C}" name="Column4340"/>
    <tableColumn id="4341" xr3:uid="{ED2E7DB7-EE6E-4DF0-A632-EB11B55FF7B1}" name="Column4341"/>
    <tableColumn id="4342" xr3:uid="{C31D97C7-C659-43A6-A0BF-4933E72D51EC}" name="Column4342"/>
    <tableColumn id="4343" xr3:uid="{2D7D8A8A-8F73-4011-868D-10A1087119DE}" name="Column4343"/>
    <tableColumn id="4344" xr3:uid="{0747274D-2BCD-474C-89F6-9A48A595CD6E}" name="Column4344"/>
    <tableColumn id="4345" xr3:uid="{C7B442C1-AAEC-4FC0-ACCF-49F254335678}" name="Column4345"/>
    <tableColumn id="4346" xr3:uid="{737AA5D0-EDFA-4BE7-A4D1-4975AAE501DD}" name="Column4346"/>
    <tableColumn id="4347" xr3:uid="{401F05CA-7117-4991-95FF-10A1EF6EDD56}" name="Column4347"/>
    <tableColumn id="4348" xr3:uid="{115F11A6-B8E3-4C06-8451-74A8E1930CDE}" name="Column4348"/>
    <tableColumn id="4349" xr3:uid="{C0BA924A-249A-4185-9536-AD2E15D09B39}" name="Column4349"/>
    <tableColumn id="4350" xr3:uid="{3565335F-5C60-40F2-88C6-04854AC76A63}" name="Column4350"/>
    <tableColumn id="4351" xr3:uid="{43C62984-EF23-45AD-B535-1052DA90CDD0}" name="Column4351"/>
    <tableColumn id="4352" xr3:uid="{4FCD63BF-027E-4DAE-8BB7-2FE7F0DA8706}" name="Column4352"/>
    <tableColumn id="4353" xr3:uid="{9BE71610-26E4-40C5-A9CF-A2D33918758E}" name="Column4353"/>
    <tableColumn id="4354" xr3:uid="{481F3FFD-78F1-4DE4-B73E-FE7778669F7D}" name="Column4354"/>
    <tableColumn id="4355" xr3:uid="{63E8EBCD-F3E3-4157-841B-76098411C61B}" name="Column4355"/>
    <tableColumn id="4356" xr3:uid="{9B7645C7-D3B7-4C9E-9859-C1597BC3E1DD}" name="Column4356"/>
    <tableColumn id="4357" xr3:uid="{06BA59FF-5884-4D72-A147-9F5906B0D0B4}" name="Column4357"/>
    <tableColumn id="4358" xr3:uid="{D30D5F16-A437-494C-81CB-E34D14364467}" name="Column4358"/>
    <tableColumn id="4359" xr3:uid="{0CA1F6C4-6E7A-4093-8FA4-31797EAFC565}" name="Column4359"/>
    <tableColumn id="4360" xr3:uid="{4FEBEBDF-175C-4318-A234-353627F841BA}" name="Column4360"/>
    <tableColumn id="4361" xr3:uid="{A6027633-64CD-4371-80C9-2EA82A548944}" name="Column4361"/>
    <tableColumn id="4362" xr3:uid="{1B5FDD64-0221-481C-8B2B-5A6E9A587AD6}" name="Column4362"/>
    <tableColumn id="4363" xr3:uid="{3FEF39CF-5F79-4017-97BC-2EC63B11531E}" name="Column4363"/>
    <tableColumn id="4364" xr3:uid="{B6CA67B8-1186-4CED-8D64-327DC820D451}" name="Column4364"/>
    <tableColumn id="4365" xr3:uid="{15A2EB0A-79BC-43C6-B48A-1200C93C2104}" name="Column4365"/>
    <tableColumn id="4366" xr3:uid="{FF3182A4-6606-4495-AB48-32D69A8BE15B}" name="Column4366"/>
    <tableColumn id="4367" xr3:uid="{D0A840C2-7DDF-4200-B7CB-076D677079CF}" name="Column4367"/>
    <tableColumn id="4368" xr3:uid="{471AA2BB-C055-4565-819F-B4768B37178A}" name="Column4368"/>
    <tableColumn id="4369" xr3:uid="{67FA1F30-4C27-4FC8-BA32-D8813031B128}" name="Column4369"/>
    <tableColumn id="4370" xr3:uid="{BFD64F46-CE61-4A27-A8A3-44E1D26ED34A}" name="Column4370"/>
    <tableColumn id="4371" xr3:uid="{86969CC0-CCC5-44D5-AEC7-981FF3D24A24}" name="Column4371"/>
    <tableColumn id="4372" xr3:uid="{4E5AEB18-90FA-481C-9307-5122B0F02552}" name="Column4372"/>
    <tableColumn id="4373" xr3:uid="{3F6EB968-02F4-4381-95CE-325658F02D46}" name="Column4373"/>
    <tableColumn id="4374" xr3:uid="{DF1825B2-03FE-420B-9A15-F1EA971DE7A3}" name="Column4374"/>
    <tableColumn id="4375" xr3:uid="{346644B7-114A-4FEE-88D6-3963AC171E72}" name="Column4375"/>
    <tableColumn id="4376" xr3:uid="{3B870455-0CD6-4222-BD1D-26F7E704C81D}" name="Column4376"/>
    <tableColumn id="4377" xr3:uid="{E5DC2B85-0E1B-482E-BDB1-ADDE52856DA1}" name="Column4377"/>
    <tableColumn id="4378" xr3:uid="{A767B546-CCE8-4000-B73C-B257D31FED1D}" name="Column4378"/>
    <tableColumn id="4379" xr3:uid="{6320BBBB-7752-4B85-BC15-E5258AD5CDC4}" name="Column4379"/>
    <tableColumn id="4380" xr3:uid="{BDA704F1-176D-4F5B-99E0-39B5B873CD12}" name="Column4380"/>
    <tableColumn id="4381" xr3:uid="{33276471-A3AF-4C54-A444-B3878BF897F6}" name="Column4381"/>
    <tableColumn id="4382" xr3:uid="{801F7957-5475-4DFE-BA7D-46422A41CFD1}" name="Column4382"/>
    <tableColumn id="4383" xr3:uid="{E3D0E274-67B9-4023-9B2F-05BBE7F11D71}" name="Column4383"/>
    <tableColumn id="4384" xr3:uid="{7AC57B6B-FEAB-4BF2-B7E5-1E5C40474E4A}" name="Column4384"/>
    <tableColumn id="4385" xr3:uid="{A8801D6D-B3C9-448B-A275-484CBDEB2A6A}" name="Column4385"/>
    <tableColumn id="4386" xr3:uid="{24701589-AD80-45AD-9092-767A70A20E51}" name="Column4386"/>
    <tableColumn id="4387" xr3:uid="{E308DCB1-7151-48CE-B56F-941165087C4E}" name="Column4387"/>
    <tableColumn id="4388" xr3:uid="{622BF5AC-1C7D-4F1B-9B84-A888043A07EE}" name="Column4388"/>
    <tableColumn id="4389" xr3:uid="{E577C2CC-C8A8-4CDD-BC00-197EBF239851}" name="Column4389"/>
    <tableColumn id="4390" xr3:uid="{37FB2D94-74D9-4F28-9160-C3252BA22A2C}" name="Column4390"/>
    <tableColumn id="4391" xr3:uid="{56B3C93D-3A49-46C2-9BB0-4A2C8AF90FB9}" name="Column4391"/>
    <tableColumn id="4392" xr3:uid="{07590CFA-6EBC-4A37-94FC-9C621EB6537A}" name="Column4392"/>
    <tableColumn id="4393" xr3:uid="{9702A58F-9CA0-497B-AE34-6F895A0DB799}" name="Column4393"/>
    <tableColumn id="4394" xr3:uid="{A38E332C-29FF-4517-B446-6069EA7F09DE}" name="Column4394"/>
    <tableColumn id="4395" xr3:uid="{C74B9A5C-DFD9-46CA-B23A-FAB2E9EF0A00}" name="Column4395"/>
    <tableColumn id="4396" xr3:uid="{DF9BFC04-E999-4F1D-B440-869DB4E6ABA1}" name="Column4396"/>
    <tableColumn id="4397" xr3:uid="{D9BFA8D5-98D7-4855-8D77-FFF91ABB8937}" name="Column4397"/>
    <tableColumn id="4398" xr3:uid="{5936E7CD-E133-4054-994E-74401CAD1608}" name="Column4398"/>
    <tableColumn id="4399" xr3:uid="{328935FF-D462-4A89-A2E2-C3833CE428E1}" name="Column4399"/>
    <tableColumn id="4400" xr3:uid="{25E113F8-870D-4B2F-9C36-1E19E09193D1}" name="Column4400"/>
    <tableColumn id="4401" xr3:uid="{B52775D9-A8B7-4F86-A4CB-C6D247893196}" name="Column4401"/>
    <tableColumn id="4402" xr3:uid="{259A7949-5C0E-4E98-BE37-9087E251EE33}" name="Column4402"/>
    <tableColumn id="4403" xr3:uid="{BD925699-18A8-46F1-AB85-E28D5561F100}" name="Column4403"/>
    <tableColumn id="4404" xr3:uid="{1BB88371-72B1-411B-A66D-954CB657A537}" name="Column4404"/>
    <tableColumn id="4405" xr3:uid="{ACFAC43F-8989-4083-A5D5-8595D4F392A8}" name="Column4405"/>
    <tableColumn id="4406" xr3:uid="{68B51FA7-FB64-4BDD-8062-BFE7C5E97B99}" name="Column4406"/>
    <tableColumn id="4407" xr3:uid="{11DBF9E9-6C1F-4095-8883-375CFCCA3A04}" name="Column4407"/>
    <tableColumn id="4408" xr3:uid="{C01D28F3-548E-45D9-B1DF-2484EC38AE7D}" name="Column4408"/>
    <tableColumn id="4409" xr3:uid="{6C7AFB25-506A-49B2-AFE6-E7E5CF17EC73}" name="Column4409"/>
    <tableColumn id="4410" xr3:uid="{1E6F68FA-8113-43A7-8E82-A98032E9B936}" name="Column4410"/>
    <tableColumn id="4411" xr3:uid="{93F401B9-0A25-4902-BC69-9C0752E6F6E1}" name="Column4411"/>
    <tableColumn id="4412" xr3:uid="{E5DA3A88-1B00-4B5F-B9FB-26969341CCA0}" name="Column4412"/>
    <tableColumn id="4413" xr3:uid="{7536EE64-572E-4DD8-ADB8-6A9DEFE56DB3}" name="Column4413"/>
    <tableColumn id="4414" xr3:uid="{6E5AC019-DA9B-4F76-B8F8-4A169357E048}" name="Column4414"/>
    <tableColumn id="4415" xr3:uid="{FDFDEF64-3B98-4A7D-94E9-9169A1D83657}" name="Column4415"/>
    <tableColumn id="4416" xr3:uid="{5587DEFE-C63A-4214-A508-DB5590E2BB31}" name="Column4416"/>
    <tableColumn id="4417" xr3:uid="{DED80429-4D63-4906-97F3-E69F362F2BCF}" name="Column4417"/>
    <tableColumn id="4418" xr3:uid="{EB9370F4-2621-4ACA-B634-48BAF73866AF}" name="Column4418"/>
    <tableColumn id="4419" xr3:uid="{04A6E8AC-1F3F-406E-81CE-C1552410970C}" name="Column4419"/>
    <tableColumn id="4420" xr3:uid="{30B62B10-0631-44E3-A16C-4238568FF310}" name="Column4420"/>
    <tableColumn id="4421" xr3:uid="{320166A1-EC46-478F-9D6C-4A4B34F5AF09}" name="Column4421"/>
    <tableColumn id="4422" xr3:uid="{4B3A7DFD-BB62-4298-8C03-F2916C539B98}" name="Column4422"/>
    <tableColumn id="4423" xr3:uid="{B4FF6854-2DAC-48DB-A1C9-71DD2994C3ED}" name="Column4423"/>
    <tableColumn id="4424" xr3:uid="{3A5452A1-0F53-4F11-963E-DC0440AF7009}" name="Column4424"/>
    <tableColumn id="4425" xr3:uid="{03C75B6C-EC95-4DD2-B01E-ADBFA26798CD}" name="Column4425"/>
    <tableColumn id="4426" xr3:uid="{EEE7AEF5-9C90-4823-9184-CDC5DBEAAE4D}" name="Column4426"/>
    <tableColumn id="4427" xr3:uid="{4E3AD357-C4A0-44AE-995C-94B63D3FEE21}" name="Column4427"/>
    <tableColumn id="4428" xr3:uid="{3C8E736C-8BCB-4F21-BEEA-B42A688B6B4C}" name="Column4428"/>
    <tableColumn id="4429" xr3:uid="{ADC61572-0E9C-4304-9409-DFF00BD52AED}" name="Column4429"/>
    <tableColumn id="4430" xr3:uid="{E36496BA-F271-4DAF-AE06-5F87C32088AD}" name="Column4430"/>
    <tableColumn id="4431" xr3:uid="{C3A786F4-FCD5-420C-A399-8232BE465AF2}" name="Column4431"/>
    <tableColumn id="4432" xr3:uid="{186A0147-EA7C-4B5A-8CD3-AF2DA7E8DA58}" name="Column4432"/>
    <tableColumn id="4433" xr3:uid="{6CC13FDB-32D9-420E-AFC3-056F623F85CB}" name="Column4433"/>
    <tableColumn id="4434" xr3:uid="{3C5B9B80-EC59-49B6-9D51-9669291A0C50}" name="Column4434"/>
    <tableColumn id="4435" xr3:uid="{2115F9A8-E587-4752-8A22-3C3329C952CF}" name="Column4435"/>
    <tableColumn id="4436" xr3:uid="{1CEFF58C-A4D3-4AF8-9619-27E358E58040}" name="Column4436"/>
    <tableColumn id="4437" xr3:uid="{CEE25020-6D12-4BB1-90C2-69319CF7DC34}" name="Column4437"/>
    <tableColumn id="4438" xr3:uid="{646BBDF9-CB5B-4A85-A533-6917183623AC}" name="Column4438"/>
    <tableColumn id="4439" xr3:uid="{F74A8174-7542-4EDF-A09E-1215015F60FC}" name="Column4439"/>
    <tableColumn id="4440" xr3:uid="{1EAE912C-658D-4242-9976-44FCAD5239A7}" name="Column4440"/>
    <tableColumn id="4441" xr3:uid="{79BF2ACF-FDCD-4A30-8326-18A2E02FD050}" name="Column4441"/>
    <tableColumn id="4442" xr3:uid="{65B8457E-D3CC-47CF-8D97-4EA6B50184E3}" name="Column4442"/>
    <tableColumn id="4443" xr3:uid="{CD6CE8CC-286C-4290-B312-12245CA42C1B}" name="Column4443"/>
    <tableColumn id="4444" xr3:uid="{C73FEA86-E978-49A7-AF67-F673C85A0CAC}" name="Column4444"/>
    <tableColumn id="4445" xr3:uid="{3AD3F3ED-76BA-4160-94DD-02D5DDC46B87}" name="Column4445"/>
    <tableColumn id="4446" xr3:uid="{58913336-F2FF-46D0-8EA2-0D36A1CFB817}" name="Column4446"/>
    <tableColumn id="4447" xr3:uid="{2BA74334-6B4E-47C5-B2F1-09A347F30D95}" name="Column4447"/>
    <tableColumn id="4448" xr3:uid="{AE5CB8DA-D0C4-4445-9064-46AADB90026F}" name="Column4448"/>
    <tableColumn id="4449" xr3:uid="{B352181D-66A2-49B9-8369-3E06D4490C6A}" name="Column4449"/>
    <tableColumn id="4450" xr3:uid="{D5875B09-693F-4160-8702-C8B3EF6255B6}" name="Column4450"/>
    <tableColumn id="4451" xr3:uid="{3014ACD8-5C20-49BD-8CD2-8AC9FF019D1A}" name="Column4451"/>
    <tableColumn id="4452" xr3:uid="{492AB74B-FAB8-49D3-BA09-D3C9DA5213F1}" name="Column4452"/>
    <tableColumn id="4453" xr3:uid="{D7B08E42-76A3-40CA-A02F-C5E3C52B5C5A}" name="Column4453"/>
    <tableColumn id="4454" xr3:uid="{1A5A07F1-3D9D-47C8-9DA0-A589B08C9D61}" name="Column4454"/>
    <tableColumn id="4455" xr3:uid="{471A1B88-4846-4081-BB70-C15FCC62179E}" name="Column4455"/>
    <tableColumn id="4456" xr3:uid="{57BB1BA4-05FE-4E91-A7AE-576DA9C96145}" name="Column4456"/>
    <tableColumn id="4457" xr3:uid="{B6DDF3D7-632D-4FEF-A4B1-24A13A6663E0}" name="Column4457"/>
    <tableColumn id="4458" xr3:uid="{33758026-438E-469D-A97F-D66F3E7EE7D7}" name="Column4458"/>
    <tableColumn id="4459" xr3:uid="{4F8E2E8C-21EB-47D5-A810-49FDF51461A9}" name="Column4459"/>
    <tableColumn id="4460" xr3:uid="{4F236A6A-C330-4719-B477-B702490E3B06}" name="Column4460"/>
    <tableColumn id="4461" xr3:uid="{A10D1352-647B-46A8-880E-14BE0CC09CEF}" name="Column4461"/>
    <tableColumn id="4462" xr3:uid="{A06AF877-7FA8-4F63-8444-B1614E130BB6}" name="Column4462"/>
    <tableColumn id="4463" xr3:uid="{5EC5A173-A742-47A7-88C5-BEA7ACD7DC6E}" name="Column4463"/>
    <tableColumn id="4464" xr3:uid="{9896DAFB-906E-4787-955C-E1D293A0D7FE}" name="Column4464"/>
    <tableColumn id="4465" xr3:uid="{BF6CADD7-4E85-4A0B-B217-C6CB63F1E479}" name="Column4465"/>
    <tableColumn id="4466" xr3:uid="{4069A5D1-65F2-4D2C-8E25-6EE82F2084F1}" name="Column4466"/>
    <tableColumn id="4467" xr3:uid="{70D40D3F-E108-449B-9406-5C7C6F3B758D}" name="Column4467"/>
    <tableColumn id="4468" xr3:uid="{4B5A1470-6CC5-4984-A977-4E93200B2761}" name="Column4468"/>
    <tableColumn id="4469" xr3:uid="{495BF720-7666-4666-A176-17216EE9828B}" name="Column4469"/>
    <tableColumn id="4470" xr3:uid="{94237523-1D93-48C6-A199-0EF0E6F169F6}" name="Column4470"/>
    <tableColumn id="4471" xr3:uid="{E67160A0-0E8D-4C81-8D8C-06D6A29DC048}" name="Column4471"/>
    <tableColumn id="4472" xr3:uid="{7DC7DFEF-C046-4813-86C5-D98508E02EC2}" name="Column4472"/>
    <tableColumn id="4473" xr3:uid="{250B1B52-3BAF-42F7-BD3B-471614395719}" name="Column4473"/>
    <tableColumn id="4474" xr3:uid="{6D670664-9BA3-46D7-9D16-B49B558AC151}" name="Column4474"/>
    <tableColumn id="4475" xr3:uid="{FF866B87-487A-4326-932E-A94D4397918E}" name="Column4475"/>
    <tableColumn id="4476" xr3:uid="{8D4D51DB-907A-4E6A-BD18-6A3848DAA576}" name="Column4476"/>
    <tableColumn id="4477" xr3:uid="{8307E73E-B883-4673-B7B9-CEA097C1BE7B}" name="Column4477"/>
    <tableColumn id="4478" xr3:uid="{8EB19567-0E55-4FF9-9F2A-73F3E4E380B2}" name="Column4478"/>
    <tableColumn id="4479" xr3:uid="{9CE07BF5-4C6D-4B48-B565-BB3AFC11CF28}" name="Column4479"/>
    <tableColumn id="4480" xr3:uid="{EB82CC37-11FD-4504-B3E6-8E2F64B0515D}" name="Column4480"/>
    <tableColumn id="4481" xr3:uid="{3F824CFF-5F79-44CF-901A-CB20A687A16D}" name="Column4481"/>
    <tableColumn id="4482" xr3:uid="{4E0F880B-56FD-4463-A730-C1FA85F976D7}" name="Column4482"/>
    <tableColumn id="4483" xr3:uid="{B057D4FC-31B5-49D9-8D09-E9F1D0A68409}" name="Column4483"/>
    <tableColumn id="4484" xr3:uid="{A7B05BD2-5B25-46A5-9705-1B16CC1EBC7A}" name="Column4484"/>
    <tableColumn id="4485" xr3:uid="{EF5E8389-65D7-4303-AF7A-462BA9909754}" name="Column4485"/>
    <tableColumn id="4486" xr3:uid="{08C51FA2-B9E7-4A8D-95B6-A8FB59EB3EFD}" name="Column4486"/>
    <tableColumn id="4487" xr3:uid="{31E1177B-203F-4F7A-B63E-23F9A793886F}" name="Column4487"/>
    <tableColumn id="4488" xr3:uid="{D5375802-F42E-4487-BAB9-73FF6D22DF9D}" name="Column4488"/>
    <tableColumn id="4489" xr3:uid="{2CB5B15C-A2B5-49B9-B37F-C9F2DD7405A7}" name="Column4489"/>
    <tableColumn id="4490" xr3:uid="{C6023847-B52F-4CFE-940F-EBE9DDE9A267}" name="Column4490"/>
    <tableColumn id="4491" xr3:uid="{38105174-773C-402C-97E6-87481A4DB7A0}" name="Column4491"/>
    <tableColumn id="4492" xr3:uid="{7869E73F-1D96-4D68-A272-4DF5DEB714BC}" name="Column4492"/>
    <tableColumn id="4493" xr3:uid="{0EEAF9B8-A6C1-427B-9106-6606EF18335F}" name="Column4493"/>
    <tableColumn id="4494" xr3:uid="{2E3B9AAD-6544-4441-9A32-32607F265296}" name="Column4494"/>
    <tableColumn id="4495" xr3:uid="{1B4BCAD7-068B-42BE-B5D9-A3601C86E994}" name="Column4495"/>
    <tableColumn id="4496" xr3:uid="{66918D28-D98F-45C5-A7DA-287E4BB71CA5}" name="Column4496"/>
    <tableColumn id="4497" xr3:uid="{5DE906F0-FA8E-4A4E-9A7F-31539C99685C}" name="Column4497"/>
    <tableColumn id="4498" xr3:uid="{DDA6860B-4529-4535-A884-203D1BAB9F01}" name="Column4498"/>
    <tableColumn id="4499" xr3:uid="{7444C28F-A375-45A6-B6A0-50E5656DEE7B}" name="Column4499"/>
    <tableColumn id="4500" xr3:uid="{75FEB4B8-5858-4BC1-A9C1-C2487753F3E3}" name="Column4500"/>
    <tableColumn id="4501" xr3:uid="{E439AEE5-34A7-463B-B7E8-C0A2697E48F8}" name="Column4501"/>
    <tableColumn id="4502" xr3:uid="{574FC862-BD44-4677-AAED-A2441471D3A0}" name="Column4502"/>
    <tableColumn id="4503" xr3:uid="{DC933662-2F72-4A96-8704-33A6DEB7C75F}" name="Column4503"/>
    <tableColumn id="4504" xr3:uid="{7D597A9E-D13E-423C-9308-1DA8A0875498}" name="Column4504"/>
    <tableColumn id="4505" xr3:uid="{229CCF53-CC30-4101-BFD3-2F0FA1EF7E19}" name="Column4505"/>
    <tableColumn id="4506" xr3:uid="{04E3E5F7-2FB4-4AC5-85D0-0FD0EB251347}" name="Column4506"/>
    <tableColumn id="4507" xr3:uid="{959CEA51-0D49-4B5A-950C-15FB2A4EF709}" name="Column4507"/>
    <tableColumn id="4508" xr3:uid="{D7801114-C3E2-4939-A86E-F2099B4891B8}" name="Column4508"/>
    <tableColumn id="4509" xr3:uid="{A07C1074-687C-471A-AF31-449D61A2A659}" name="Column4509"/>
    <tableColumn id="4510" xr3:uid="{8FCE0C86-97E3-4742-847A-AA8B6D12E4C2}" name="Column4510"/>
    <tableColumn id="4511" xr3:uid="{591488E0-1032-45F7-8752-B5E824785B52}" name="Column4511"/>
    <tableColumn id="4512" xr3:uid="{75706417-06CA-4DDE-AFAA-05632DD79BEF}" name="Column4512"/>
    <tableColumn id="4513" xr3:uid="{A86A4811-9C5B-4035-A69E-32DD835CA8B3}" name="Column4513"/>
    <tableColumn id="4514" xr3:uid="{D1354727-B9D9-4540-BD14-391EB4BB374E}" name="Column4514"/>
    <tableColumn id="4515" xr3:uid="{7DB63EA6-A2A9-4755-94DA-A7713596F996}" name="Column4515"/>
    <tableColumn id="4516" xr3:uid="{C67C609F-7686-4812-A419-FB0DD5FB9E46}" name="Column4516"/>
    <tableColumn id="4517" xr3:uid="{C89A4521-B401-41AE-B420-34B1F421D74A}" name="Column4517"/>
    <tableColumn id="4518" xr3:uid="{0C0B71E1-24CB-4989-BC92-2ADF6CDABA85}" name="Column4518"/>
    <tableColumn id="4519" xr3:uid="{70EB3E3F-2E13-4C18-95A8-176BD20D1DA1}" name="Column4519"/>
    <tableColumn id="4520" xr3:uid="{0F0EEB1C-D804-4408-80BF-122058CC4F37}" name="Column4520"/>
    <tableColumn id="4521" xr3:uid="{CD8FA25D-B846-4F9D-B0F6-D38C072C989B}" name="Column4521"/>
    <tableColumn id="4522" xr3:uid="{68745D5B-DE27-4A1D-BD60-58883FFA0848}" name="Column4522"/>
    <tableColumn id="4523" xr3:uid="{B0759BB9-75D4-4039-97AF-B9D2A43605B9}" name="Column4523"/>
    <tableColumn id="4524" xr3:uid="{8BBCA7E7-9C4B-49FB-8F8F-B53FF7801E50}" name="Column4524"/>
    <tableColumn id="4525" xr3:uid="{2B707A24-8824-4C7A-ACB9-63E011A501A9}" name="Column4525"/>
    <tableColumn id="4526" xr3:uid="{E79F8276-1811-4023-B0D4-6040014A761F}" name="Column4526"/>
    <tableColumn id="4527" xr3:uid="{28745B96-864B-43F1-A738-F7FD43E01074}" name="Column4527"/>
    <tableColumn id="4528" xr3:uid="{D673D39D-D35C-4ECE-99B2-29EDC83EB851}" name="Column4528"/>
    <tableColumn id="4529" xr3:uid="{ABDBADAD-D88E-4D51-982D-3B382C0AB76D}" name="Column4529"/>
    <tableColumn id="4530" xr3:uid="{4530C426-73F1-4DD4-A3F9-E0644887121C}" name="Column4530"/>
    <tableColumn id="4531" xr3:uid="{FB781020-9321-4E9A-9DA3-9EA286AA7ACB}" name="Column4531"/>
    <tableColumn id="4532" xr3:uid="{AB198991-5021-47A9-A25E-7FAC30986FFC}" name="Column4532"/>
    <tableColumn id="4533" xr3:uid="{7FF255F8-6C59-4400-B24D-2335BE950B7E}" name="Column4533"/>
    <tableColumn id="4534" xr3:uid="{E3070893-C4E0-4F3F-A040-7056FC248A58}" name="Column4534"/>
    <tableColumn id="4535" xr3:uid="{F63402B0-805C-43A9-98BF-74C0DF0F71AE}" name="Column4535"/>
    <tableColumn id="4536" xr3:uid="{33261DCD-C833-4BD9-BA6E-36541B9991B9}" name="Column4536"/>
    <tableColumn id="4537" xr3:uid="{05E70C4F-0209-4D21-A777-A7AA71689133}" name="Column4537"/>
    <tableColumn id="4538" xr3:uid="{432548FB-63B4-4C54-B88E-25EBA79D2828}" name="Column4538"/>
    <tableColumn id="4539" xr3:uid="{DDB3B9E2-694A-4C63-966E-399CD3F7328E}" name="Column4539"/>
    <tableColumn id="4540" xr3:uid="{4AE78BE2-92FC-4131-89B6-D93C909E404C}" name="Column4540"/>
    <tableColumn id="4541" xr3:uid="{B7306C9B-BC14-4FEB-A189-1CCC8A7AF318}" name="Column4541"/>
    <tableColumn id="4542" xr3:uid="{B65D1ED2-5553-4BC4-83F2-9BB11EB98011}" name="Column4542"/>
    <tableColumn id="4543" xr3:uid="{DF12E933-9706-4940-B954-0D7D0910B580}" name="Column4543"/>
    <tableColumn id="4544" xr3:uid="{82731ADD-E4B2-4C28-A98B-B42FCF7AFD00}" name="Column4544"/>
    <tableColumn id="4545" xr3:uid="{AFF8C4CC-602C-40E3-A7E0-1CC18C1F419F}" name="Column4545"/>
    <tableColumn id="4546" xr3:uid="{11C15427-6DB9-44F5-B54E-787341E37CE4}" name="Column4546"/>
    <tableColumn id="4547" xr3:uid="{989D0E4A-6E69-443F-AE8E-1F5E150466C7}" name="Column4547"/>
    <tableColumn id="4548" xr3:uid="{781B5B5A-F806-45D1-8496-568C537F0177}" name="Column4548"/>
    <tableColumn id="4549" xr3:uid="{EF5D427B-09B5-4063-87B4-5DAA2BE4D93B}" name="Column4549"/>
    <tableColumn id="4550" xr3:uid="{A986AEF4-1EB9-4AFF-9CFC-455AC306F61E}" name="Column4550"/>
    <tableColumn id="4551" xr3:uid="{DC64B26B-006E-4C14-B65A-D5B4C535640D}" name="Column4551"/>
    <tableColumn id="4552" xr3:uid="{9D7A7849-2312-4802-BCAC-4271D7556D12}" name="Column4552"/>
    <tableColumn id="4553" xr3:uid="{BF1E3C9C-6110-4DC8-892A-3A954511A9F4}" name="Column4553"/>
    <tableColumn id="4554" xr3:uid="{6526BEBC-E51A-4A14-84AA-42F401195CD4}" name="Column4554"/>
    <tableColumn id="4555" xr3:uid="{697AA7A3-54E0-41BA-B756-62B65B85E76E}" name="Column4555"/>
    <tableColumn id="4556" xr3:uid="{93C4169F-1DDE-436A-B0E6-5F6606A550F9}" name="Column4556"/>
    <tableColumn id="4557" xr3:uid="{B507D0C1-DD75-497A-9FC4-949D7DFCD636}" name="Column4557"/>
    <tableColumn id="4558" xr3:uid="{68F7F52F-56A8-46FD-A7DB-570D228F7E31}" name="Column4558"/>
    <tableColumn id="4559" xr3:uid="{E3628C2E-13D4-4B6A-B3C1-C011DC13377D}" name="Column4559"/>
    <tableColumn id="4560" xr3:uid="{6FE15BA9-3751-42F9-BD1E-C9ABE2EE9ED5}" name="Column4560"/>
    <tableColumn id="4561" xr3:uid="{0FF1A5B3-883A-48DA-9B19-4504F818F9BB}" name="Column4561"/>
    <tableColumn id="4562" xr3:uid="{52132A10-B230-4D8E-85B9-EF035161585C}" name="Column4562"/>
    <tableColumn id="4563" xr3:uid="{8D8B9E3E-6E12-43F0-8949-8938BAC45685}" name="Column4563"/>
    <tableColumn id="4564" xr3:uid="{1DC5C8C2-076D-43C1-8C96-5FCDA31F72AB}" name="Column4564"/>
    <tableColumn id="4565" xr3:uid="{8463334E-0D0A-4056-AF1E-A44B3BA1AE21}" name="Column4565"/>
    <tableColumn id="4566" xr3:uid="{8ACB653E-7883-468B-B383-F703A20C1F0B}" name="Column4566"/>
    <tableColumn id="4567" xr3:uid="{63A2AC75-8638-47FA-99BF-94432739B34C}" name="Column4567"/>
    <tableColumn id="4568" xr3:uid="{2CA1F1E8-CE3F-478A-90C0-51ACADCAFE13}" name="Column4568"/>
    <tableColumn id="4569" xr3:uid="{000F9803-8300-435C-B12E-563D1BA38108}" name="Column4569"/>
    <tableColumn id="4570" xr3:uid="{D0F1050A-5F45-44D5-81D9-67B40AEE76E0}" name="Column4570"/>
    <tableColumn id="4571" xr3:uid="{B5ECB4FA-A045-4C68-8465-12029A0C594C}" name="Column4571"/>
    <tableColumn id="4572" xr3:uid="{8D723980-1CAB-4C13-BD7F-5C77865BFC62}" name="Column4572"/>
    <tableColumn id="4573" xr3:uid="{42FA1F85-F8E8-4CAC-A816-657843E28BFD}" name="Column4573"/>
    <tableColumn id="4574" xr3:uid="{870EB27F-5753-4EC7-9BFB-5BA2E342CA4B}" name="Column4574"/>
    <tableColumn id="4575" xr3:uid="{E41DB11D-FEDA-4CC9-A4DB-AEB5CF3EC60E}" name="Column4575"/>
    <tableColumn id="4576" xr3:uid="{B47911BF-E171-47EF-9084-591176924CE5}" name="Column4576"/>
    <tableColumn id="4577" xr3:uid="{F7949A51-6081-4698-BDAB-7C95850E9D5E}" name="Column4577"/>
    <tableColumn id="4578" xr3:uid="{3D6E8772-D60E-48AC-BFAD-8BAB89F79753}" name="Column4578"/>
    <tableColumn id="4579" xr3:uid="{61186FDB-73F4-44C6-821D-F5519B8D79FB}" name="Column4579"/>
    <tableColumn id="4580" xr3:uid="{4BD375FC-EEA4-442F-9D0A-C59F213B3F4C}" name="Column4580"/>
    <tableColumn id="4581" xr3:uid="{7490AD78-AFAB-4B14-9796-3AC6568E916C}" name="Column4581"/>
    <tableColumn id="4582" xr3:uid="{79370CED-5215-4611-A9A3-57AE3AC9099B}" name="Column4582"/>
    <tableColumn id="4583" xr3:uid="{9391467D-C9D1-44C1-8324-C650E6338782}" name="Column4583"/>
    <tableColumn id="4584" xr3:uid="{365740F9-D046-4B19-89A6-0AE7C9A6B81B}" name="Column4584"/>
    <tableColumn id="4585" xr3:uid="{55EF32AA-B35C-4210-A152-A47B9A2F1171}" name="Column4585"/>
    <tableColumn id="4586" xr3:uid="{BA4DA26E-04B0-4303-9EA5-D83BE82F4D0C}" name="Column4586"/>
    <tableColumn id="4587" xr3:uid="{230F5000-D3A2-410B-A270-6BE31A84506F}" name="Column4587"/>
    <tableColumn id="4588" xr3:uid="{19AFA966-B007-43ED-AF10-64BD273EE155}" name="Column4588"/>
    <tableColumn id="4589" xr3:uid="{E6FAB60F-1E1D-498B-B13C-8DB1BE4D626A}" name="Column4589"/>
    <tableColumn id="4590" xr3:uid="{371D3486-E878-4A99-8EA5-2B62C75420CC}" name="Column4590"/>
    <tableColumn id="4591" xr3:uid="{D5C842F9-D6F1-416A-858F-52FE979B31C9}" name="Column4591"/>
    <tableColumn id="4592" xr3:uid="{BF4453FD-9436-4513-8DA6-7D59D40F51CD}" name="Column4592"/>
    <tableColumn id="4593" xr3:uid="{3CB15579-316E-45D3-AC12-B5542150CFE3}" name="Column4593"/>
    <tableColumn id="4594" xr3:uid="{21F977A5-7BB2-4DB6-AF16-3A52DD6FA25D}" name="Column4594"/>
    <tableColumn id="4595" xr3:uid="{5CA913A2-6280-4A29-A94E-5A0CAF8CEA3A}" name="Column4595"/>
    <tableColumn id="4596" xr3:uid="{37220503-0CC4-46E5-A3B6-D443739AF96F}" name="Column4596"/>
    <tableColumn id="4597" xr3:uid="{0A667600-A581-4394-852C-6E0D60C6D169}" name="Column4597"/>
    <tableColumn id="4598" xr3:uid="{F91AF856-F29D-4F2C-885E-473208273737}" name="Column4598"/>
    <tableColumn id="4599" xr3:uid="{949ABCE5-6805-4F65-A2CC-561C7C7A397E}" name="Column4599"/>
    <tableColumn id="4600" xr3:uid="{10B5E854-F02A-47B6-8DCA-1DF3618DF666}" name="Column4600"/>
    <tableColumn id="4601" xr3:uid="{17F37317-5DC5-4FA9-8A43-7D5273A4A058}" name="Column4601"/>
    <tableColumn id="4602" xr3:uid="{F116E5F7-8840-413F-8729-659251745B16}" name="Column4602"/>
    <tableColumn id="4603" xr3:uid="{0640F04F-2BE1-4EF5-B076-CD3F36B3B540}" name="Column4603"/>
    <tableColumn id="4604" xr3:uid="{4F64DD14-C622-4C24-BE65-E766D5BF6D04}" name="Column4604"/>
    <tableColumn id="4605" xr3:uid="{BA81BCCD-559B-424A-B49E-DCFB0C319651}" name="Column4605"/>
    <tableColumn id="4606" xr3:uid="{AFC489C5-28E2-408B-98A1-891DA9B7F103}" name="Column4606"/>
    <tableColumn id="4607" xr3:uid="{4AFC5E37-EC8B-4E20-8028-45BCF8568A64}" name="Column4607"/>
    <tableColumn id="4608" xr3:uid="{099A1A63-53FD-4EE3-9BF1-77A8B5F8B1EF}" name="Column4608"/>
    <tableColumn id="4609" xr3:uid="{14CED067-EFEF-4F84-99D6-D39D4BA22D45}" name="Column4609"/>
    <tableColumn id="4610" xr3:uid="{679BC462-8BC7-451D-B32C-78A9EAF46B63}" name="Column4610"/>
    <tableColumn id="4611" xr3:uid="{B30F27C4-7DB7-46B3-81B0-0CADC56B29FB}" name="Column4611"/>
    <tableColumn id="4612" xr3:uid="{2B56575F-FFE6-4709-B361-577957E0B010}" name="Column4612"/>
    <tableColumn id="4613" xr3:uid="{CFBD19BD-34BA-415B-8385-542F7C7A50E3}" name="Column4613"/>
    <tableColumn id="4614" xr3:uid="{9B729824-E1F8-417B-B699-D5680EB892B8}" name="Column4614"/>
    <tableColumn id="4615" xr3:uid="{AF8E365E-86A7-4883-8280-18FE01CD9648}" name="Column4615"/>
    <tableColumn id="4616" xr3:uid="{F371FEBB-0BF6-4458-84D4-371E8D41FE5C}" name="Column4616"/>
    <tableColumn id="4617" xr3:uid="{739C1A01-0E23-4A78-82E2-676FE77C46EE}" name="Column4617"/>
    <tableColumn id="4618" xr3:uid="{F3B1989A-A58F-4B3D-BC6D-A20AF9241658}" name="Column4618"/>
    <tableColumn id="4619" xr3:uid="{617A05A5-1EC4-44CC-9B7C-B148C72AF072}" name="Column4619"/>
    <tableColumn id="4620" xr3:uid="{8F3CB033-CD59-4D6A-92AC-44D4F8C0A88D}" name="Column4620"/>
    <tableColumn id="4621" xr3:uid="{4932EA83-97EF-42BB-A85B-0AFFA8A8367C}" name="Column4621"/>
    <tableColumn id="4622" xr3:uid="{E246A2F7-8581-46A3-8ED8-0A71DCFD3ED0}" name="Column4622"/>
    <tableColumn id="4623" xr3:uid="{710C178D-BB9C-471C-A05E-E1DC25E167B7}" name="Column4623"/>
    <tableColumn id="4624" xr3:uid="{87DD0F9D-284C-466F-950D-27799BA85D59}" name="Column4624"/>
    <tableColumn id="4625" xr3:uid="{D07EE778-0A81-4582-967F-267BCD5AD47B}" name="Column4625"/>
    <tableColumn id="4626" xr3:uid="{D4721F11-3947-45C3-A22F-8E00D7EB7600}" name="Column4626"/>
    <tableColumn id="4627" xr3:uid="{8319FCAB-5854-4AE6-B299-6BCE114696CF}" name="Column4627"/>
    <tableColumn id="4628" xr3:uid="{22727663-CDAB-461E-934E-47A0C426024E}" name="Column4628"/>
    <tableColumn id="4629" xr3:uid="{76B7DCDB-C2A7-4C0D-8048-1599E4D43C55}" name="Column4629"/>
    <tableColumn id="4630" xr3:uid="{62FCF38F-AC85-4FB7-A74B-33C6F7EF214F}" name="Column4630"/>
    <tableColumn id="4631" xr3:uid="{39D1FC65-74A0-4F35-8FF3-F9E2F2C4FC00}" name="Column4631"/>
    <tableColumn id="4632" xr3:uid="{554A10A9-7CA3-42C4-A098-DE17E23A6322}" name="Column4632"/>
    <tableColumn id="4633" xr3:uid="{75E1C095-4A66-407D-8197-3F212D7A0B4A}" name="Column4633"/>
    <tableColumn id="4634" xr3:uid="{9D45CA59-8793-4E4C-ABF1-177470241180}" name="Column4634"/>
    <tableColumn id="4635" xr3:uid="{3995AD9E-1CF2-48A6-8034-124C38E490F2}" name="Column4635"/>
    <tableColumn id="4636" xr3:uid="{CB391F40-50E7-464B-940D-6148699C679D}" name="Column4636"/>
    <tableColumn id="4637" xr3:uid="{B3FFCAA7-3484-4B13-ACBD-0BFDEDD4B3B3}" name="Column4637"/>
    <tableColumn id="4638" xr3:uid="{9ADD6B00-BEE8-4239-BF7E-F19756B78446}" name="Column4638"/>
    <tableColumn id="4639" xr3:uid="{AE098575-090F-4DE7-8449-898DDC8158C8}" name="Column4639"/>
    <tableColumn id="4640" xr3:uid="{FFD742AB-9B44-4B6C-A81D-29F861B0E569}" name="Column4640"/>
    <tableColumn id="4641" xr3:uid="{8C4E7B95-553D-45A1-BE3F-14B6C51E9169}" name="Column4641"/>
    <tableColumn id="4642" xr3:uid="{2F2651F6-FBF4-484E-B7BF-9D9EAB9FF123}" name="Column4642"/>
    <tableColumn id="4643" xr3:uid="{081A7E24-FB19-448D-B42F-B52F9D032136}" name="Column4643"/>
    <tableColumn id="4644" xr3:uid="{52B0712D-D5C0-45BB-813C-997ABB993C50}" name="Column4644"/>
    <tableColumn id="4645" xr3:uid="{3F99E7E6-CD74-445F-91BA-74B4B91E3EC7}" name="Column4645"/>
    <tableColumn id="4646" xr3:uid="{1E7AD638-7E17-4F58-97FC-1EBF89911959}" name="Column4646"/>
    <tableColumn id="4647" xr3:uid="{7CE5EF1E-A525-4B86-9987-2AD2B8E0F114}" name="Column4647"/>
    <tableColumn id="4648" xr3:uid="{38C7CB5F-15AA-4EE8-B53A-B05BA6D0432C}" name="Column4648"/>
    <tableColumn id="4649" xr3:uid="{671A0BDC-0D88-4416-B02D-425D1AFF0F3C}" name="Column4649"/>
    <tableColumn id="4650" xr3:uid="{4176B2E0-AD86-43F7-AF5F-FF7651E0E5BA}" name="Column4650"/>
    <tableColumn id="4651" xr3:uid="{8442DA07-DEBD-48A5-AE1F-74A5AEFB2FD3}" name="Column4651"/>
    <tableColumn id="4652" xr3:uid="{2AABDD4F-E580-40AA-9D6C-D7200A164E71}" name="Column4652"/>
    <tableColumn id="4653" xr3:uid="{AFB8093E-2CA7-4120-9BA5-7A2C37A9D4DB}" name="Column4653"/>
    <tableColumn id="4654" xr3:uid="{A8ADEC72-CA93-492B-9515-41CAC279EE66}" name="Column4654"/>
    <tableColumn id="4655" xr3:uid="{988076FF-CD91-420C-9022-A67DE8CB5554}" name="Column4655"/>
    <tableColumn id="4656" xr3:uid="{1E736C2B-D66D-44AD-BF83-0F6B7BBC427C}" name="Column4656"/>
    <tableColumn id="4657" xr3:uid="{7B3C3FD5-7803-4A0E-A29D-E676899BC6E3}" name="Column4657"/>
    <tableColumn id="4658" xr3:uid="{0CD4C22C-53F7-4E05-A401-D4A84D109BF8}" name="Column4658"/>
    <tableColumn id="4659" xr3:uid="{70C54559-AB20-498A-9A2C-C50C19F6EABA}" name="Column4659"/>
    <tableColumn id="4660" xr3:uid="{35E58A8F-CE5E-44D1-874B-78F52CDE4876}" name="Column4660"/>
    <tableColumn id="4661" xr3:uid="{3FEC81FE-A807-4011-B652-7A7A08BB2ECD}" name="Column4661"/>
    <tableColumn id="4662" xr3:uid="{AB5E4834-E79E-4976-AE88-A3EF8ED2FEE3}" name="Column4662"/>
    <tableColumn id="4663" xr3:uid="{59CB6F6D-936C-4FF5-B3B0-5943EB34491A}" name="Column4663"/>
    <tableColumn id="4664" xr3:uid="{F92FCCC3-3659-4D13-BF68-F9AD1C2A7374}" name="Column4664"/>
    <tableColumn id="4665" xr3:uid="{E7B2929E-BD02-4CEE-B4B1-32D212CCB095}" name="Column4665"/>
    <tableColumn id="4666" xr3:uid="{8119F0C5-EEF9-445D-B205-A4EC8D6D3EB7}" name="Column4666"/>
    <tableColumn id="4667" xr3:uid="{352702D9-91DA-4034-84E4-A541626F8076}" name="Column4667"/>
    <tableColumn id="4668" xr3:uid="{39244720-4CDD-40A9-8D29-B75C3C3593D1}" name="Column4668"/>
    <tableColumn id="4669" xr3:uid="{6BCC4FCB-175E-4860-8DF0-241AACC10B27}" name="Column4669"/>
    <tableColumn id="4670" xr3:uid="{303AC0E3-E122-4683-BCFC-29D9F57D6825}" name="Column4670"/>
    <tableColumn id="4671" xr3:uid="{CEA9C269-0B69-4835-8D03-33FEA5023683}" name="Column4671"/>
    <tableColumn id="4672" xr3:uid="{38C95F2D-823B-4AA1-BC82-3E69A167E9F5}" name="Column4672"/>
    <tableColumn id="4673" xr3:uid="{D65C78BF-9DF0-4755-A23D-B73F8673D331}" name="Column4673"/>
    <tableColumn id="4674" xr3:uid="{C896F13B-BD8A-4722-B02C-23693D185523}" name="Column4674"/>
    <tableColumn id="4675" xr3:uid="{76097040-EB4C-443A-8790-B8DFA2FF4747}" name="Column4675"/>
    <tableColumn id="4676" xr3:uid="{C355D029-D902-4435-8FB7-517AD0377F1E}" name="Column4676"/>
    <tableColumn id="4677" xr3:uid="{955D60C2-F883-442A-AD60-249D2837B2B1}" name="Column4677"/>
    <tableColumn id="4678" xr3:uid="{D1C07C20-2DE6-4EFB-9EE7-DB64CB3F1159}" name="Column4678"/>
    <tableColumn id="4679" xr3:uid="{C8BCE9EC-D26A-4038-91A2-3F4E5E918074}" name="Column4679"/>
    <tableColumn id="4680" xr3:uid="{24723549-BDB4-4A58-B4C2-6C5D16BD9D86}" name="Column4680"/>
    <tableColumn id="4681" xr3:uid="{267ED54D-C44D-4752-866E-4BC7F55BB4D6}" name="Column4681"/>
    <tableColumn id="4682" xr3:uid="{5E5B3001-95DC-4DB8-BCB5-F83DA70783C8}" name="Column4682"/>
    <tableColumn id="4683" xr3:uid="{18608B81-6125-4484-B53A-97137FFA69EF}" name="Column4683"/>
    <tableColumn id="4684" xr3:uid="{63E74400-94A9-4C94-B317-B329DE6092D1}" name="Column4684"/>
    <tableColumn id="4685" xr3:uid="{62AF0D98-BB28-484A-9F3D-BCE2C60CA59F}" name="Column4685"/>
    <tableColumn id="4686" xr3:uid="{0B268655-596E-4539-A442-98063D0D84B7}" name="Column4686"/>
    <tableColumn id="4687" xr3:uid="{7DA1BAB8-C749-404D-9C29-CC7C4044D38D}" name="Column4687"/>
    <tableColumn id="4688" xr3:uid="{DA8814A3-ED38-462B-985E-1923D58FBA51}" name="Column4688"/>
    <tableColumn id="4689" xr3:uid="{770AEF64-24CE-40E3-BE88-20D71DA0A030}" name="Column4689"/>
    <tableColumn id="4690" xr3:uid="{9FF26F25-7450-4ABF-BAB3-8FC03CE3B962}" name="Column4690"/>
    <tableColumn id="4691" xr3:uid="{DE68C9B1-78B1-4D8E-AE60-F7F52AE935F9}" name="Column4691"/>
    <tableColumn id="4692" xr3:uid="{E40BFB20-E1BE-438A-927D-09B969D9F240}" name="Column4692"/>
    <tableColumn id="4693" xr3:uid="{D38777AA-8CE1-44E3-A485-5B6A8DBAE153}" name="Column4693"/>
    <tableColumn id="4694" xr3:uid="{9C2CBFAE-6D85-4914-923E-C886172767EB}" name="Column4694"/>
    <tableColumn id="4695" xr3:uid="{FA0C26E8-A84F-441B-BDDB-928C7D95BB2F}" name="Column4695"/>
    <tableColumn id="4696" xr3:uid="{140BD234-EC06-47C0-9BFD-DE30D39C67B8}" name="Column4696"/>
    <tableColumn id="4697" xr3:uid="{BECB21BC-56C8-4922-AD50-1EF09D04F524}" name="Column4697"/>
    <tableColumn id="4698" xr3:uid="{D1D188D2-7734-4DFE-8194-37174693033D}" name="Column4698"/>
    <tableColumn id="4699" xr3:uid="{344913ED-4E87-4143-80F7-1C98446E13B8}" name="Column4699"/>
    <tableColumn id="4700" xr3:uid="{07C38D94-2D82-486A-AEF9-D7DDA64267D5}" name="Column4700"/>
    <tableColumn id="4701" xr3:uid="{E8ECBD3F-5944-4AA7-9DE1-2614B7A64E9C}" name="Column4701"/>
    <tableColumn id="4702" xr3:uid="{00258726-161E-4F17-B79E-6012495F372F}" name="Column4702"/>
    <tableColumn id="4703" xr3:uid="{D576E0AA-9BAC-42B1-A7F1-CF9C541D1A41}" name="Column4703"/>
    <tableColumn id="4704" xr3:uid="{D59E8B81-CC86-47E5-A3CA-4380731C3D02}" name="Column4704"/>
    <tableColumn id="4705" xr3:uid="{4C0AF130-670B-4AF9-8AD9-FCE2EF6F630C}" name="Column4705"/>
    <tableColumn id="4706" xr3:uid="{93DE8783-86DE-4281-AA1B-CD3BC7CE6C8B}" name="Column4706"/>
    <tableColumn id="4707" xr3:uid="{6BACA643-AE40-4697-80C1-F6E221CD6FD8}" name="Column4707"/>
    <tableColumn id="4708" xr3:uid="{80BB12EB-2F62-4EDE-B681-B7E291553C86}" name="Column4708"/>
    <tableColumn id="4709" xr3:uid="{A9441E5D-4501-4D45-B96D-C8FBC9F552F2}" name="Column4709"/>
    <tableColumn id="4710" xr3:uid="{C5E79917-EC8E-460C-83DC-09D4FBD7E0C0}" name="Column4710"/>
    <tableColumn id="4711" xr3:uid="{8B1E5B51-A8F0-49E1-9708-C03602C4A093}" name="Column4711"/>
    <tableColumn id="4712" xr3:uid="{B949E965-56B7-4283-B93D-1E640CB470A8}" name="Column4712"/>
    <tableColumn id="4713" xr3:uid="{E7DFF23D-1C4D-4D1A-BB6A-162E092688D9}" name="Column4713"/>
    <tableColumn id="4714" xr3:uid="{D6C4B645-93A3-46F6-9E17-3CE0990FF77F}" name="Column4714"/>
    <tableColumn id="4715" xr3:uid="{29623EF2-13DC-47B6-98CC-59E0D053299E}" name="Column4715"/>
    <tableColumn id="4716" xr3:uid="{EE1FC135-3D1B-4D61-AB46-9033B1C4AE03}" name="Column4716"/>
    <tableColumn id="4717" xr3:uid="{5BDBC460-77BD-4876-8F63-18404D6BAA85}" name="Column4717"/>
    <tableColumn id="4718" xr3:uid="{7204B8A0-45C9-4735-9CCD-62CEEF348E25}" name="Column4718"/>
    <tableColumn id="4719" xr3:uid="{0350F6C0-EE6C-4EC4-8A61-5415227D0BBA}" name="Column4719"/>
    <tableColumn id="4720" xr3:uid="{05E40759-B51B-4D65-8ACB-F7E6B9A770FF}" name="Column4720"/>
    <tableColumn id="4721" xr3:uid="{96AE72A8-DAD6-48C6-9226-0ADDA0DB5A63}" name="Column4721"/>
    <tableColumn id="4722" xr3:uid="{24F93564-27BB-48A4-8F13-1DA56D6356D7}" name="Column4722"/>
    <tableColumn id="4723" xr3:uid="{DDAECE5A-FD31-4263-B1CB-BED1DE96A95E}" name="Column4723"/>
    <tableColumn id="4724" xr3:uid="{9785B2D8-67F5-4825-853F-88F3ED0AE084}" name="Column4724"/>
    <tableColumn id="4725" xr3:uid="{073D580D-1F01-4336-B43C-66C1BE9A5555}" name="Column4725"/>
    <tableColumn id="4726" xr3:uid="{53CA1D9B-9863-462B-859A-610D020D7FBC}" name="Column4726"/>
    <tableColumn id="4727" xr3:uid="{2A6B5688-953C-45C3-A1F8-8159B938FAF4}" name="Column4727"/>
    <tableColumn id="4728" xr3:uid="{3C71FC7C-9BEB-4E1E-8676-E7DCCD8FDE10}" name="Column4728"/>
    <tableColumn id="4729" xr3:uid="{AB51ED2A-7B0E-4E2D-84D4-6C670182D26D}" name="Column4729"/>
    <tableColumn id="4730" xr3:uid="{B3516E10-AA3B-48F4-917A-A38B555DAAEE}" name="Column4730"/>
    <tableColumn id="4731" xr3:uid="{D10BCDF1-D621-4978-86DE-3D2B1739569C}" name="Column4731"/>
    <tableColumn id="4732" xr3:uid="{97236506-A6ED-46F3-B2BA-20E48A8A4C32}" name="Column4732"/>
    <tableColumn id="4733" xr3:uid="{B876975D-D5C9-42F9-8567-2F0CE2FD62A3}" name="Column4733"/>
    <tableColumn id="4734" xr3:uid="{6B8C2B6B-1E7D-417D-9C27-47CABA744235}" name="Column4734"/>
    <tableColumn id="4735" xr3:uid="{327373B2-7F67-4BA2-9B11-3175966313D6}" name="Column4735"/>
    <tableColumn id="4736" xr3:uid="{263165A8-A258-4A2F-A1FB-700D9D6113A1}" name="Column4736"/>
    <tableColumn id="4737" xr3:uid="{E6ABAD96-1020-43AC-B109-22F44B7937DA}" name="Column4737"/>
    <tableColumn id="4738" xr3:uid="{2B8297ED-6AD3-4D68-A9D5-CE60496539FC}" name="Column4738"/>
    <tableColumn id="4739" xr3:uid="{3D0918AF-8FC4-46EE-A20E-9430F6FEB0FB}" name="Column4739"/>
    <tableColumn id="4740" xr3:uid="{7F56D825-30DE-4C1B-AFB3-94F78600304D}" name="Column4740"/>
    <tableColumn id="4741" xr3:uid="{1C456C20-483F-4019-9BAA-2830DA6A409D}" name="Column4741"/>
    <tableColumn id="4742" xr3:uid="{F19EB46B-81C2-4439-B4C1-0E3AE7020A8A}" name="Column4742"/>
    <tableColumn id="4743" xr3:uid="{4946B235-DCCE-4453-B228-BD31FDAFF8BA}" name="Column4743"/>
    <tableColumn id="4744" xr3:uid="{15220DA0-75CC-49E0-BEF3-249C035B57AA}" name="Column4744"/>
    <tableColumn id="4745" xr3:uid="{1AC5118E-F788-4646-A9C8-76E5B6FEED3D}" name="Column4745"/>
    <tableColumn id="4746" xr3:uid="{42E5F221-BD7F-4B4D-A217-5CD8F39163A4}" name="Column4746"/>
    <tableColumn id="4747" xr3:uid="{FDA89FD8-F749-4962-A302-4327497ACC10}" name="Column4747"/>
    <tableColumn id="4748" xr3:uid="{3B149CEB-3F1D-416F-BDF6-B77B06170AC4}" name="Column4748"/>
    <tableColumn id="4749" xr3:uid="{AD3F4F9B-1D2D-4489-9F29-D42CA55DFDFC}" name="Column4749"/>
    <tableColumn id="4750" xr3:uid="{5EFB7968-0C95-4FCA-A073-9936FFB52944}" name="Column4750"/>
    <tableColumn id="4751" xr3:uid="{056AE6CB-5A9C-4541-BA28-5F6151AFEB47}" name="Column4751"/>
    <tableColumn id="4752" xr3:uid="{2D00AC06-C80C-4F46-A2C3-8939A47E2800}" name="Column4752"/>
    <tableColumn id="4753" xr3:uid="{04F22507-25A6-409C-AA35-8FEC4D84EFDC}" name="Column4753"/>
    <tableColumn id="4754" xr3:uid="{1029AB67-595F-485A-AF9C-D5785AA93912}" name="Column4754"/>
    <tableColumn id="4755" xr3:uid="{24D6574E-EFC1-4DBF-A8A9-22A78A601D67}" name="Column4755"/>
    <tableColumn id="4756" xr3:uid="{B78A1872-CB05-4509-AA6E-98BA6483D161}" name="Column4756"/>
    <tableColumn id="4757" xr3:uid="{F446A9B7-38A9-4599-94C0-2C95E0DA4E73}" name="Column4757"/>
    <tableColumn id="4758" xr3:uid="{6BFFB241-5835-4174-9F2D-65896746A8B1}" name="Column4758"/>
    <tableColumn id="4759" xr3:uid="{B3CCE9FD-4136-400F-AD05-C169F43A216E}" name="Column4759"/>
    <tableColumn id="4760" xr3:uid="{6B8818DB-984A-4DA1-945F-93D2DC598128}" name="Column4760"/>
    <tableColumn id="4761" xr3:uid="{BEDB919A-54F9-40CF-AE65-7657A4FC47B3}" name="Column4761"/>
    <tableColumn id="4762" xr3:uid="{E5E28CEF-4E3D-4ADE-B537-A7C82FC7C298}" name="Column4762"/>
    <tableColumn id="4763" xr3:uid="{E31A03EC-08B6-4ED9-BA93-30D007E0BC2B}" name="Column4763"/>
    <tableColumn id="4764" xr3:uid="{F4EBC289-9865-4D2E-828A-2D7F746A8C6A}" name="Column4764"/>
    <tableColumn id="4765" xr3:uid="{6D65A337-8B53-46CD-A501-9F2E51AD5703}" name="Column4765"/>
    <tableColumn id="4766" xr3:uid="{2011A81D-F0E3-4AB6-967B-2A1C0C3CB0AE}" name="Column4766"/>
    <tableColumn id="4767" xr3:uid="{A677D988-579C-40C4-9B8B-05E9C9A26743}" name="Column4767"/>
    <tableColumn id="4768" xr3:uid="{633AB34B-B461-4681-8653-55F838E80493}" name="Column4768"/>
    <tableColumn id="4769" xr3:uid="{BE67D5DB-05B1-4551-A5B9-778BFCAC52DD}" name="Column4769"/>
    <tableColumn id="4770" xr3:uid="{2682404D-F5D2-4E86-AA9C-B04808314C7D}" name="Column4770"/>
    <tableColumn id="4771" xr3:uid="{AF164139-200C-4350-A721-314BCEBD975B}" name="Column4771"/>
    <tableColumn id="4772" xr3:uid="{11664F35-E7C8-4A6F-944E-6AC1DA3A6B6C}" name="Column4772"/>
    <tableColumn id="4773" xr3:uid="{90BF5D3B-79DE-4F9A-80F0-52B106876EE4}" name="Column4773"/>
    <tableColumn id="4774" xr3:uid="{421BE1BA-4BE2-4664-9CD2-D2D1C4C6DE18}" name="Column4774"/>
    <tableColumn id="4775" xr3:uid="{D001DAAF-0BAA-456B-9E0D-B8B4CFE1616B}" name="Column4775"/>
    <tableColumn id="4776" xr3:uid="{5FA4D6E6-A7F5-4355-AEF7-2263FCFD3722}" name="Column4776"/>
    <tableColumn id="4777" xr3:uid="{C7B9F634-E94E-4A4E-8687-A8636390AC8A}" name="Column4777"/>
    <tableColumn id="4778" xr3:uid="{20CC7006-9365-4DF7-9F0E-44837A5F7328}" name="Column4778"/>
    <tableColumn id="4779" xr3:uid="{DFCCD03F-6AC2-4E35-8EF6-FCEDD5952E45}" name="Column4779"/>
    <tableColumn id="4780" xr3:uid="{F0704553-90D8-44E6-AADD-FD38782CD782}" name="Column4780"/>
    <tableColumn id="4781" xr3:uid="{7F51120F-8DC3-4F9E-9F6E-B3652CB8ABD0}" name="Column4781"/>
    <tableColumn id="4782" xr3:uid="{B681607D-16E5-454A-A49B-5313FEDF24AC}" name="Column4782"/>
    <tableColumn id="4783" xr3:uid="{DA1C3954-6F77-42CF-BBBF-0BDDBEC2EC2A}" name="Column4783"/>
    <tableColumn id="4784" xr3:uid="{F3EE9989-D6C2-4FB8-934A-F386EFA8863D}" name="Column4784"/>
    <tableColumn id="4785" xr3:uid="{2F596E18-E59C-484C-AC6B-B285AB2CC4C3}" name="Column4785"/>
    <tableColumn id="4786" xr3:uid="{078BB2E1-1DDF-4E29-BF1A-1C10FA8E4325}" name="Column4786"/>
    <tableColumn id="4787" xr3:uid="{CF2360A0-D498-49B0-9A09-CF4200E486E7}" name="Column4787"/>
    <tableColumn id="4788" xr3:uid="{F34AC6F7-A5BF-44A7-9DDA-885B255FABE2}" name="Column4788"/>
    <tableColumn id="4789" xr3:uid="{FC07148C-2748-4D7F-911C-0179D24036E9}" name="Column4789"/>
    <tableColumn id="4790" xr3:uid="{CBB87110-CA0B-4659-B80E-10C45336A673}" name="Column4790"/>
    <tableColumn id="4791" xr3:uid="{7A9C9CF8-A4F1-422D-ADD1-09AAB82FCC8D}" name="Column4791"/>
    <tableColumn id="4792" xr3:uid="{14C0809F-5729-4EB4-B916-3B7274FCEED8}" name="Column4792"/>
    <tableColumn id="4793" xr3:uid="{35BD3D86-C179-4401-8B46-905D4DCB4A9F}" name="Column4793"/>
    <tableColumn id="4794" xr3:uid="{9D3F42F7-F096-4A5C-A5AF-6C38335004BD}" name="Column4794"/>
    <tableColumn id="4795" xr3:uid="{EBA71900-0A35-4C97-9B7D-D0CCB310D19B}" name="Column4795"/>
    <tableColumn id="4796" xr3:uid="{2D025BA0-7AD9-4846-BA77-0239537817F4}" name="Column4796"/>
    <tableColumn id="4797" xr3:uid="{ECEE5E73-AFF3-4961-8C48-E7229EAE2A43}" name="Column4797"/>
    <tableColumn id="4798" xr3:uid="{8F764D03-AE21-456F-B7E2-E05A8A2879D7}" name="Column4798"/>
    <tableColumn id="4799" xr3:uid="{03FC470C-F872-4A1F-9E77-05647DA533B9}" name="Column4799"/>
    <tableColumn id="4800" xr3:uid="{CEFD5688-08AE-4C5D-86ED-120B225E80A2}" name="Column4800"/>
    <tableColumn id="4801" xr3:uid="{B14F146C-A96A-4987-8E34-9CEFEB6DBCE0}" name="Column4801"/>
    <tableColumn id="4802" xr3:uid="{1EA8E0A8-6D21-4814-AC24-44BE314B1157}" name="Column4802"/>
    <tableColumn id="4803" xr3:uid="{ADF3F6E7-6586-4F20-85D4-B47A3C89676F}" name="Column4803"/>
    <tableColumn id="4804" xr3:uid="{80463D07-9C1E-439B-88B4-0D80A554552A}" name="Column4804"/>
    <tableColumn id="4805" xr3:uid="{35D28D9E-4EBF-4926-ADB3-349916BCA911}" name="Column4805"/>
    <tableColumn id="4806" xr3:uid="{B4F8FE05-7F4F-400C-BD1B-091E78A2B27C}" name="Column4806"/>
    <tableColumn id="4807" xr3:uid="{A37CE756-9A5F-46E4-A984-5A2DBAC909BF}" name="Column4807"/>
    <tableColumn id="4808" xr3:uid="{17A56A42-B57E-40B6-8B97-63D75185151F}" name="Column4808"/>
    <tableColumn id="4809" xr3:uid="{D48DDCDE-A463-4278-A4E9-65EF1088D11E}" name="Column4809"/>
    <tableColumn id="4810" xr3:uid="{6EC2CA22-EE3B-474F-B6D4-0304E9677155}" name="Column4810"/>
    <tableColumn id="4811" xr3:uid="{37B206E9-E9BF-445A-B827-0A040824A6D6}" name="Column4811"/>
    <tableColumn id="4812" xr3:uid="{713B04BE-DA83-4588-B150-655A85D764B4}" name="Column4812"/>
    <tableColumn id="4813" xr3:uid="{8DFD6855-076A-4B95-9073-93BB210118B6}" name="Column4813"/>
    <tableColumn id="4814" xr3:uid="{C7FBC96B-B8C1-4C82-BAFB-099A2F7C32F2}" name="Column4814"/>
    <tableColumn id="4815" xr3:uid="{3D8D04A1-2D2A-479A-B318-7E0570FB71CA}" name="Column4815"/>
    <tableColumn id="4816" xr3:uid="{63BB4849-0F67-4C68-ABF4-DB2ED0D22B48}" name="Column4816"/>
    <tableColumn id="4817" xr3:uid="{637656EF-6698-45C0-A718-C59ACC461DF0}" name="Column4817"/>
    <tableColumn id="4818" xr3:uid="{8AD86199-7AE1-4D30-B79F-7FADE1718621}" name="Column4818"/>
    <tableColumn id="4819" xr3:uid="{2FC0DB8B-2545-401F-8E59-437A39EAC4DA}" name="Column4819"/>
    <tableColumn id="4820" xr3:uid="{7E7CFF4F-F692-4E62-AC37-2ECDBEF5527F}" name="Column4820"/>
    <tableColumn id="4821" xr3:uid="{6C9C43FF-3380-4A2D-9B54-356BB7D6881B}" name="Column4821"/>
    <tableColumn id="4822" xr3:uid="{5025C88A-AD76-401B-A219-12111F5B0F7A}" name="Column4822"/>
    <tableColumn id="4823" xr3:uid="{BB184C48-F461-4630-A067-62DC8FD00337}" name="Column4823"/>
    <tableColumn id="4824" xr3:uid="{A093A3BA-CBBE-4A17-AE66-F538A4B8EF1F}" name="Column4824"/>
    <tableColumn id="4825" xr3:uid="{27EAD12F-82B1-4C6A-9011-0CF0ACEC6549}" name="Column4825"/>
    <tableColumn id="4826" xr3:uid="{83E656B7-2FD5-4F4B-A635-FE35FF27CAC0}" name="Column4826"/>
    <tableColumn id="4827" xr3:uid="{33C9C89B-B272-454E-9FD2-25380C354D3E}" name="Column4827"/>
    <tableColumn id="4828" xr3:uid="{AD5CAF21-5FB1-4345-A08C-0C03360C68B4}" name="Column4828"/>
    <tableColumn id="4829" xr3:uid="{BF1B9251-BCF3-4208-BB30-B6F8897C5748}" name="Column4829"/>
    <tableColumn id="4830" xr3:uid="{2F1E7E2C-3008-44AD-94DD-4F6258152A8C}" name="Column4830"/>
    <tableColumn id="4831" xr3:uid="{8998D340-ACC0-47BD-A30D-44B6928A7903}" name="Column4831"/>
    <tableColumn id="4832" xr3:uid="{3D11E833-966F-45EB-AF42-5C4DD4D82E71}" name="Column4832"/>
    <tableColumn id="4833" xr3:uid="{6E3DDFFB-391A-4ABC-892D-46DD6B528238}" name="Column4833"/>
    <tableColumn id="4834" xr3:uid="{9015A2EE-CBC8-4B49-8C4C-61A3D013EB7B}" name="Column4834"/>
    <tableColumn id="4835" xr3:uid="{A4B7AE93-2FE0-4661-A831-C0075F0FF876}" name="Column4835"/>
    <tableColumn id="4836" xr3:uid="{9EF0634F-506A-49D0-85AA-8F8D495A327C}" name="Column4836"/>
    <tableColumn id="4837" xr3:uid="{CF5DCC20-1672-4185-884C-07474504BE7D}" name="Column4837"/>
    <tableColumn id="4838" xr3:uid="{F6CC950F-E199-41F5-9942-C92D678F86D5}" name="Column4838"/>
    <tableColumn id="4839" xr3:uid="{605E1B8E-F1A3-435F-ABE8-CD5EBA22F5AC}" name="Column4839"/>
    <tableColumn id="4840" xr3:uid="{553E6B4F-91BC-4DB9-BC86-9E5EF6DA51BE}" name="Column4840"/>
    <tableColumn id="4841" xr3:uid="{62D970EE-CE33-4E73-822C-FB6BA5308E6B}" name="Column4841"/>
    <tableColumn id="4842" xr3:uid="{1A172F89-B33C-46C5-98C1-170913B535C2}" name="Column4842"/>
    <tableColumn id="4843" xr3:uid="{BE460302-CF0D-4EF0-A79B-FA9ACFCB1B8B}" name="Column4843"/>
    <tableColumn id="4844" xr3:uid="{4F235B28-98D7-4C25-A635-B0B07A0953A2}" name="Column4844"/>
    <tableColumn id="4845" xr3:uid="{F209189A-6656-4044-8B12-461143AA3060}" name="Column4845"/>
    <tableColumn id="4846" xr3:uid="{C589F2E4-F532-46D7-B8C9-955D48ACAFDD}" name="Column4846"/>
    <tableColumn id="4847" xr3:uid="{93047427-9178-4353-8B23-3FDBE9CBA8CD}" name="Column4847"/>
    <tableColumn id="4848" xr3:uid="{016BFA79-1B7B-41A4-98EC-D092FAF7AD85}" name="Column4848"/>
    <tableColumn id="4849" xr3:uid="{40F62A02-0803-44A2-AB9D-13F6675B884D}" name="Column4849"/>
    <tableColumn id="4850" xr3:uid="{F5B95F80-163B-4032-8437-B1B7293FEC08}" name="Column4850"/>
    <tableColumn id="4851" xr3:uid="{E46E8FCC-7B91-4834-ABED-C31DA55E680D}" name="Column4851"/>
    <tableColumn id="4852" xr3:uid="{A9FBDC07-750C-410E-B6F7-2D28DC9D410B}" name="Column4852"/>
    <tableColumn id="4853" xr3:uid="{3B75818C-F976-4B8A-991F-F1D8FE151E2E}" name="Column4853"/>
    <tableColumn id="4854" xr3:uid="{4DC36752-D10A-4EEC-B8EE-6093B5FC475C}" name="Column4854"/>
    <tableColumn id="4855" xr3:uid="{7875560F-CB59-4A21-8980-B9523FC10378}" name="Column4855"/>
    <tableColumn id="4856" xr3:uid="{BFE0DEDF-99D1-499B-9BD9-BAB99915A094}" name="Column4856"/>
    <tableColumn id="4857" xr3:uid="{0C8BC2C4-1A31-413A-B926-C22D025CEDCE}" name="Column4857"/>
    <tableColumn id="4858" xr3:uid="{C9970091-2E86-4BB4-B6F6-21EE1273C7CD}" name="Column4858"/>
    <tableColumn id="4859" xr3:uid="{62962771-747C-446D-B19B-411D85CAEEFD}" name="Column4859"/>
    <tableColumn id="4860" xr3:uid="{609D547B-12DA-4301-972C-CC8CEA67B4FB}" name="Column4860"/>
    <tableColumn id="4861" xr3:uid="{FA6190EC-9A44-4A0E-8089-D942D245C442}" name="Column4861"/>
    <tableColumn id="4862" xr3:uid="{8BF61DA7-00DC-4624-89A9-7936BABAA16C}" name="Column4862"/>
    <tableColumn id="4863" xr3:uid="{AC1A7DAB-07C1-4AA5-9045-EDA4A6AB2C15}" name="Column4863"/>
    <tableColumn id="4864" xr3:uid="{F19F59D9-B189-46DF-AC8B-2C743E04FF1A}" name="Column4864"/>
    <tableColumn id="4865" xr3:uid="{D32E381E-1D34-4651-AEB6-732FB04E60EF}" name="Column4865"/>
    <tableColumn id="4866" xr3:uid="{06E5C496-A65A-4CDF-AF7F-51BED2D31EFE}" name="Column4866"/>
    <tableColumn id="4867" xr3:uid="{F5CD2291-5276-46AC-BD34-31BEA917826D}" name="Column4867"/>
    <tableColumn id="4868" xr3:uid="{912E35FF-ECA0-40FE-B640-2FF6F6DD6C52}" name="Column4868"/>
    <tableColumn id="4869" xr3:uid="{22B9CEF1-2D03-42EA-BC5E-E6DF4470963C}" name="Column4869"/>
    <tableColumn id="4870" xr3:uid="{8825DDCE-8B02-4822-B95E-B228CFE01E71}" name="Column4870"/>
    <tableColumn id="4871" xr3:uid="{672AF823-E6F5-472A-A7AA-2728A001CB91}" name="Column4871"/>
    <tableColumn id="4872" xr3:uid="{0AF4594E-F6DB-41F1-B7CB-5D90D3FCBCA7}" name="Column4872"/>
    <tableColumn id="4873" xr3:uid="{AED8F930-EA8F-46F6-A127-17940604292F}" name="Column4873"/>
    <tableColumn id="4874" xr3:uid="{4B112621-2464-4521-B9A8-76F868131D73}" name="Column4874"/>
    <tableColumn id="4875" xr3:uid="{05F74C1E-D1CF-4EB3-8E51-8A37405943CD}" name="Column4875"/>
    <tableColumn id="4876" xr3:uid="{FEE756B9-DF0B-47FE-9474-E5A52E1342FA}" name="Column4876"/>
    <tableColumn id="4877" xr3:uid="{E7611468-6504-44C1-B1DC-43CA44DB4EEF}" name="Column4877"/>
    <tableColumn id="4878" xr3:uid="{C12E59A5-37FD-4158-BEA7-F491A24B5810}" name="Column4878"/>
    <tableColumn id="4879" xr3:uid="{E7DD7900-0EC0-4605-AB8E-1567ABC56FFE}" name="Column4879"/>
    <tableColumn id="4880" xr3:uid="{260EAEFC-55D7-4005-A9BB-201C0363DB24}" name="Column4880"/>
    <tableColumn id="4881" xr3:uid="{1DB8F89A-493F-4352-98FE-002EBF18C56F}" name="Column4881"/>
    <tableColumn id="4882" xr3:uid="{BA2951CC-30A5-457D-9C07-947DCE57134A}" name="Column4882"/>
    <tableColumn id="4883" xr3:uid="{9D70B1F4-BE45-4565-8B09-DF5A982B80E5}" name="Column4883"/>
    <tableColumn id="4884" xr3:uid="{6EE963E5-BF7C-4BFD-ADA4-A2C34BC2A847}" name="Column4884"/>
    <tableColumn id="4885" xr3:uid="{0146AB97-5C86-4B4C-8DB8-62C0AE310B6D}" name="Column4885"/>
    <tableColumn id="4886" xr3:uid="{3D6A2B44-2881-4D9E-A959-EAD030FCE059}" name="Column4886"/>
    <tableColumn id="4887" xr3:uid="{26719E9E-AA25-46D4-9E95-037607B2418E}" name="Column4887"/>
    <tableColumn id="4888" xr3:uid="{26154FBF-4E36-4150-ABCF-1F96A6E73D46}" name="Column4888"/>
    <tableColumn id="4889" xr3:uid="{F8842C92-4A06-4D3B-A08B-E39578273B86}" name="Column4889"/>
    <tableColumn id="4890" xr3:uid="{3DCF392F-7E84-42BD-B0AC-78691790AC9C}" name="Column4890"/>
    <tableColumn id="4891" xr3:uid="{8AC894A0-472C-4BB3-93EA-E4D2036CD988}" name="Column4891"/>
    <tableColumn id="4892" xr3:uid="{98F5C63D-E9D8-471A-9751-F7462DC240A7}" name="Column4892"/>
    <tableColumn id="4893" xr3:uid="{1473D770-F40A-4677-BF55-F119D95D9AC7}" name="Column4893"/>
    <tableColumn id="4894" xr3:uid="{5867AD90-9A25-42D4-9491-D8BE4941232D}" name="Column4894"/>
    <tableColumn id="4895" xr3:uid="{094B97FB-6AF5-4167-BB70-F327FDC1797E}" name="Column4895"/>
    <tableColumn id="4896" xr3:uid="{686B9CD6-B939-4BA5-9D69-12E4122E5A1E}" name="Column4896"/>
    <tableColumn id="4897" xr3:uid="{F2ACF8EC-0B7D-4D2E-8E5A-86A767B27B89}" name="Column4897"/>
    <tableColumn id="4898" xr3:uid="{F1BC8222-E7B9-48E8-9B91-F7323BDA503C}" name="Column4898"/>
    <tableColumn id="4899" xr3:uid="{DC09EEA8-EE7C-4A68-8EB7-D46E6B9F55F9}" name="Column4899"/>
    <tableColumn id="4900" xr3:uid="{D65D7650-B8FC-47FC-8B52-17E9297AD235}" name="Column4900"/>
    <tableColumn id="4901" xr3:uid="{9931A8F9-B1DD-4F6B-8722-BFDF44771AB6}" name="Column4901"/>
    <tableColumn id="4902" xr3:uid="{CAEB5E4B-1635-49C2-B1BD-250DFE41F04F}" name="Column4902"/>
    <tableColumn id="4903" xr3:uid="{A93EC864-9B6F-4845-9BCE-BEB8A5ECF006}" name="Column4903"/>
    <tableColumn id="4904" xr3:uid="{D8395CB9-863E-433F-98E1-35E3CAE07189}" name="Column4904"/>
    <tableColumn id="4905" xr3:uid="{F3EB9779-DD49-4532-A68F-E6D6D91DC2AE}" name="Column4905"/>
    <tableColumn id="4906" xr3:uid="{4AA4AEDB-4269-41F4-BB54-10B15F11D896}" name="Column4906"/>
    <tableColumn id="4907" xr3:uid="{479434B4-FCBD-42D4-A011-329DC1EF9130}" name="Column4907"/>
    <tableColumn id="4908" xr3:uid="{4F6BE340-1074-4C7D-9A57-17031FFC4E94}" name="Column4908"/>
    <tableColumn id="4909" xr3:uid="{E7E9ADC2-02B0-40C3-8130-CB91E9B0EC32}" name="Column4909"/>
    <tableColumn id="4910" xr3:uid="{8A2FF5F4-8CEB-4A58-B267-7503ACC40940}" name="Column4910"/>
    <tableColumn id="4911" xr3:uid="{F2CB24CA-938D-4981-B6D8-15A3EFD34741}" name="Column4911"/>
    <tableColumn id="4912" xr3:uid="{4D39DDC8-AED1-49EF-9993-D4FE49ACAFE7}" name="Column4912"/>
    <tableColumn id="4913" xr3:uid="{9C4BEEC3-6E88-44CB-A4E0-7E8631E8B8F8}" name="Column4913"/>
    <tableColumn id="4914" xr3:uid="{54B09E3D-9F8B-43A8-AC30-0F50B9EE0F9A}" name="Column4914"/>
    <tableColumn id="4915" xr3:uid="{11FA8052-503C-4AED-AEEE-935C1EDBBFB5}" name="Column4915"/>
    <tableColumn id="4916" xr3:uid="{818A7DF0-E577-4882-9A98-583FD6B6A549}" name="Column4916"/>
    <tableColumn id="4917" xr3:uid="{B71C15DF-79B0-41DB-9762-DB0A0353C4A5}" name="Column4917"/>
    <tableColumn id="4918" xr3:uid="{7A71F39A-48D3-4E31-A0E0-3A311E0309AD}" name="Column4918"/>
    <tableColumn id="4919" xr3:uid="{02DB5650-FE54-4168-89B2-4F6F916C7DA9}" name="Column4919"/>
    <tableColumn id="4920" xr3:uid="{7B44B33E-9D99-4CC9-A5BE-FEF5B2B781A0}" name="Column4920"/>
    <tableColumn id="4921" xr3:uid="{95E82C77-B1EA-46D8-8002-A83B45E69BE8}" name="Column4921"/>
    <tableColumn id="4922" xr3:uid="{F5E2A848-765B-412F-A016-F56968DA1AF3}" name="Column4922"/>
    <tableColumn id="4923" xr3:uid="{6650F41C-DC80-48C2-B8B2-BEE47560628C}" name="Column4923"/>
    <tableColumn id="4924" xr3:uid="{65A6A262-87FB-4DC8-8137-20DFB64D797A}" name="Column4924"/>
    <tableColumn id="4925" xr3:uid="{A18E281D-736C-4E20-8342-9B9395EA844D}" name="Column4925"/>
    <tableColumn id="4926" xr3:uid="{9FE80387-C6B4-47B2-813A-ACA841B48A6E}" name="Column4926"/>
    <tableColumn id="4927" xr3:uid="{7D184762-C1E7-46BF-B72B-B21C28860C5B}" name="Column4927"/>
    <tableColumn id="4928" xr3:uid="{B1BFCF39-CB8A-4881-968E-FA61EB279439}" name="Column4928"/>
    <tableColumn id="4929" xr3:uid="{0B601232-A1B1-4AC7-809D-77F042112423}" name="Column4929"/>
    <tableColumn id="4930" xr3:uid="{6950635B-C744-445B-9747-A9B8675D4D46}" name="Column4930"/>
    <tableColumn id="4931" xr3:uid="{5E1C0F2F-6C8B-4E4D-9E40-70B67B1F5229}" name="Column4931"/>
    <tableColumn id="4932" xr3:uid="{91F95E53-9ED9-4309-A3D7-A137F6D73002}" name="Column4932"/>
    <tableColumn id="4933" xr3:uid="{5968243F-193B-446A-8571-4760669F1EFA}" name="Column4933"/>
    <tableColumn id="4934" xr3:uid="{EE3B35A2-FD78-40C1-9CD4-A28781B47755}" name="Column4934"/>
    <tableColumn id="4935" xr3:uid="{633BFA88-F794-4C10-A8AE-EC00A4E47366}" name="Column4935"/>
    <tableColumn id="4936" xr3:uid="{AE2C1C2E-B80D-4964-8381-12B435CB58A4}" name="Column4936"/>
    <tableColumn id="4937" xr3:uid="{927B11E4-D69E-4EAD-BFEF-67C8B442EC8A}" name="Column4937"/>
    <tableColumn id="4938" xr3:uid="{4FFE1353-7C65-478C-9EAE-A026769814A5}" name="Column4938"/>
    <tableColumn id="4939" xr3:uid="{64914408-3B0F-4724-800A-8718AF5CE68B}" name="Column4939"/>
    <tableColumn id="4940" xr3:uid="{984228EB-D2D8-42E1-BC4C-2D10E04A7FBF}" name="Column4940"/>
    <tableColumn id="4941" xr3:uid="{B8121032-3357-44F4-A564-66B3A0A1F180}" name="Column4941"/>
    <tableColumn id="4942" xr3:uid="{17B2A19E-A78A-4537-9524-97F577F79A90}" name="Column4942"/>
    <tableColumn id="4943" xr3:uid="{650E0360-48CA-4E5A-A171-627C9CDFF472}" name="Column4943"/>
    <tableColumn id="4944" xr3:uid="{44971797-7D53-41CA-8833-79B669ED55F5}" name="Column4944"/>
    <tableColumn id="4945" xr3:uid="{66562ECB-D821-4118-B879-D9A512AD3B68}" name="Column4945"/>
    <tableColumn id="4946" xr3:uid="{972F7E03-8FF2-49C9-8E34-AA26ED7D86E7}" name="Column4946"/>
    <tableColumn id="4947" xr3:uid="{99FA4309-0AC5-4F17-A018-F6C11C9390F2}" name="Column4947"/>
    <tableColumn id="4948" xr3:uid="{59B7FE38-D349-41DA-A415-7F235E620292}" name="Column4948"/>
    <tableColumn id="4949" xr3:uid="{E70BC2C9-D62D-4E22-82AE-3C795D42563A}" name="Column4949"/>
    <tableColumn id="4950" xr3:uid="{1903DDF0-12B7-4046-A6BA-83F9BFDE3264}" name="Column4950"/>
    <tableColumn id="4951" xr3:uid="{2A0CC4D2-EAA7-4373-8704-770BF4E7CF75}" name="Column4951"/>
    <tableColumn id="4952" xr3:uid="{0CDC7818-9E29-4AE4-A364-CE8037E15D02}" name="Column4952"/>
    <tableColumn id="4953" xr3:uid="{F0EE20DB-09CC-45C8-975B-4EACFE9ECED5}" name="Column4953"/>
    <tableColumn id="4954" xr3:uid="{A1973290-194D-4940-8CE1-A9D54B4C392E}" name="Column4954"/>
    <tableColumn id="4955" xr3:uid="{DB0B0FA6-AD56-4A6C-BAD8-93BAC8F643ED}" name="Column4955"/>
    <tableColumn id="4956" xr3:uid="{9F44F621-3F13-407D-AF9E-DDAFD471D11C}" name="Column4956"/>
    <tableColumn id="4957" xr3:uid="{919BCB5B-EF58-483B-9C96-819E7E01AB31}" name="Column4957"/>
    <tableColumn id="4958" xr3:uid="{75587A92-656F-489C-870B-0D06F10BD60D}" name="Column4958"/>
    <tableColumn id="4959" xr3:uid="{FC2E06B0-3E14-4326-8A6F-400106E535AC}" name="Column4959"/>
    <tableColumn id="4960" xr3:uid="{A7DCE9C1-4BD9-483A-8DCE-FA6B60E0258C}" name="Column4960"/>
    <tableColumn id="4961" xr3:uid="{F303561F-F42E-41E4-B275-167610F6C4DA}" name="Column4961"/>
    <tableColumn id="4962" xr3:uid="{054CF233-0C1D-4D05-90D3-2B1D55383D60}" name="Column4962"/>
    <tableColumn id="4963" xr3:uid="{5B8605EC-A291-47AF-BBFE-958865F24517}" name="Column4963"/>
    <tableColumn id="4964" xr3:uid="{6C82C703-EAC9-40CE-9ECB-C17BBBC79DAC}" name="Column4964"/>
    <tableColumn id="4965" xr3:uid="{731C8E4C-8BDC-43FE-B7D2-AB9E0C87F06D}" name="Column4965"/>
    <tableColumn id="4966" xr3:uid="{289EF6C4-32A5-44E9-8480-5543D00F5E2F}" name="Column4966"/>
    <tableColumn id="4967" xr3:uid="{468DA10C-E86E-41A4-B69E-7D961A07ACF9}" name="Column4967"/>
    <tableColumn id="4968" xr3:uid="{D0A25CC6-D0CF-49B7-8932-B529A4489A14}" name="Column4968"/>
    <tableColumn id="4969" xr3:uid="{4A77698C-A4A9-4205-A1FF-8DAEE6839B3F}" name="Column4969"/>
    <tableColumn id="4970" xr3:uid="{D41B3821-2BE6-4786-93CC-06F568BB5AFB}" name="Column4970"/>
    <tableColumn id="4971" xr3:uid="{F5D569C2-8E78-44AD-A155-79B19B61D11F}" name="Column4971"/>
    <tableColumn id="4972" xr3:uid="{6D49071E-8928-4BCA-B286-25FE83C296AE}" name="Column4972"/>
    <tableColumn id="4973" xr3:uid="{BA57CB40-E8EE-4535-9ADC-57D1983F5589}" name="Column4973"/>
    <tableColumn id="4974" xr3:uid="{BC643BA5-8B60-43EB-A1C6-C40C349CBFC6}" name="Column4974"/>
    <tableColumn id="4975" xr3:uid="{0892785D-4C6E-47C1-99DA-27EF51513122}" name="Column4975"/>
    <tableColumn id="4976" xr3:uid="{5D490E3E-DD0C-43C6-93CE-713DA187D985}" name="Column4976"/>
    <tableColumn id="4977" xr3:uid="{8AD48A26-0BFB-47EF-B5AB-0496DC6EEA60}" name="Column4977"/>
    <tableColumn id="4978" xr3:uid="{29DBFFCD-490C-4A88-A0AC-155DEF89A015}" name="Column4978"/>
    <tableColumn id="4979" xr3:uid="{BD01CF30-3D93-49B8-959C-BF8F4B52AB68}" name="Column4979"/>
    <tableColumn id="4980" xr3:uid="{F704A72A-99F9-433F-8D6A-4051105FF647}" name="Column4980"/>
    <tableColumn id="4981" xr3:uid="{D90F0FAB-30CD-496D-AC94-A9852C22E13E}" name="Column4981"/>
    <tableColumn id="4982" xr3:uid="{0930F61E-11E1-4EB3-94D1-22A2326D069F}" name="Column4982"/>
    <tableColumn id="4983" xr3:uid="{709C65A1-45B1-4531-87DB-A2BD230F513B}" name="Column4983"/>
    <tableColumn id="4984" xr3:uid="{9D2CDB27-A78A-4491-A0AB-4AC6D27CE5E5}" name="Column4984"/>
    <tableColumn id="4985" xr3:uid="{A024DA21-C7BE-426D-AF54-D672357844CC}" name="Column4985"/>
    <tableColumn id="4986" xr3:uid="{FFF129E1-2688-4635-84B0-7E3927B73895}" name="Column4986"/>
    <tableColumn id="4987" xr3:uid="{9C41552F-FDF0-4D0D-A756-599518EA7CFA}" name="Column4987"/>
    <tableColumn id="4988" xr3:uid="{E9EF1ED0-E586-4378-A842-CAF0F2492CBF}" name="Column4988"/>
    <tableColumn id="4989" xr3:uid="{7E4036F3-0C04-4966-9917-695C0EC18196}" name="Column4989"/>
    <tableColumn id="4990" xr3:uid="{D8F0C887-AE5F-4C0E-BDBA-BC9788F51F7B}" name="Column4990"/>
    <tableColumn id="4991" xr3:uid="{FC53054E-F972-44B0-9E5C-7D768C697F00}" name="Column4991"/>
    <tableColumn id="4992" xr3:uid="{D9A3A28E-914D-4FAD-B751-D247F302975C}" name="Column4992"/>
    <tableColumn id="4993" xr3:uid="{2C1764A7-B7F0-44D1-B5BB-55839567F1E5}" name="Column4993"/>
    <tableColumn id="4994" xr3:uid="{E75E496B-F883-4996-9CE4-326955D603FF}" name="Column4994"/>
    <tableColumn id="4995" xr3:uid="{7672EB6A-002B-4DC2-B111-F68ABF1D3A4A}" name="Column4995"/>
    <tableColumn id="4996" xr3:uid="{3955B477-6158-433B-927D-54287585F8BA}" name="Column4996"/>
    <tableColumn id="4997" xr3:uid="{4587F05C-9003-46E6-AA96-2CEBF5E1423C}" name="Column4997"/>
    <tableColumn id="4998" xr3:uid="{387DD216-ADEB-423E-AD43-716E3EF0AAA3}" name="Column4998"/>
    <tableColumn id="4999" xr3:uid="{B29916F2-AFE0-4D42-B0D2-ABE1F51124F6}" name="Column4999"/>
    <tableColumn id="5000" xr3:uid="{91FD80CB-998F-4692-8919-F2CFDBB57C44}" name="Column5000"/>
    <tableColumn id="5001" xr3:uid="{6B52F612-F16D-41D9-B326-8DFA446F939D}" name="Column5001"/>
    <tableColumn id="5002" xr3:uid="{FC4A466C-1401-4191-BD45-7C72C62F0F69}" name="Column5002"/>
    <tableColumn id="5003" xr3:uid="{6E5260DB-655E-4711-8613-61E3DEBB6BCD}" name="Column5003"/>
    <tableColumn id="5004" xr3:uid="{89CC9ED4-410C-4C63-87F8-3B46F4E84A8D}" name="Column5004"/>
    <tableColumn id="5005" xr3:uid="{8DC90F5B-AF2C-4D0C-9CBC-CCAB263F2391}" name="Column5005"/>
    <tableColumn id="5006" xr3:uid="{1D59C5C7-6515-4E9A-8BC1-DEF60DF449D6}" name="Column5006"/>
    <tableColumn id="5007" xr3:uid="{C807C551-CD10-43FF-A70C-A212402DE5A6}" name="Column5007"/>
    <tableColumn id="5008" xr3:uid="{D6E01E0E-3001-4355-A0BB-A30C197756C3}" name="Column5008"/>
    <tableColumn id="5009" xr3:uid="{1EFDC839-6C7A-460D-BD7B-4A208CB702C7}" name="Column5009"/>
    <tableColumn id="5010" xr3:uid="{2BB44CB3-A076-4F1E-A2FD-4B90C0FE065B}" name="Column5010"/>
    <tableColumn id="5011" xr3:uid="{C85E4B59-FFF0-4C0D-8AE8-D4591DF90096}" name="Column5011"/>
    <tableColumn id="5012" xr3:uid="{20726523-D91D-41FB-8FA5-096B3C9AABFD}" name="Column5012"/>
    <tableColumn id="5013" xr3:uid="{5B9A0E28-5858-42A3-9FA6-6F3D6BC92222}" name="Column5013"/>
    <tableColumn id="5014" xr3:uid="{EF0C75B3-1413-4797-8EE4-48C7C09C0E3F}" name="Column5014"/>
    <tableColumn id="5015" xr3:uid="{2205D766-6FB9-4A04-8AB7-72F16F9A25A5}" name="Column5015"/>
    <tableColumn id="5016" xr3:uid="{7B0C32A1-B280-4308-A41F-19C1C987FC35}" name="Column5016"/>
    <tableColumn id="5017" xr3:uid="{BA26A523-FB7E-4ED8-962C-81B716930710}" name="Column5017"/>
    <tableColumn id="5018" xr3:uid="{AF2A2E80-CA3F-4A11-8FD4-72E9BE2AC362}" name="Column5018"/>
    <tableColumn id="5019" xr3:uid="{B1E52BA4-5F58-4764-B9BC-ED19A94220AC}" name="Column5019"/>
    <tableColumn id="5020" xr3:uid="{35360FED-0896-462C-ACC9-96FCF79FDED0}" name="Column5020"/>
    <tableColumn id="5021" xr3:uid="{8E7E08F8-F04E-4A75-BB1F-F0F3ACB0E4B8}" name="Column5021"/>
    <tableColumn id="5022" xr3:uid="{DAB8E0FC-36F1-4D38-8ED5-A924CD530FA4}" name="Column5022"/>
    <tableColumn id="5023" xr3:uid="{FBF2296D-AB6A-423A-9149-1EC590E00AC4}" name="Column5023"/>
    <tableColumn id="5024" xr3:uid="{925F8858-F163-4DF0-8FAA-E3C31B8F736E}" name="Column5024"/>
    <tableColumn id="5025" xr3:uid="{DCF880AB-6D78-42E4-8F13-0C48893F783F}" name="Column5025"/>
    <tableColumn id="5026" xr3:uid="{31ED1231-9266-4618-9D23-42341899C726}" name="Column5026"/>
    <tableColumn id="5027" xr3:uid="{09BE6545-BA4D-4C59-B2BD-BE72AAA31899}" name="Column5027"/>
    <tableColumn id="5028" xr3:uid="{969838EB-F249-4EFC-867B-1BB175AF6330}" name="Column5028"/>
    <tableColumn id="5029" xr3:uid="{77D068DC-1D43-4CA3-B70C-8EC8BD537CAB}" name="Column5029"/>
    <tableColumn id="5030" xr3:uid="{02DA1B2C-9935-4EE9-A6C1-7360B2681293}" name="Column5030"/>
    <tableColumn id="5031" xr3:uid="{51E50997-E2DF-476A-B72D-0CA0706D25C7}" name="Column5031"/>
    <tableColumn id="5032" xr3:uid="{5BFA86F7-AF5D-46AC-A513-8ACC8F2A9F5E}" name="Column5032"/>
    <tableColumn id="5033" xr3:uid="{35037F64-5E2A-49B5-8545-2696169A17A2}" name="Column5033"/>
    <tableColumn id="5034" xr3:uid="{AE415312-765C-49F1-9361-AB03ACCA5180}" name="Column5034"/>
    <tableColumn id="5035" xr3:uid="{414B2B78-4637-42A2-A110-F22AE2DFCB18}" name="Column5035"/>
    <tableColumn id="5036" xr3:uid="{E5B45D76-E961-40A6-9F3E-F5CAF5C3A16E}" name="Column5036"/>
    <tableColumn id="5037" xr3:uid="{361A3C48-9900-4FD8-92F6-2D0DD78DCDF1}" name="Column5037"/>
    <tableColumn id="5038" xr3:uid="{18E2BEEA-1E3A-4E30-9D9E-D0D8E341EEE0}" name="Column5038"/>
    <tableColumn id="5039" xr3:uid="{B2368A7A-24C6-4318-982B-7E474A2054BA}" name="Column5039"/>
    <tableColumn id="5040" xr3:uid="{26EC8D4F-DC63-4BA8-B9BD-6A7F0050A006}" name="Column5040"/>
    <tableColumn id="5041" xr3:uid="{1AC19654-BD40-48CE-9061-C9299B310EFA}" name="Column5041"/>
    <tableColumn id="5042" xr3:uid="{B7DDC3B0-8B07-4E31-B645-0A68727C0357}" name="Column5042"/>
    <tableColumn id="5043" xr3:uid="{99A3E45F-845D-4198-B9AF-C80AEF00AF95}" name="Column5043"/>
    <tableColumn id="5044" xr3:uid="{9BD04CE8-DBB2-4084-BED8-E8B86011183F}" name="Column5044"/>
    <tableColumn id="5045" xr3:uid="{49806947-992C-4F90-9242-71388F8B4CAD}" name="Column5045"/>
    <tableColumn id="5046" xr3:uid="{D1B4FB5E-75F1-4E4F-9213-5AD93201BBF7}" name="Column5046"/>
    <tableColumn id="5047" xr3:uid="{6226F447-63B3-429F-8EB6-676E5FD1A319}" name="Column5047"/>
    <tableColumn id="5048" xr3:uid="{EB8D48E0-163A-4FAE-A8D9-002C2E6F1B86}" name="Column5048"/>
    <tableColumn id="5049" xr3:uid="{C962CDCD-D1C1-4F9D-B111-8A46EC963879}" name="Column5049"/>
    <tableColumn id="5050" xr3:uid="{D6F7054B-8127-487E-85F6-0F229AD7F9A7}" name="Column5050"/>
    <tableColumn id="5051" xr3:uid="{B3B182FE-57E6-4A34-A500-BAA16A589275}" name="Column5051"/>
    <tableColumn id="5052" xr3:uid="{A9D6F8FB-3C0B-429E-8D8E-26F893D070C9}" name="Column5052"/>
    <tableColumn id="5053" xr3:uid="{B67E0C8A-88CB-45BF-8C1A-21AB381DE5F9}" name="Column5053"/>
    <tableColumn id="5054" xr3:uid="{8EB19A8A-F1FA-4369-A41B-318A6514D14B}" name="Column5054"/>
    <tableColumn id="5055" xr3:uid="{C2B44C78-F836-40FD-B005-65DCFD2E2B1D}" name="Column5055"/>
    <tableColumn id="5056" xr3:uid="{6DE10AB8-B538-4012-B3D6-7C8E28CB7036}" name="Column5056"/>
    <tableColumn id="5057" xr3:uid="{88FC7BB8-7F8B-4FFE-BDDD-A9DA475582EB}" name="Column5057"/>
    <tableColumn id="5058" xr3:uid="{79F55F07-4ED0-400E-9385-F867B5F8A130}" name="Column5058"/>
    <tableColumn id="5059" xr3:uid="{A92EEBB5-09FE-4642-82E9-38168445BE7B}" name="Column5059"/>
    <tableColumn id="5060" xr3:uid="{346AFB72-B9B4-4404-BE57-A4BB4E52FF58}" name="Column5060"/>
    <tableColumn id="5061" xr3:uid="{4C487E5A-4C70-4E28-BC14-DECA9DC55256}" name="Column5061"/>
    <tableColumn id="5062" xr3:uid="{FFF9E1D0-D235-4D69-9EA8-1F4C74BC92BE}" name="Column5062"/>
    <tableColumn id="5063" xr3:uid="{D803CF68-EDDD-419D-BE85-790756B4FF37}" name="Column5063"/>
    <tableColumn id="5064" xr3:uid="{A362F6B2-3E37-4EBF-9158-61C20D0A5A92}" name="Column5064"/>
    <tableColumn id="5065" xr3:uid="{3D61CC10-90AC-4A45-9AE3-8EEA9E6D3FF7}" name="Column5065"/>
    <tableColumn id="5066" xr3:uid="{1FA00B61-F2E1-4D9D-BB05-DEEB937A70A9}" name="Column5066"/>
    <tableColumn id="5067" xr3:uid="{44C6210A-01D3-420C-82F3-8FB392728C37}" name="Column5067"/>
    <tableColumn id="5068" xr3:uid="{CE90FC97-04ED-4C66-8247-576F15662ADA}" name="Column5068"/>
    <tableColumn id="5069" xr3:uid="{6DAF9353-19F8-4143-AA84-E31BCF140DCA}" name="Column5069"/>
    <tableColumn id="5070" xr3:uid="{1F3761EF-6FDA-4861-810D-9AFCED59D8B8}" name="Column5070"/>
    <tableColumn id="5071" xr3:uid="{AFF062B2-735F-477A-8168-4AD8E53FF1AE}" name="Column5071"/>
    <tableColumn id="5072" xr3:uid="{394F2E81-9A84-44BD-88EC-4DD88224D5EC}" name="Column5072"/>
    <tableColumn id="5073" xr3:uid="{771B94E8-3B56-419F-8F8F-18B4F79BA2EA}" name="Column5073"/>
    <tableColumn id="5074" xr3:uid="{A7ACEBF3-ED68-407C-90A1-77BDE33EC3C4}" name="Column5074"/>
    <tableColumn id="5075" xr3:uid="{D073C8C6-7F4A-4012-B1FB-3CE048F162DD}" name="Column5075"/>
    <tableColumn id="5076" xr3:uid="{B4A502F0-4981-4A69-B9F1-E9F8F1A2EC49}" name="Column5076"/>
    <tableColumn id="5077" xr3:uid="{C9E4C385-31C1-4ACF-91DE-4F897F597CD6}" name="Column5077"/>
    <tableColumn id="5078" xr3:uid="{A4773F78-529F-406E-A6DB-136A5D72A421}" name="Column5078"/>
    <tableColumn id="5079" xr3:uid="{D9ED16C1-B53D-4215-AE18-1FBA4F19FC92}" name="Column5079"/>
    <tableColumn id="5080" xr3:uid="{271111F0-B534-41D8-9890-7293606C20B3}" name="Column5080"/>
    <tableColumn id="5081" xr3:uid="{F6B149F1-5789-4D65-960B-0DFEFFA2FEBE}" name="Column5081"/>
    <tableColumn id="5082" xr3:uid="{6595645E-F5BA-4E9A-B004-5BD69DDD3163}" name="Column5082"/>
    <tableColumn id="5083" xr3:uid="{327B246B-691A-46FC-9511-6D0A46C0100F}" name="Column5083"/>
    <tableColumn id="5084" xr3:uid="{FB69DC11-73A0-49C3-8F23-31827555682E}" name="Column5084"/>
    <tableColumn id="5085" xr3:uid="{F586C61F-A87F-4709-946B-D90B9FE8C3C9}" name="Column5085"/>
    <tableColumn id="5086" xr3:uid="{52DF9AB9-BBB2-427E-A704-29B386B2946D}" name="Column5086"/>
    <tableColumn id="5087" xr3:uid="{9F3C59BE-731F-4AB8-98B9-587CB098CEAF}" name="Column5087"/>
    <tableColumn id="5088" xr3:uid="{2628E4CF-BEB7-4989-840B-4D549A9550DA}" name="Column5088"/>
    <tableColumn id="5089" xr3:uid="{C1B075F4-9CC8-45B8-9558-E57FCCE782B9}" name="Column5089"/>
    <tableColumn id="5090" xr3:uid="{3794317A-AD7B-4EA7-A5B7-FDC6DF13D23D}" name="Column5090"/>
    <tableColumn id="5091" xr3:uid="{299AA399-BD87-4E57-9C71-D557421D26C8}" name="Column5091"/>
    <tableColumn id="5092" xr3:uid="{81D15D59-8F17-470F-9F82-2B17CB225E4A}" name="Column5092"/>
    <tableColumn id="5093" xr3:uid="{F17501FE-F2DD-4974-AB1B-3DB7817BC0AD}" name="Column5093"/>
    <tableColumn id="5094" xr3:uid="{FB2CD862-4D3D-4B15-8B45-56B3050A8F0B}" name="Column5094"/>
    <tableColumn id="5095" xr3:uid="{4A6424F9-624F-4F14-8D3D-058624E18B90}" name="Column5095"/>
    <tableColumn id="5096" xr3:uid="{669E42B9-4917-4516-9762-668E8C5118D1}" name="Column5096"/>
    <tableColumn id="5097" xr3:uid="{1DD5A56F-E9D3-407C-9108-1F629D2C5B92}" name="Column5097"/>
    <tableColumn id="5098" xr3:uid="{4397125C-A22D-4CAC-8892-BD0953176BF4}" name="Column5098"/>
    <tableColumn id="5099" xr3:uid="{FC8528EC-BED1-436D-AA16-306D623F9C5D}" name="Column5099"/>
    <tableColumn id="5100" xr3:uid="{D39F6D6F-3FF1-4A37-A97F-E0E3E5B66DE8}" name="Column5100"/>
    <tableColumn id="5101" xr3:uid="{C8AE0FC9-1583-480C-BA30-2C71B93018FA}" name="Column5101"/>
    <tableColumn id="5102" xr3:uid="{DC149990-8789-4DCD-BF24-F67285D80709}" name="Column5102"/>
    <tableColumn id="5103" xr3:uid="{06819B8D-FE70-4CAA-97BA-EC90F7883E8C}" name="Column5103"/>
    <tableColumn id="5104" xr3:uid="{B16D9D28-05E0-450A-A885-AF1216CADA54}" name="Column5104"/>
    <tableColumn id="5105" xr3:uid="{7D836E83-801F-4134-90FA-2C0D94F11B49}" name="Column5105"/>
    <tableColumn id="5106" xr3:uid="{527F4E36-DA4C-41C5-ABF4-F8E1797E03CF}" name="Column5106"/>
    <tableColumn id="5107" xr3:uid="{746B79C2-DD35-4FCB-AC43-EE7E68126727}" name="Column5107"/>
    <tableColumn id="5108" xr3:uid="{8A274776-54E8-43C4-B0BF-6E00D88BF35C}" name="Column5108"/>
    <tableColumn id="5109" xr3:uid="{7AC3F96C-DB8D-495E-9AEB-374CC17C95D4}" name="Column5109"/>
    <tableColumn id="5110" xr3:uid="{8D1D6B3C-FB1A-4F03-82F4-62BB39D6F3FC}" name="Column5110"/>
    <tableColumn id="5111" xr3:uid="{9FF9EF2F-591A-4CF6-B8E3-2191FDCE7037}" name="Column5111"/>
    <tableColumn id="5112" xr3:uid="{B0D4AD5B-79A2-49EA-A5F1-EC79011C06D0}" name="Column5112"/>
    <tableColumn id="5113" xr3:uid="{3A1F806D-A33F-45D0-9CB9-CF4D45767AB0}" name="Column5113"/>
    <tableColumn id="5114" xr3:uid="{EFCE7970-24E8-4A11-8B0E-8948B5598A37}" name="Column5114"/>
    <tableColumn id="5115" xr3:uid="{05EB3471-2707-4DDD-A960-DA3EB50C2B09}" name="Column5115"/>
    <tableColumn id="5116" xr3:uid="{C6456AA7-6FA0-4B0B-8DB0-96309BA151CF}" name="Column5116"/>
    <tableColumn id="5117" xr3:uid="{787F7D4F-676B-4EC1-B90F-D400AA1B41C6}" name="Column5117"/>
    <tableColumn id="5118" xr3:uid="{9A0123F4-F1E5-478C-AA7A-EE900D2AAECB}" name="Column5118"/>
    <tableColumn id="5119" xr3:uid="{D14D3EDF-C15A-49A1-97D9-A802A34B73A2}" name="Column5119"/>
    <tableColumn id="5120" xr3:uid="{8CE79603-C7D2-46D9-8399-64574FA557D3}" name="Column5120"/>
    <tableColumn id="5121" xr3:uid="{3CC35269-1C3F-422C-B825-F87D3CC528BD}" name="Column5121"/>
    <tableColumn id="5122" xr3:uid="{17D67AA2-934D-4837-842F-F94C106A7CA6}" name="Column5122"/>
    <tableColumn id="5123" xr3:uid="{81806C5F-FC41-4EAF-80BD-51D7A400A1D4}" name="Column5123"/>
    <tableColumn id="5124" xr3:uid="{A170B82B-7659-4392-903B-7E3D0D3E8DEC}" name="Column5124"/>
    <tableColumn id="5125" xr3:uid="{2093EAB6-CFB3-4358-8626-2EFA871777ED}" name="Column5125"/>
    <tableColumn id="5126" xr3:uid="{CCC780F2-64BC-4C5A-9BD4-2B2C0838ABFD}" name="Column5126"/>
    <tableColumn id="5127" xr3:uid="{B05FD341-3E43-49D9-9391-1A14374AB34D}" name="Column5127"/>
    <tableColumn id="5128" xr3:uid="{3FC7763C-C7B9-47A4-80BA-5B14BA950BA4}" name="Column5128"/>
    <tableColumn id="5129" xr3:uid="{08953612-AB12-4CA9-96FB-94F22BBB412C}" name="Column5129"/>
    <tableColumn id="5130" xr3:uid="{43745E73-749B-425F-B707-110D841587F9}" name="Column5130"/>
    <tableColumn id="5131" xr3:uid="{A02E1F05-9E93-4398-B84A-91052C7C11F1}" name="Column5131"/>
    <tableColumn id="5132" xr3:uid="{3AE305DA-B190-4FA0-8EE2-C32D7889E2E1}" name="Column5132"/>
    <tableColumn id="5133" xr3:uid="{05304046-6875-4364-ABA2-E2236E42B601}" name="Column5133"/>
    <tableColumn id="5134" xr3:uid="{35FE3977-50B7-4E46-BD18-0FEF4689539C}" name="Column5134"/>
    <tableColumn id="5135" xr3:uid="{FB3E43D4-38F4-45D9-B2A4-0C7301B4263A}" name="Column5135"/>
    <tableColumn id="5136" xr3:uid="{2B7CBAA6-5CB2-49DE-9520-47AA305604F9}" name="Column5136"/>
    <tableColumn id="5137" xr3:uid="{909499D8-B26D-4395-A5C1-4219A347E22F}" name="Column5137"/>
    <tableColumn id="5138" xr3:uid="{EFB4C49D-71AD-4DCC-BF89-7270A28B65D7}" name="Column5138"/>
    <tableColumn id="5139" xr3:uid="{A2660F82-1893-424F-8B75-97660FE12CE0}" name="Column5139"/>
    <tableColumn id="5140" xr3:uid="{62523E96-112E-45D9-998A-D19EC55EA7A4}" name="Column5140"/>
    <tableColumn id="5141" xr3:uid="{D36B11F8-89AF-4E57-BA16-7425F13568D8}" name="Column5141"/>
    <tableColumn id="5142" xr3:uid="{737091EF-8DAA-4D85-B9F0-4F7662E86370}" name="Column5142"/>
    <tableColumn id="5143" xr3:uid="{774992F3-026A-49A9-BA7C-3EF5B67BB8B4}" name="Column5143"/>
    <tableColumn id="5144" xr3:uid="{A2EC14D2-E07C-4D46-A19E-6010B878A74D}" name="Column5144"/>
    <tableColumn id="5145" xr3:uid="{55008E76-14FC-417D-81C5-D9800AC13335}" name="Column5145"/>
    <tableColumn id="5146" xr3:uid="{F5DADCE1-6B95-4CE1-9ADE-F1363761A38C}" name="Column5146"/>
    <tableColumn id="5147" xr3:uid="{D2AA00F4-AB2F-4D27-8FC6-7F0708C06CA7}" name="Column5147"/>
    <tableColumn id="5148" xr3:uid="{6F8625E2-B875-4A99-91F0-C46111C3E1CB}" name="Column5148"/>
    <tableColumn id="5149" xr3:uid="{27E7F94A-6122-409F-9BAF-27C54DDF29D0}" name="Column5149"/>
    <tableColumn id="5150" xr3:uid="{B6AE0E68-7789-4B94-A3BB-376E145DA736}" name="Column5150"/>
    <tableColumn id="5151" xr3:uid="{4C665A2C-28E0-4183-A148-8ED44D033708}" name="Column5151"/>
    <tableColumn id="5152" xr3:uid="{2EC2E8A2-5B2C-4624-882C-6CFE73A99780}" name="Column5152"/>
    <tableColumn id="5153" xr3:uid="{3799643D-7A5C-4EBD-A495-A58A4F935B4A}" name="Column5153"/>
    <tableColumn id="5154" xr3:uid="{A2D28499-B969-4B9C-AC48-E21FB8CFCD8B}" name="Column5154"/>
    <tableColumn id="5155" xr3:uid="{BC7F17FA-BC3A-475E-BB7A-44BA47226C32}" name="Column5155"/>
    <tableColumn id="5156" xr3:uid="{BB18041C-CA77-4972-B85D-DE0D4321EDA8}" name="Column5156"/>
    <tableColumn id="5157" xr3:uid="{1F1EF6E0-CA88-4772-BBDE-BFEB58B405F8}" name="Column5157"/>
    <tableColumn id="5158" xr3:uid="{63977D20-DC5C-43CD-8227-F494C363E4C9}" name="Column5158"/>
    <tableColumn id="5159" xr3:uid="{711A260F-9E72-4AA3-92B9-4BD8712E5E7F}" name="Column5159"/>
    <tableColumn id="5160" xr3:uid="{B372DCCB-1AB8-47DC-981B-3C1BF927AFE6}" name="Column5160"/>
    <tableColumn id="5161" xr3:uid="{C790AD2A-6517-4DE1-B9F5-FEDDAEB81537}" name="Column5161"/>
    <tableColumn id="5162" xr3:uid="{CCA401CB-D910-4021-884F-4DD97AD336CE}" name="Column5162"/>
    <tableColumn id="5163" xr3:uid="{90D5DFC4-586C-447C-B901-364F3B7E66C7}" name="Column5163"/>
    <tableColumn id="5164" xr3:uid="{85C5A8FB-68BC-4B26-B7C8-BE45DDF06A31}" name="Column5164"/>
    <tableColumn id="5165" xr3:uid="{358DB2A9-63D6-4C82-A46A-E68C3FC424FA}" name="Column5165"/>
    <tableColumn id="5166" xr3:uid="{77392109-5B55-40DF-8AA5-4086EEF1C176}" name="Column5166"/>
    <tableColumn id="5167" xr3:uid="{762BB141-1ABE-4025-8351-9A43CB446118}" name="Column5167"/>
    <tableColumn id="5168" xr3:uid="{E2B4E290-7F81-4EE6-A520-8924C4E87903}" name="Column5168"/>
    <tableColumn id="5169" xr3:uid="{56D4500E-A78A-48AF-AB9B-B85BE00ADE02}" name="Column5169"/>
    <tableColumn id="5170" xr3:uid="{644A6236-99A4-429B-A6B6-254F2828C945}" name="Column5170"/>
    <tableColumn id="5171" xr3:uid="{B8CEAB0C-608D-46A0-960D-66978BD6705A}" name="Column5171"/>
    <tableColumn id="5172" xr3:uid="{04626637-4951-4C6C-BF3A-B2E650628AD9}" name="Column5172"/>
    <tableColumn id="5173" xr3:uid="{78CB68B4-725E-477C-A5F0-B98368A934AF}" name="Column5173"/>
    <tableColumn id="5174" xr3:uid="{B625435D-1B9B-442E-B569-EBA893DDA851}" name="Column5174"/>
    <tableColumn id="5175" xr3:uid="{3532018C-009A-44A3-9EB1-82B5133AEF53}" name="Column5175"/>
    <tableColumn id="5176" xr3:uid="{13B7974A-C621-4348-AAD5-E858391A4CA0}" name="Column5176"/>
    <tableColumn id="5177" xr3:uid="{BFF25FA8-9348-4169-AC81-F0AD69E86E31}" name="Column5177"/>
    <tableColumn id="5178" xr3:uid="{B17C9FE9-6855-4B60-AC31-EE04FD088B40}" name="Column5178"/>
    <tableColumn id="5179" xr3:uid="{7DDD515B-5E78-40D3-92CF-3F4D7A8B324F}" name="Column5179"/>
    <tableColumn id="5180" xr3:uid="{07B9F2A5-64BC-4C23-92A1-CC200B36B30A}" name="Column5180"/>
    <tableColumn id="5181" xr3:uid="{8B83AD3E-55F0-4D9D-A26C-CC8ED687F26A}" name="Column5181"/>
    <tableColumn id="5182" xr3:uid="{E0B760F0-7741-4551-9E40-597FADC0E6AD}" name="Column5182"/>
    <tableColumn id="5183" xr3:uid="{4C4FBE22-DC7C-466E-BF09-147C0837E0FE}" name="Column5183"/>
    <tableColumn id="5184" xr3:uid="{3FEA6DA3-822B-4B3E-B4F3-71608EEC6DF9}" name="Column5184"/>
    <tableColumn id="5185" xr3:uid="{D2BC8C9B-8011-438F-8209-E89AA0C1FE5A}" name="Column5185"/>
    <tableColumn id="5186" xr3:uid="{312D8667-7B82-4846-8085-54CE57CD13A9}" name="Column5186"/>
    <tableColumn id="5187" xr3:uid="{CC9F5B07-D83C-4ECF-9B57-6029A4BE2EB8}" name="Column5187"/>
    <tableColumn id="5188" xr3:uid="{6F2E238B-7AFB-4391-A16C-B38F68E0484F}" name="Column5188"/>
    <tableColumn id="5189" xr3:uid="{58332188-A947-410D-A5A5-AE167DD2764D}" name="Column5189"/>
    <tableColumn id="5190" xr3:uid="{E2D63BCA-3514-4C67-9095-7A245BF9158E}" name="Column5190"/>
    <tableColumn id="5191" xr3:uid="{29C31C1C-63F7-40D7-967F-64436DD9D471}" name="Column5191"/>
    <tableColumn id="5192" xr3:uid="{6FE6839F-1FB6-4D4D-96EF-B3AF06971B29}" name="Column5192"/>
    <tableColumn id="5193" xr3:uid="{4DE59D64-068C-4177-A9E6-E4C5E193F978}" name="Column5193"/>
    <tableColumn id="5194" xr3:uid="{47F8E011-0991-4D81-8401-D788656A4FAF}" name="Column5194"/>
    <tableColumn id="5195" xr3:uid="{EEC753BB-6FF3-4C19-8E2C-F91F4CBEE4CC}" name="Column5195"/>
    <tableColumn id="5196" xr3:uid="{FBC7FF97-8617-409A-BCE1-25687CEDA64A}" name="Column5196"/>
    <tableColumn id="5197" xr3:uid="{072B189F-9094-4F8C-8DF5-4A6DFA3F09B9}" name="Column5197"/>
    <tableColumn id="5198" xr3:uid="{6CB8CA3F-D067-4295-AE3F-A8CDD116AB01}" name="Column5198"/>
    <tableColumn id="5199" xr3:uid="{A8A8E41E-3B97-42B3-8AB9-D4E892D0E6E5}" name="Column5199"/>
    <tableColumn id="5200" xr3:uid="{BEB43367-48DE-432D-B02C-EFD4C2B30577}" name="Column5200"/>
    <tableColumn id="5201" xr3:uid="{E5AF3202-BF42-4475-B927-099E19E94C43}" name="Column5201"/>
    <tableColumn id="5202" xr3:uid="{A615B6B6-21A4-4364-A7B7-6275401ED957}" name="Column5202"/>
    <tableColumn id="5203" xr3:uid="{A270DCE0-8515-4D26-8345-6E37DB4F87AF}" name="Column5203"/>
    <tableColumn id="5204" xr3:uid="{6E56E9E4-0F7B-46B4-8FD1-3BFBCEE2329F}" name="Column5204"/>
    <tableColumn id="5205" xr3:uid="{E6F0ED86-6BE9-4551-9957-59BDD9F99410}" name="Column5205"/>
    <tableColumn id="5206" xr3:uid="{EDDD3CEA-E3E5-473C-83A2-25550591D7B3}" name="Column5206"/>
    <tableColumn id="5207" xr3:uid="{1021B504-F6A0-41F2-9FC7-27387B38CEFD}" name="Column5207"/>
    <tableColumn id="5208" xr3:uid="{CEB54661-2AD2-4CFC-B718-151C1AF7D6C4}" name="Column5208"/>
    <tableColumn id="5209" xr3:uid="{26E388E9-CD50-4D41-88D5-7D8F926C1869}" name="Column5209"/>
    <tableColumn id="5210" xr3:uid="{58C6FE7C-71B1-4073-A1A7-CE2218C60B14}" name="Column5210"/>
    <tableColumn id="5211" xr3:uid="{CAD8E787-AC97-43AE-90BD-90D4342F7D45}" name="Column5211"/>
    <tableColumn id="5212" xr3:uid="{83776E39-DAFC-42AA-B023-E60B63DFEE23}" name="Column5212"/>
    <tableColumn id="5213" xr3:uid="{78DB35E2-AC6E-4FE3-B7EC-DDE642D2FAD4}" name="Column5213"/>
    <tableColumn id="5214" xr3:uid="{606B1F16-C1C5-43E1-ACC8-C918E8F511BF}" name="Column5214"/>
    <tableColumn id="5215" xr3:uid="{FF66B80D-6E71-4E29-AB47-9345B744757E}" name="Column5215"/>
    <tableColumn id="5216" xr3:uid="{1B1CCBF5-C4F2-40ED-B943-2CA64311F926}" name="Column5216"/>
    <tableColumn id="5217" xr3:uid="{AC84EB9A-D6CB-4B2C-B409-1EFD1B113367}" name="Column5217"/>
    <tableColumn id="5218" xr3:uid="{50E8783A-6CEA-433E-8AEE-606F68B39A1B}" name="Column5218"/>
    <tableColumn id="5219" xr3:uid="{0D485CAD-D968-44A9-9CE9-2C25D76C8986}" name="Column5219"/>
    <tableColumn id="5220" xr3:uid="{AD9E5B9B-2C6C-4B37-A1CD-1C9634387F0F}" name="Column5220"/>
    <tableColumn id="5221" xr3:uid="{A623C22C-9EAD-495E-9826-FB8D6047E770}" name="Column5221"/>
    <tableColumn id="5222" xr3:uid="{4F624B48-5501-4F57-A95D-0C5E4198EACE}" name="Column5222"/>
    <tableColumn id="5223" xr3:uid="{5093078E-3873-44EE-982D-6A3BFA6C863D}" name="Column5223"/>
    <tableColumn id="5224" xr3:uid="{682575C6-D8D5-4068-A9BC-1ED060D154FB}" name="Column5224"/>
    <tableColumn id="5225" xr3:uid="{F1203A33-EE44-4AD9-AA3F-7049708ED0C7}" name="Column5225"/>
    <tableColumn id="5226" xr3:uid="{FA1DA137-C530-435E-A328-62F1FB9CEB56}" name="Column5226"/>
    <tableColumn id="5227" xr3:uid="{9327B159-C120-42D8-ADE3-79F9FF81DA16}" name="Column5227"/>
    <tableColumn id="5228" xr3:uid="{355B9EEF-84D6-4FA4-94BC-8AC2E3F1F43D}" name="Column5228"/>
    <tableColumn id="5229" xr3:uid="{37A9FD6A-795C-4AEB-A5CB-6F33B7C62EEA}" name="Column5229"/>
    <tableColumn id="5230" xr3:uid="{E05761A4-7E5F-448B-9328-29AD4DDA9062}" name="Column5230"/>
    <tableColumn id="5231" xr3:uid="{9A461142-C3F8-42FD-8394-0900F54AFFA4}" name="Column5231"/>
    <tableColumn id="5232" xr3:uid="{2C7085EE-6CDA-4BD2-8504-8E97B95E7526}" name="Column5232"/>
    <tableColumn id="5233" xr3:uid="{E2B6E464-8169-468C-9827-B12314D8C05F}" name="Column5233"/>
    <tableColumn id="5234" xr3:uid="{91780787-6D64-4731-9EA2-301513479197}" name="Column5234"/>
    <tableColumn id="5235" xr3:uid="{5A353BF3-1434-4F49-B946-DAF35F8C34BA}" name="Column5235"/>
    <tableColumn id="5236" xr3:uid="{6734FCFE-0A7E-4B3C-91BA-20D53E260292}" name="Column5236"/>
    <tableColumn id="5237" xr3:uid="{27A62A39-7BB4-4AB1-88AC-20DFDD64B013}" name="Column5237"/>
    <tableColumn id="5238" xr3:uid="{2B123B2C-3DF7-4B97-8461-C0E2FAB2FABB}" name="Column5238"/>
    <tableColumn id="5239" xr3:uid="{5708C0FC-AEF4-4449-9431-74667DF9F908}" name="Column5239"/>
    <tableColumn id="5240" xr3:uid="{630DCC9D-2577-4C20-9B6E-7531AB3FFEA7}" name="Column5240"/>
    <tableColumn id="5241" xr3:uid="{DB284D2A-DA4D-4569-922A-3E673B408052}" name="Column5241"/>
    <tableColumn id="5242" xr3:uid="{2F64B261-92A1-4CE8-9E4F-7155C9E9D8A9}" name="Column5242"/>
    <tableColumn id="5243" xr3:uid="{6FDBEB5E-ABF5-4DEC-BBAF-6276114C75AC}" name="Column5243"/>
    <tableColumn id="5244" xr3:uid="{BA2653F7-932C-48A2-8C36-4EE4A454E208}" name="Column5244"/>
    <tableColumn id="5245" xr3:uid="{0A486E73-9783-4724-942C-7D98CD881E61}" name="Column5245"/>
    <tableColumn id="5246" xr3:uid="{F5430742-6503-442E-A492-9EFBBE6C7BB1}" name="Column5246"/>
    <tableColumn id="5247" xr3:uid="{A07F8AF3-A668-4E6F-A9A8-636A72227AF9}" name="Column5247"/>
    <tableColumn id="5248" xr3:uid="{72D4ADD6-EFD9-4C88-B649-78234B231C83}" name="Column5248"/>
    <tableColumn id="5249" xr3:uid="{93DF40E4-0CF2-4901-8C25-E32621B99310}" name="Column5249"/>
    <tableColumn id="5250" xr3:uid="{DAB2ADCF-D026-40B5-AE5A-1049EB281769}" name="Column5250"/>
    <tableColumn id="5251" xr3:uid="{ACFEDC86-BABF-44FE-A503-C44E393DB882}" name="Column5251"/>
    <tableColumn id="5252" xr3:uid="{BB835E1F-ED2A-4220-8958-E2B1B99BB1C6}" name="Column5252"/>
    <tableColumn id="5253" xr3:uid="{884F09A0-AE98-4DE3-8F2E-51C68C15ADCD}" name="Column5253"/>
    <tableColumn id="5254" xr3:uid="{EBEE11E7-E0B5-4F99-B9E9-E792CF370F92}" name="Column5254"/>
    <tableColumn id="5255" xr3:uid="{5FC93FF8-864A-4685-80F4-4BD4A15EAAFC}" name="Column5255"/>
    <tableColumn id="5256" xr3:uid="{5734D799-703E-4B0F-A7E9-33C4BB164AAB}" name="Column5256"/>
    <tableColumn id="5257" xr3:uid="{AC637083-A074-426A-A231-E5E9DE4CEFC3}" name="Column5257"/>
    <tableColumn id="5258" xr3:uid="{189A0490-8CA9-4008-9CC3-D31B1F7893F5}" name="Column5258"/>
    <tableColumn id="5259" xr3:uid="{93DA2AAE-9F28-4007-B86A-A00A0AABC353}" name="Column5259"/>
    <tableColumn id="5260" xr3:uid="{8A0C82E3-AA64-41A9-B82B-B48A9385E398}" name="Column5260"/>
    <tableColumn id="5261" xr3:uid="{05970A13-C230-427F-A79C-D6D9C0E8FD8F}" name="Column5261"/>
    <tableColumn id="5262" xr3:uid="{09DE03B4-5B85-48CC-9EBB-C59416B934FC}" name="Column5262"/>
    <tableColumn id="5263" xr3:uid="{865972AA-7FFB-4568-B353-C22E0A597988}" name="Column5263"/>
    <tableColumn id="5264" xr3:uid="{6277823F-949C-461E-9031-C682E515DD60}" name="Column5264"/>
    <tableColumn id="5265" xr3:uid="{5A16B723-5BAE-489F-A872-5AE8451D36EA}" name="Column5265"/>
    <tableColumn id="5266" xr3:uid="{15E607DA-680A-4121-BAA6-7E4769D26F66}" name="Column5266"/>
    <tableColumn id="5267" xr3:uid="{32214D8C-216A-4746-889D-93E39FC90A78}" name="Column5267"/>
    <tableColumn id="5268" xr3:uid="{31B8002D-C86B-4314-8577-16A1FB7BC653}" name="Column5268"/>
    <tableColumn id="5269" xr3:uid="{F43EF1D3-A6FA-4279-8049-5D5717995E45}" name="Column5269"/>
    <tableColumn id="5270" xr3:uid="{55FDCB8F-BCC1-4558-BE45-7BD993FF8B10}" name="Column5270"/>
    <tableColumn id="5271" xr3:uid="{809CA559-8F3E-4A73-9969-D591A018F85D}" name="Column5271"/>
    <tableColumn id="5272" xr3:uid="{26684C39-8904-4F5F-A04A-286425824A9A}" name="Column5272"/>
    <tableColumn id="5273" xr3:uid="{E2775490-A076-48B0-9024-987B5EEF570C}" name="Column5273"/>
    <tableColumn id="5274" xr3:uid="{4DCD79EB-35E2-42B8-BE4C-745523DCB3FE}" name="Column5274"/>
    <tableColumn id="5275" xr3:uid="{9676697E-0A27-40B6-878C-4A8332626AFB}" name="Column5275"/>
    <tableColumn id="5276" xr3:uid="{93A943F5-66EC-4A6D-A62F-E481685104D7}" name="Column5276"/>
    <tableColumn id="5277" xr3:uid="{38B40C6D-B9C7-44E2-BC44-153FEE4637FC}" name="Column5277"/>
    <tableColumn id="5278" xr3:uid="{B588FA02-13B9-4383-A69E-7BB9EABAF47D}" name="Column5278"/>
    <tableColumn id="5279" xr3:uid="{54526277-DA08-46B8-945D-BF6DB0367D1D}" name="Column5279"/>
    <tableColumn id="5280" xr3:uid="{9B96AD0C-1F61-4FEE-9E64-409252080E1C}" name="Column5280"/>
    <tableColumn id="5281" xr3:uid="{88E9E313-C7DF-4419-BC9B-DAE4751E2E96}" name="Column5281"/>
    <tableColumn id="5282" xr3:uid="{210CA29B-C0E1-4955-8A88-AAE9FF5DB975}" name="Column5282"/>
    <tableColumn id="5283" xr3:uid="{A75F0EF0-7669-48B5-A90A-9E869BFD26AF}" name="Column5283"/>
    <tableColumn id="5284" xr3:uid="{A1A1789C-AD5B-48E3-BA67-BFD561A16253}" name="Column5284"/>
    <tableColumn id="5285" xr3:uid="{5BC5FBE4-EEBE-4BF1-9E32-67F258CEBC49}" name="Column5285"/>
    <tableColumn id="5286" xr3:uid="{684589C4-583A-4120-A5EC-1D26B17330FD}" name="Column5286"/>
    <tableColumn id="5287" xr3:uid="{199F70EF-CDF6-44D7-A9E8-D41A55A9F882}" name="Column5287"/>
    <tableColumn id="5288" xr3:uid="{62B567F6-B56A-49D4-A54A-E7F15BF85400}" name="Column5288"/>
    <tableColumn id="5289" xr3:uid="{37757498-F1B4-40A2-AE0A-4CE20697E834}" name="Column5289"/>
    <tableColumn id="5290" xr3:uid="{FB03E194-B2D7-4997-9234-DB8F2F09B4B9}" name="Column5290"/>
    <tableColumn id="5291" xr3:uid="{5FFCF1F0-A460-4BB0-9BE5-DE93CEA75A03}" name="Column5291"/>
    <tableColumn id="5292" xr3:uid="{AE8669ED-B6FA-4602-A8EF-5EAEB3C3606E}" name="Column5292"/>
    <tableColumn id="5293" xr3:uid="{81EEC684-D0F2-4E5A-9EE8-AB1BD5CCF5AF}" name="Column5293"/>
    <tableColumn id="5294" xr3:uid="{5B5D7128-59B4-4BC5-948F-6320AE563BD5}" name="Column5294"/>
    <tableColumn id="5295" xr3:uid="{7CBF5DD0-EEF7-4B96-B67E-D39D4D7B935D}" name="Column5295"/>
    <tableColumn id="5296" xr3:uid="{99AE44C4-A982-478A-9F6F-7F2E1CA7BF30}" name="Column5296"/>
    <tableColumn id="5297" xr3:uid="{B94E6E8C-D233-4FFC-82E5-0F53A234152F}" name="Column5297"/>
    <tableColumn id="5298" xr3:uid="{362519C4-47CB-4C7E-91FF-EF0449F9F398}" name="Column5298"/>
    <tableColumn id="5299" xr3:uid="{57D4DBA4-D99C-41DB-9D4D-43716F91F7AF}" name="Column5299"/>
    <tableColumn id="5300" xr3:uid="{D15C45B5-24B6-4E5F-8603-84D0CA5CD4F8}" name="Column5300"/>
    <tableColumn id="5301" xr3:uid="{F6E3A4D1-D070-4DEB-848A-DC0A34134F82}" name="Column5301"/>
    <tableColumn id="5302" xr3:uid="{9FF73F0A-C44F-4DEF-95B5-1EF34D48CB96}" name="Column5302"/>
    <tableColumn id="5303" xr3:uid="{7C1FDE15-1B34-4D1F-8854-C7560F4D9659}" name="Column5303"/>
    <tableColumn id="5304" xr3:uid="{7AF2F9F1-65BB-44CA-80F0-1B8C37EE7AB9}" name="Column5304"/>
    <tableColumn id="5305" xr3:uid="{76E89172-5DA3-484C-A274-AA82FE1D45A3}" name="Column5305"/>
    <tableColumn id="5306" xr3:uid="{D1F800F7-8A03-48AF-BE43-13375DF350F2}" name="Column5306"/>
    <tableColumn id="5307" xr3:uid="{1C7E0CF3-AA28-49EA-B2C0-866269269E14}" name="Column5307"/>
    <tableColumn id="5308" xr3:uid="{33CE8C22-DA70-4ED2-8BEE-A2467BA721A7}" name="Column5308"/>
    <tableColumn id="5309" xr3:uid="{CBE317AE-F4F7-40B5-8DC1-5CB61848115D}" name="Column5309"/>
    <tableColumn id="5310" xr3:uid="{936A2F72-6503-4891-9F23-562A4DAC686A}" name="Column5310"/>
    <tableColumn id="5311" xr3:uid="{A2A76DE7-CE23-4875-A766-9FA7D4922E7A}" name="Column5311"/>
    <tableColumn id="5312" xr3:uid="{1642F0CA-84C7-4162-8338-A99C097BFA89}" name="Column5312"/>
    <tableColumn id="5313" xr3:uid="{AC39BBB3-B8C2-4730-91A0-4C9BEF3F1067}" name="Column5313"/>
    <tableColumn id="5314" xr3:uid="{CFA6F26B-6727-459C-BDDA-BC470625AF40}" name="Column5314"/>
    <tableColumn id="5315" xr3:uid="{CC8580EA-73B4-402F-B712-02B9AD3DDC15}" name="Column5315"/>
    <tableColumn id="5316" xr3:uid="{9A0B297D-CDEC-4E30-9987-8E30FA242276}" name="Column5316"/>
    <tableColumn id="5317" xr3:uid="{5ADA5C02-0B1E-49B1-990C-2570C27639BE}" name="Column5317"/>
    <tableColumn id="5318" xr3:uid="{EA665F38-54FA-455E-A508-0D23D2BB8125}" name="Column5318"/>
    <tableColumn id="5319" xr3:uid="{779B2B19-C17D-471D-845F-67F6BD42714C}" name="Column5319"/>
    <tableColumn id="5320" xr3:uid="{6D890C15-9F6F-466B-8FFE-38329807B157}" name="Column5320"/>
    <tableColumn id="5321" xr3:uid="{3F23E3FE-4730-4CC6-B520-06062752F61C}" name="Column5321"/>
    <tableColumn id="5322" xr3:uid="{DC6CBB27-AA47-4637-9E62-49E551FB432A}" name="Column5322"/>
    <tableColumn id="5323" xr3:uid="{D8804501-4FE7-4DD4-BDDD-E50A0AF089CF}" name="Column5323"/>
    <tableColumn id="5324" xr3:uid="{941EB525-DD6F-4AA2-BC00-5271AC8B7DC0}" name="Column5324"/>
    <tableColumn id="5325" xr3:uid="{E7C91D10-6C59-4BF5-9A10-8D83EEDD70C2}" name="Column5325"/>
    <tableColumn id="5326" xr3:uid="{AD51E771-001F-43D9-8D90-F83C2AE3EAC3}" name="Column5326"/>
    <tableColumn id="5327" xr3:uid="{A39DA823-34EA-477A-9CE8-94C7D6B1C7F4}" name="Column5327"/>
    <tableColumn id="5328" xr3:uid="{DACB9812-E318-4912-9949-2CB457A1B8D7}" name="Column5328"/>
    <tableColumn id="5329" xr3:uid="{8047526C-975D-49A0-BA1A-FEA23C5B0EB5}" name="Column5329"/>
    <tableColumn id="5330" xr3:uid="{9BDD7021-5234-4BEC-B3D0-9DCCD875E264}" name="Column5330"/>
    <tableColumn id="5331" xr3:uid="{B503CB4D-5FD1-486A-BC0F-EBA5D292D2EF}" name="Column5331"/>
    <tableColumn id="5332" xr3:uid="{F0864384-8654-4C45-A0F0-6C6B934E9DFD}" name="Column5332"/>
    <tableColumn id="5333" xr3:uid="{067975F6-6881-4B23-A293-B3DEEB783671}" name="Column5333"/>
    <tableColumn id="5334" xr3:uid="{595EF150-AA71-4E84-B384-C7D81F9D5042}" name="Column5334"/>
    <tableColumn id="5335" xr3:uid="{AA07B79F-487F-4ADA-8AA9-1B72B84C696E}" name="Column5335"/>
    <tableColumn id="5336" xr3:uid="{B0C7D211-72D1-46C6-A11E-D7A42F8CA897}" name="Column5336"/>
    <tableColumn id="5337" xr3:uid="{2135D51E-4E00-4B8B-AB65-774E4EBB5006}" name="Column5337"/>
    <tableColumn id="5338" xr3:uid="{0554CD63-3317-458B-A28C-C46B734AC3B0}" name="Column5338"/>
    <tableColumn id="5339" xr3:uid="{7B8556C4-2F12-40F3-B8EF-45C1D94C0805}" name="Column5339"/>
    <tableColumn id="5340" xr3:uid="{5AB43F5C-F19E-45C9-A0BB-79C32AAE8697}" name="Column5340"/>
    <tableColumn id="5341" xr3:uid="{33F69F39-E170-4399-A345-B9D6695DDF98}" name="Column5341"/>
    <tableColumn id="5342" xr3:uid="{77FF019C-F144-44DE-818B-2E41A7911299}" name="Column5342"/>
    <tableColumn id="5343" xr3:uid="{CC82E14F-BAFF-4AFA-8161-E5CA7DA99B46}" name="Column5343"/>
    <tableColumn id="5344" xr3:uid="{748118C5-6B93-4FEE-9F80-EA3406E032F1}" name="Column5344"/>
    <tableColumn id="5345" xr3:uid="{5EF67B4E-A38B-4F4E-B01A-BEC2A9C68696}" name="Column5345"/>
    <tableColumn id="5346" xr3:uid="{7186229B-8C59-41E0-8756-9138F0DAC8D8}" name="Column5346"/>
    <tableColumn id="5347" xr3:uid="{986E42D0-C96B-42B9-AE69-3450017A7F70}" name="Column5347"/>
    <tableColumn id="5348" xr3:uid="{8EB70209-E5A5-4BD5-911B-91B791DCDE6A}" name="Column5348"/>
    <tableColumn id="5349" xr3:uid="{B006EEE0-67E7-402A-BD06-44D4B172E726}" name="Column5349"/>
    <tableColumn id="5350" xr3:uid="{867F1DA6-E16C-4C47-87E1-0A7B026B6668}" name="Column5350"/>
    <tableColumn id="5351" xr3:uid="{295F769E-9293-45EE-B90C-905F865882C4}" name="Column5351"/>
    <tableColumn id="5352" xr3:uid="{B8C99AC5-18DB-42CE-8A66-70E37D5EF33C}" name="Column5352"/>
    <tableColumn id="5353" xr3:uid="{F9FF4E4A-7F7D-4C50-BD3E-5771E909AFFA}" name="Column5353"/>
    <tableColumn id="5354" xr3:uid="{417D0D2D-D96F-4341-B6E6-8D5CE3D70EAF}" name="Column5354"/>
    <tableColumn id="5355" xr3:uid="{CE3B195C-62DE-4066-BA8F-5E490FB78A51}" name="Column5355"/>
    <tableColumn id="5356" xr3:uid="{D49F69DA-6FFC-4132-B415-4D488D79DAC7}" name="Column5356"/>
    <tableColumn id="5357" xr3:uid="{75E369C3-4774-4351-B932-577C3AC1D378}" name="Column5357"/>
    <tableColumn id="5358" xr3:uid="{6433FD98-9B4E-45EA-9CA0-DB38E9B08154}" name="Column5358"/>
    <tableColumn id="5359" xr3:uid="{62D0EBC0-BCD7-412E-B694-EA72A5662321}" name="Column5359"/>
    <tableColumn id="5360" xr3:uid="{37122918-DFA7-4313-A767-0CA5688B3A59}" name="Column5360"/>
    <tableColumn id="5361" xr3:uid="{2EA3E44A-5AB6-427F-AAED-851F47F797A8}" name="Column5361"/>
    <tableColumn id="5362" xr3:uid="{2CE1FBD8-D2AB-41FE-9539-8A89E22EF1F4}" name="Column5362"/>
    <tableColumn id="5363" xr3:uid="{BA4CCD70-26FE-4085-8FB4-61DAC38675EB}" name="Column5363"/>
    <tableColumn id="5364" xr3:uid="{D1CB52A1-1F07-4D6B-A7DE-0C313A7CD811}" name="Column5364"/>
    <tableColumn id="5365" xr3:uid="{F1DC3C20-3C51-4156-B9A8-A588A1745DC2}" name="Column5365"/>
    <tableColumn id="5366" xr3:uid="{B5E7FF96-EAC4-4D74-A502-190C17488026}" name="Column5366"/>
    <tableColumn id="5367" xr3:uid="{DF93B7F3-CA56-41F1-B1D6-F4002EE47842}" name="Column5367"/>
    <tableColumn id="5368" xr3:uid="{133C3844-9286-42C2-A72F-BB76D001316E}" name="Column5368"/>
    <tableColumn id="5369" xr3:uid="{AD371626-DAC1-46AB-9BA0-79494B6F7099}" name="Column5369"/>
    <tableColumn id="5370" xr3:uid="{78E51A05-7A07-4C68-9A91-A78831C27A1D}" name="Column5370"/>
    <tableColumn id="5371" xr3:uid="{23945D00-1850-41B5-9264-479E06687271}" name="Column5371"/>
    <tableColumn id="5372" xr3:uid="{DB0BC9F3-37A8-4BEC-A8C9-11EDEC132B78}" name="Column5372"/>
    <tableColumn id="5373" xr3:uid="{F2890A7B-F0A5-470D-90E4-D9E6024C14B4}" name="Column5373"/>
    <tableColumn id="5374" xr3:uid="{3F4FFFE0-9096-42AF-AA93-5B899112C02D}" name="Column5374"/>
    <tableColumn id="5375" xr3:uid="{17CC7FFD-A394-4FBD-BD3F-397063EAF0EB}" name="Column5375"/>
    <tableColumn id="5376" xr3:uid="{B2641252-D6FA-4D4D-8618-C8D13C3EB3E6}" name="Column5376"/>
    <tableColumn id="5377" xr3:uid="{A0A92C24-B92C-47B6-9681-C0CFCDB7F43E}" name="Column5377"/>
    <tableColumn id="5378" xr3:uid="{66591E86-D823-4136-BB7F-F2E9A258C56D}" name="Column5378"/>
    <tableColumn id="5379" xr3:uid="{6824339C-C62C-4D5D-9E45-E72C46872D32}" name="Column5379"/>
    <tableColumn id="5380" xr3:uid="{57070C82-27B8-4536-994E-8438A1D7DE40}" name="Column5380"/>
    <tableColumn id="5381" xr3:uid="{45589323-6497-4CE1-9B98-ACE58C65DE8F}" name="Column5381"/>
    <tableColumn id="5382" xr3:uid="{D245F263-8877-4B2C-95F2-F6C95267E3B6}" name="Column5382"/>
    <tableColumn id="5383" xr3:uid="{A8986BC3-F8C3-4533-856B-4A0DA2480D34}" name="Column5383"/>
    <tableColumn id="5384" xr3:uid="{65B0E19A-CACB-4E76-AF54-C57497437817}" name="Column5384"/>
    <tableColumn id="5385" xr3:uid="{F8EE6715-3772-4136-ABB6-1ADAF46D2F2D}" name="Column5385"/>
    <tableColumn id="5386" xr3:uid="{B04CABD5-8849-4D07-A468-C31428E781E2}" name="Column5386"/>
    <tableColumn id="5387" xr3:uid="{97FC2A65-6156-426E-8469-1DA4EAFE1CEC}" name="Column5387"/>
    <tableColumn id="5388" xr3:uid="{32F2B50D-550D-4777-8013-CF6699E63671}" name="Column5388"/>
    <tableColumn id="5389" xr3:uid="{5CEE241A-9B20-47C1-A243-C1AD242604E8}" name="Column5389"/>
    <tableColumn id="5390" xr3:uid="{F05F0F8E-FD92-45A1-83F3-E3A05C0EA52E}" name="Column5390"/>
    <tableColumn id="5391" xr3:uid="{1CE653E6-A0A4-4FFA-B218-140F97A348D4}" name="Column5391"/>
    <tableColumn id="5392" xr3:uid="{800D6A09-DBDA-4DBB-9992-9F761F6BC45C}" name="Column5392"/>
    <tableColumn id="5393" xr3:uid="{8A54C334-663F-4703-B806-9456E3555268}" name="Column5393"/>
    <tableColumn id="5394" xr3:uid="{4CC050EC-CA38-42EA-BB7A-3BA81EC71547}" name="Column5394"/>
    <tableColumn id="5395" xr3:uid="{5047F21C-B97A-445A-841D-9C4FD5A4C014}" name="Column5395"/>
    <tableColumn id="5396" xr3:uid="{6CB314FE-604B-450E-BDD1-A91D9BECE3A1}" name="Column5396"/>
    <tableColumn id="5397" xr3:uid="{2EAB7F8B-E1D5-457B-A160-94F30902CB12}" name="Column5397"/>
    <tableColumn id="5398" xr3:uid="{3291A187-5E8E-43AB-8401-F26C373FABF9}" name="Column5398"/>
    <tableColumn id="5399" xr3:uid="{F3AFDEE8-DE46-4529-ABD1-C04DE6A957AC}" name="Column5399"/>
    <tableColumn id="5400" xr3:uid="{136F7D94-8F0A-4C55-BBAB-30A0590A1EB1}" name="Column5400"/>
    <tableColumn id="5401" xr3:uid="{EC79B3B5-824B-4D34-AD40-5299BEF693CE}" name="Column5401"/>
    <tableColumn id="5402" xr3:uid="{C82B25F7-D70B-447A-9921-C345F65D889F}" name="Column5402"/>
    <tableColumn id="5403" xr3:uid="{7D23722B-FC38-486F-8AFE-F40F7521181A}" name="Column5403"/>
    <tableColumn id="5404" xr3:uid="{BB16BA4D-2E0C-438A-821D-1A0D264389D5}" name="Column5404"/>
    <tableColumn id="5405" xr3:uid="{DBB76AFC-879D-4A3C-86DA-4F371F733751}" name="Column5405"/>
    <tableColumn id="5406" xr3:uid="{03A09095-5577-4BC6-A644-13323B249D17}" name="Column5406"/>
    <tableColumn id="5407" xr3:uid="{B63D8C1B-3A84-4744-BE49-2B831A159F2F}" name="Column5407"/>
    <tableColumn id="5408" xr3:uid="{B82E5D01-B1E6-4079-BEAA-3CCD43B58615}" name="Column5408"/>
    <tableColumn id="5409" xr3:uid="{C8989733-F56C-4E7F-90C4-95BF7C871ADD}" name="Column5409"/>
    <tableColumn id="5410" xr3:uid="{33FF1719-5AF9-4E3C-AD84-B839164D9FA4}" name="Column5410"/>
    <tableColumn id="5411" xr3:uid="{DEBDEEC3-F593-42E2-B02C-D81454282831}" name="Column5411"/>
    <tableColumn id="5412" xr3:uid="{7862BEF2-E67A-436C-8181-67E2770E9D36}" name="Column5412"/>
    <tableColumn id="5413" xr3:uid="{4FA1248E-B28A-4AE0-89A3-AA4463A22FF8}" name="Column5413"/>
    <tableColumn id="5414" xr3:uid="{A363B22A-C124-43A8-AC36-2FA3948BA9F1}" name="Column5414"/>
    <tableColumn id="5415" xr3:uid="{5ABCDB5D-76E8-4D07-A0D8-3103857CF3C4}" name="Column5415"/>
    <tableColumn id="5416" xr3:uid="{F17DF6A9-5CEB-48D5-BD1B-E1363FA6CC46}" name="Column5416"/>
    <tableColumn id="5417" xr3:uid="{ED8C197A-8FD3-49B0-92C4-DD2D482D08F3}" name="Column5417"/>
    <tableColumn id="5418" xr3:uid="{BE7D682A-3A0F-4EBD-AED5-3884CC83D66B}" name="Column5418"/>
    <tableColumn id="5419" xr3:uid="{573CBF2F-FADE-4DC7-A869-9DF1687496C3}" name="Column5419"/>
    <tableColumn id="5420" xr3:uid="{DB738516-03C1-4B1E-8AA7-B495EFDE3E34}" name="Column5420"/>
    <tableColumn id="5421" xr3:uid="{2AF217FF-3810-46C3-82F9-3BBF58B27C9C}" name="Column5421"/>
    <tableColumn id="5422" xr3:uid="{DACE4007-DD9D-43B2-B618-DD5B91842D47}" name="Column5422"/>
    <tableColumn id="5423" xr3:uid="{EAE60881-E1E1-4B67-9FFB-2C0AA645C4D1}" name="Column5423"/>
    <tableColumn id="5424" xr3:uid="{03020C3C-A043-49EC-8B74-FCC8D75254CC}" name="Column5424"/>
    <tableColumn id="5425" xr3:uid="{D6F332A8-22E5-41F3-A2E1-1F1B1575A919}" name="Column5425"/>
    <tableColumn id="5426" xr3:uid="{85C210EA-090C-4F24-A56D-2A394BA8DCA6}" name="Column5426"/>
    <tableColumn id="5427" xr3:uid="{66C8442D-1DDC-4610-8F41-81DC2239712E}" name="Column5427"/>
    <tableColumn id="5428" xr3:uid="{C391361E-09F6-4B3B-9BF0-86F394945DF9}" name="Column5428"/>
    <tableColumn id="5429" xr3:uid="{05AF6EA6-A109-4BBB-BFE8-2468D2174B43}" name="Column5429"/>
    <tableColumn id="5430" xr3:uid="{27993994-DCEE-4E24-A4D8-1032AD82C94F}" name="Column5430"/>
    <tableColumn id="5431" xr3:uid="{B299C4B6-8FE8-480D-AD42-36AA07D2D37B}" name="Column5431"/>
    <tableColumn id="5432" xr3:uid="{7F746FE5-DDE6-4A07-AC24-82519FEAD5F2}" name="Column5432"/>
    <tableColumn id="5433" xr3:uid="{FA634EC2-3A7F-4A46-80BB-E663B30D349C}" name="Column5433"/>
    <tableColumn id="5434" xr3:uid="{F2201510-DB30-474D-A161-00AD47FA30DC}" name="Column5434"/>
    <tableColumn id="5435" xr3:uid="{ADD88FD1-1414-4B6A-AE5D-3C9190ABBC27}" name="Column5435"/>
    <tableColumn id="5436" xr3:uid="{547D544D-04A4-48C7-A41C-EEE5E04E8CAE}" name="Column5436"/>
    <tableColumn id="5437" xr3:uid="{CD047A53-D743-4ECC-82A3-7D8B1CC29F3B}" name="Column5437"/>
    <tableColumn id="5438" xr3:uid="{1E8D7810-5BAA-41C3-9A4F-D8EE61FD2803}" name="Column5438"/>
    <tableColumn id="5439" xr3:uid="{836426DC-3E5F-4F16-91BE-6A004425CC80}" name="Column5439"/>
    <tableColumn id="5440" xr3:uid="{AF9DD240-1F55-4205-8C17-C31FF5281FFA}" name="Column5440"/>
    <tableColumn id="5441" xr3:uid="{1156E659-2F62-47F1-8824-1FC34AC3C09C}" name="Column5441"/>
    <tableColumn id="5442" xr3:uid="{9E2945F5-2718-4CBF-8B5C-02B7285C6F24}" name="Column5442"/>
    <tableColumn id="5443" xr3:uid="{4FED4677-FC8B-4159-B067-44399CFBB9C8}" name="Column5443"/>
    <tableColumn id="5444" xr3:uid="{EC3FADB2-A718-4783-8E60-268F329A9453}" name="Column5444"/>
    <tableColumn id="5445" xr3:uid="{304DB6C6-6D9A-4B48-BE28-48A1E281C8C2}" name="Column5445"/>
    <tableColumn id="5446" xr3:uid="{23112BCF-7A2C-4135-BD89-01E849D79F68}" name="Column5446"/>
    <tableColumn id="5447" xr3:uid="{B9FD1AA1-05BC-44DF-98FE-6FEC9B612568}" name="Column5447"/>
    <tableColumn id="5448" xr3:uid="{665D5185-1A93-44F1-82FC-BE99F97FBBBF}" name="Column5448"/>
    <tableColumn id="5449" xr3:uid="{B811992D-E402-4044-AED6-E0BE0E595D76}" name="Column5449"/>
    <tableColumn id="5450" xr3:uid="{D7AA37EE-318E-4132-A20C-19E1834980AD}" name="Column5450"/>
    <tableColumn id="5451" xr3:uid="{B7FA0849-6A61-48E0-92D8-ED4C509816BF}" name="Column5451"/>
    <tableColumn id="5452" xr3:uid="{AF023226-B388-4AA6-91D5-8F0890AA727C}" name="Column5452"/>
    <tableColumn id="5453" xr3:uid="{C661B6FC-9F67-40D2-9E9C-65746CBC58F1}" name="Column5453"/>
    <tableColumn id="5454" xr3:uid="{4836CFD1-B2E2-488A-9409-C8CAECD6B4B7}" name="Column5454"/>
    <tableColumn id="5455" xr3:uid="{8271F0B3-D885-4624-8FD4-5DE46C6E289A}" name="Column5455"/>
    <tableColumn id="5456" xr3:uid="{CF6EA9C0-B014-4BB3-A9A6-26DABCE715B3}" name="Column5456"/>
    <tableColumn id="5457" xr3:uid="{4DD2846B-64F6-4B0B-B907-CE88EEF35CD6}" name="Column5457"/>
    <tableColumn id="5458" xr3:uid="{467CE25E-E620-4AEB-971F-AD2DE49B58B8}" name="Column5458"/>
    <tableColumn id="5459" xr3:uid="{D25E7862-6A62-4352-B444-02808BDD4228}" name="Column5459"/>
    <tableColumn id="5460" xr3:uid="{D3BDF0E4-3D57-433C-BD40-8EDCD688C54B}" name="Column5460"/>
    <tableColumn id="5461" xr3:uid="{161463B7-A142-4D63-90FA-CFA6FEE87F71}" name="Column5461"/>
    <tableColumn id="5462" xr3:uid="{48F20B06-A682-46B7-8A48-5D24D6C3A1F2}" name="Column5462"/>
    <tableColumn id="5463" xr3:uid="{865D1F65-6247-40EB-B46B-AE43E036C0CB}" name="Column5463"/>
    <tableColumn id="5464" xr3:uid="{C1F2D383-ABA6-479B-967D-18B9108F8271}" name="Column5464"/>
    <tableColumn id="5465" xr3:uid="{73C7C3E2-A038-49E1-ADA7-05AF83F6C6A2}" name="Column5465"/>
    <tableColumn id="5466" xr3:uid="{22C31E06-F40F-4FDE-A51D-8A3539034236}" name="Column5466"/>
    <tableColumn id="5467" xr3:uid="{F5512583-1082-4DB8-806B-6D3045A6F800}" name="Column5467"/>
    <tableColumn id="5468" xr3:uid="{8204662D-F340-48BD-91D6-69F4D1D20D7B}" name="Column5468"/>
    <tableColumn id="5469" xr3:uid="{FF86FC98-0DA2-43D6-B5AD-8EDE1242E217}" name="Column5469"/>
    <tableColumn id="5470" xr3:uid="{213639E3-E414-4764-A488-7B454CA06B2D}" name="Column5470"/>
    <tableColumn id="5471" xr3:uid="{E9DC9B03-502F-4BA1-B26C-DCE61606D46D}" name="Column5471"/>
    <tableColumn id="5472" xr3:uid="{C4AEB24E-7EBA-465B-A277-25C8D9B6B259}" name="Column5472"/>
    <tableColumn id="5473" xr3:uid="{7D3A0FFB-B805-4A41-82CB-36974A0206D7}" name="Column5473"/>
    <tableColumn id="5474" xr3:uid="{62B17163-60EE-426F-8C15-95AF7FB4D529}" name="Column5474"/>
    <tableColumn id="5475" xr3:uid="{BA611C45-9029-4EE7-BE1A-C77FDB2F53E2}" name="Column5475"/>
    <tableColumn id="5476" xr3:uid="{89E4DFB9-8826-4FB8-B8AA-E8B66A3B5E5F}" name="Column5476"/>
    <tableColumn id="5477" xr3:uid="{9911FCA0-E3EA-4651-AC98-9B72AC197526}" name="Column5477"/>
    <tableColumn id="5478" xr3:uid="{33DEDB05-B5CB-42AB-82BA-EFA780CD32A4}" name="Column5478"/>
    <tableColumn id="5479" xr3:uid="{EC95DB70-171D-4048-B10C-965A2880FD72}" name="Column5479"/>
    <tableColumn id="5480" xr3:uid="{342B9A48-99D6-42A3-96AE-057708623724}" name="Column5480"/>
    <tableColumn id="5481" xr3:uid="{55A258E2-9E58-4704-94E2-3FB75DD77404}" name="Column5481"/>
    <tableColumn id="5482" xr3:uid="{6C36A9C4-475E-4895-AE72-9D1CBEBEB917}" name="Column5482"/>
    <tableColumn id="5483" xr3:uid="{F5394351-240B-4345-B40D-D317EEE2F0F1}" name="Column5483"/>
    <tableColumn id="5484" xr3:uid="{48FF0559-F797-4489-8305-E0921E9A4A97}" name="Column5484"/>
    <tableColumn id="5485" xr3:uid="{9D07B427-58B9-4D71-B327-EC49A3CCE53A}" name="Column5485"/>
    <tableColumn id="5486" xr3:uid="{4CBD646E-CF5B-4F80-840C-4A2AF4E43E95}" name="Column5486"/>
    <tableColumn id="5487" xr3:uid="{D8FE3525-ED33-459D-89D1-424244CEDB1E}" name="Column5487"/>
    <tableColumn id="5488" xr3:uid="{13D6092E-32C2-4D3A-9450-A9FF84990633}" name="Column5488"/>
    <tableColumn id="5489" xr3:uid="{12E6F716-AF77-40F8-9EDD-580D0A60345A}" name="Column5489"/>
    <tableColumn id="5490" xr3:uid="{EC43B551-C2CF-4886-B469-E76ADF1D0340}" name="Column5490"/>
    <tableColumn id="5491" xr3:uid="{D309115E-6184-4191-B851-5443706B8BEE}" name="Column5491"/>
    <tableColumn id="5492" xr3:uid="{722ED618-B241-4C22-9983-7AE01831EA80}" name="Column5492"/>
    <tableColumn id="5493" xr3:uid="{CB3690D8-963A-4378-88DF-52D90CE5E510}" name="Column5493"/>
    <tableColumn id="5494" xr3:uid="{D67D5FA8-8DD7-44F2-94D3-4658DAC2DD96}" name="Column5494"/>
    <tableColumn id="5495" xr3:uid="{4F1D0814-CBC9-404B-86B3-C71D9E5D7481}" name="Column5495"/>
    <tableColumn id="5496" xr3:uid="{7D690FC4-0AB4-469D-AFC5-B5021C386090}" name="Column5496"/>
    <tableColumn id="5497" xr3:uid="{B7934696-1928-4A71-90D9-E67436A5D1FC}" name="Column5497"/>
    <tableColumn id="5498" xr3:uid="{AE211E08-9ECC-4101-98A6-6F18EFC0659F}" name="Column5498"/>
    <tableColumn id="5499" xr3:uid="{CE63E4DE-BC9D-46FC-A2E1-13B572F97F37}" name="Column5499"/>
    <tableColumn id="5500" xr3:uid="{31B8B6C8-FFAE-4A06-83CE-216E3535B49D}" name="Column5500"/>
    <tableColumn id="5501" xr3:uid="{5FE51253-A564-4A49-B9CE-5348B5821AED}" name="Column5501"/>
    <tableColumn id="5502" xr3:uid="{CF1DFB73-C319-447E-A1B6-2D2C03463B08}" name="Column5502"/>
    <tableColumn id="5503" xr3:uid="{75A0F919-6602-4532-8FD9-A064A57D5227}" name="Column5503"/>
    <tableColumn id="5504" xr3:uid="{65E5EB01-B8CE-44E2-8A6F-AEABB2D9032A}" name="Column5504"/>
    <tableColumn id="5505" xr3:uid="{B276CAAC-B429-4F7D-B982-87D5A5D3183F}" name="Column5505"/>
    <tableColumn id="5506" xr3:uid="{73B43C32-57EA-44EC-B8EF-1737EA2202CB}" name="Column5506"/>
    <tableColumn id="5507" xr3:uid="{C127570D-0D48-4A44-A1DE-B706ABE7F11C}" name="Column5507"/>
    <tableColumn id="5508" xr3:uid="{E7830CF0-021C-4FC7-A385-8B584710589F}" name="Column5508"/>
    <tableColumn id="5509" xr3:uid="{5DBDB4B3-203D-4D54-BD3E-F4DC6F4860D1}" name="Column5509"/>
    <tableColumn id="5510" xr3:uid="{E1DEA098-6FDC-4D50-92EA-92EAC49F95D7}" name="Column5510"/>
    <tableColumn id="5511" xr3:uid="{31C3FC21-7CE9-4D46-A2CA-B7CE87251065}" name="Column5511"/>
    <tableColumn id="5512" xr3:uid="{3E4E3D7D-A171-4F28-8516-1C536A373E9C}" name="Column5512"/>
    <tableColumn id="5513" xr3:uid="{73CCCB68-9BD0-4485-9E94-C227D4FD9A0C}" name="Column5513"/>
    <tableColumn id="5514" xr3:uid="{468E112D-67E6-467C-814B-F207ED31D1F4}" name="Column5514"/>
    <tableColumn id="5515" xr3:uid="{2EDA6046-E0C7-45D0-9050-3A4DC3EF63BA}" name="Column5515"/>
    <tableColumn id="5516" xr3:uid="{0B569833-F0B1-47D7-9416-ADA20E494550}" name="Column5516"/>
    <tableColumn id="5517" xr3:uid="{864B0048-B766-451F-BF18-4E2BE5FACCB0}" name="Column5517"/>
    <tableColumn id="5518" xr3:uid="{4E1EEC5E-9BA6-472C-8923-4C88E6BD6153}" name="Column5518"/>
    <tableColumn id="5519" xr3:uid="{F8B11EFC-DE57-4EA8-9910-6B9FDE586AFF}" name="Column5519"/>
    <tableColumn id="5520" xr3:uid="{0DBF85C6-207F-41A2-8433-7561280F0F43}" name="Column5520"/>
    <tableColumn id="5521" xr3:uid="{094FF03E-1CB7-4EC0-8DAB-01E222DE1130}" name="Column5521"/>
    <tableColumn id="5522" xr3:uid="{D521ED21-CBC9-4108-AA8B-DE4806C5B2C1}" name="Column5522"/>
    <tableColumn id="5523" xr3:uid="{86E7D972-D790-497C-B282-CD441F049656}" name="Column5523"/>
    <tableColumn id="5524" xr3:uid="{85425AB3-69B4-4E6C-8AAC-578E395ABAE7}" name="Column5524"/>
    <tableColumn id="5525" xr3:uid="{F59F8128-4BF6-4301-AAD9-A20C6B65FF16}" name="Column5525"/>
    <tableColumn id="5526" xr3:uid="{855D4198-B10A-4D06-9D47-2A1F974123B3}" name="Column5526"/>
    <tableColumn id="5527" xr3:uid="{DA3AFD76-C3AF-4257-A2BB-73C762A03539}" name="Column5527"/>
    <tableColumn id="5528" xr3:uid="{D5B891BA-0D4A-46C8-9FF0-188A9FE52CAA}" name="Column5528"/>
    <tableColumn id="5529" xr3:uid="{48B267A0-AA47-4356-AD60-A8E25BA0B845}" name="Column5529"/>
    <tableColumn id="5530" xr3:uid="{7F57CF3D-A648-41E7-889B-9638C3ADC149}" name="Column5530"/>
    <tableColumn id="5531" xr3:uid="{67BD8414-5676-4587-AA86-99BDA8CDF84B}" name="Column5531"/>
    <tableColumn id="5532" xr3:uid="{6FF9690C-CF28-479B-BFC5-3A71DB97B43D}" name="Column5532"/>
    <tableColumn id="5533" xr3:uid="{0E64DA78-CF5B-4FAA-B4A8-6E6A9B80B20C}" name="Column5533"/>
    <tableColumn id="5534" xr3:uid="{002915A9-402A-47F0-B312-0E8BD08A5013}" name="Column5534"/>
    <tableColumn id="5535" xr3:uid="{EA9F9A8D-B8E8-4807-837D-D67B33FBD62A}" name="Column5535"/>
    <tableColumn id="5536" xr3:uid="{2675AE6B-E9E6-4519-9E59-A653F3DDEBAE}" name="Column5536"/>
    <tableColumn id="5537" xr3:uid="{4EDCFBF0-5079-4F20-A67C-54F72BE72DF0}" name="Column5537"/>
    <tableColumn id="5538" xr3:uid="{32963BE3-7861-4246-8BF5-C84767790874}" name="Column5538"/>
    <tableColumn id="5539" xr3:uid="{07D29331-075C-4588-AD52-9BBA8C1A7F87}" name="Column5539"/>
    <tableColumn id="5540" xr3:uid="{A9D9E134-FDB7-4519-859B-538C0A31B8BA}" name="Column5540"/>
    <tableColumn id="5541" xr3:uid="{FA4A1C9A-4B07-4164-9407-AC0066ABD23E}" name="Column5541"/>
    <tableColumn id="5542" xr3:uid="{07BED476-E54E-4DFF-8BDE-6F6C850ED893}" name="Column5542"/>
    <tableColumn id="5543" xr3:uid="{3D94371D-703D-4E58-A49F-927EAD2E1D0A}" name="Column5543"/>
    <tableColumn id="5544" xr3:uid="{C9440F58-7FEF-4E26-816F-BF0D3090E56E}" name="Column5544"/>
    <tableColumn id="5545" xr3:uid="{0685B439-8695-4B80-8393-84E985E1B495}" name="Column5545"/>
    <tableColumn id="5546" xr3:uid="{C369BE50-97F5-43DD-8791-A45C39D43B9B}" name="Column5546"/>
    <tableColumn id="5547" xr3:uid="{4F5218C8-D8A8-4DF0-A1EC-96D9560BC25F}" name="Column5547"/>
    <tableColumn id="5548" xr3:uid="{42B4DF1A-77F5-4A84-95AD-E8AE2B2BEE2E}" name="Column5548"/>
    <tableColumn id="5549" xr3:uid="{EB47EEB8-E411-49A6-9696-CF9F1F61393A}" name="Column5549"/>
    <tableColumn id="5550" xr3:uid="{2C081ADD-21E5-45F8-B1C1-94BB655108E3}" name="Column5550"/>
    <tableColumn id="5551" xr3:uid="{3825369B-D987-4BC0-BDA7-5B3EECEBF326}" name="Column5551"/>
    <tableColumn id="5552" xr3:uid="{C222F8D3-56B3-49F9-8345-7710DB1A283A}" name="Column5552"/>
    <tableColumn id="5553" xr3:uid="{E62FCD83-7918-4CF5-9293-B65C4C5A8D8C}" name="Column5553"/>
    <tableColumn id="5554" xr3:uid="{699736FC-6F35-4907-97AC-5D9A1825D594}" name="Column5554"/>
    <tableColumn id="5555" xr3:uid="{0F450981-B85C-4281-93CA-3F4896AA2435}" name="Column5555"/>
    <tableColumn id="5556" xr3:uid="{A5ED0518-7052-406D-94E6-4A302D6874E5}" name="Column5556"/>
    <tableColumn id="5557" xr3:uid="{0D74D818-B96D-4AD3-A6BF-0017C4588497}" name="Column5557"/>
    <tableColumn id="5558" xr3:uid="{7EADD2E4-7B9D-4834-8FC5-8B03FE96F5AD}" name="Column5558"/>
    <tableColumn id="5559" xr3:uid="{1CF8147F-D184-4112-8AB4-23245D20CED4}" name="Column5559"/>
    <tableColumn id="5560" xr3:uid="{CBE7BFE2-161B-466A-A439-7D49BB05B9CD}" name="Column5560"/>
    <tableColumn id="5561" xr3:uid="{1AAAECE6-E284-4EE0-BFD9-4294AA1D9B6D}" name="Column5561"/>
    <tableColumn id="5562" xr3:uid="{8F41CF09-28AB-47E7-A391-6657C447E059}" name="Column5562"/>
    <tableColumn id="5563" xr3:uid="{AA5D0A15-0652-4A3D-A9EB-883106191B17}" name="Column5563"/>
    <tableColumn id="5564" xr3:uid="{CAA716C9-B3F1-47FB-8AC1-14F29EACE7C1}" name="Column5564"/>
    <tableColumn id="5565" xr3:uid="{93F0EC6A-8037-47A0-B2A8-35E771163A8A}" name="Column5565"/>
    <tableColumn id="5566" xr3:uid="{756C6F7F-C9F7-43E3-B742-480D31161B91}" name="Column5566"/>
    <tableColumn id="5567" xr3:uid="{1A38714B-AC06-4B10-92D8-A51F6C924FCC}" name="Column5567"/>
    <tableColumn id="5568" xr3:uid="{D3258679-7511-48E7-B6DC-3362429C3562}" name="Column5568"/>
    <tableColumn id="5569" xr3:uid="{1ED204DA-CEF1-47F2-8C45-BE62E8824803}" name="Column5569"/>
    <tableColumn id="5570" xr3:uid="{E9F87F3C-224A-4FE4-ADC1-852E5FC6FDCB}" name="Column5570"/>
    <tableColumn id="5571" xr3:uid="{246D62C3-FFD3-4F3C-9479-588ED15BB358}" name="Column5571"/>
    <tableColumn id="5572" xr3:uid="{A3FE9A04-4679-45D2-A976-65DA9C5E875F}" name="Column5572"/>
    <tableColumn id="5573" xr3:uid="{1E1F6552-EA84-4228-9C8A-51A8023418ED}" name="Column5573"/>
    <tableColumn id="5574" xr3:uid="{D50C15AB-BF5F-4AB8-B15C-87BB84420F29}" name="Column5574"/>
    <tableColumn id="5575" xr3:uid="{165AE63D-E6E0-43EF-A79D-8223FACCD135}" name="Column5575"/>
    <tableColumn id="5576" xr3:uid="{CFD59DD0-4F80-458F-A323-21FA635C450F}" name="Column5576"/>
    <tableColumn id="5577" xr3:uid="{4C302F03-A3FA-4CEF-98FE-0A504E660606}" name="Column5577"/>
    <tableColumn id="5578" xr3:uid="{24FBBB3C-DC72-4340-8BDD-85A176A5ADDE}" name="Column5578"/>
    <tableColumn id="5579" xr3:uid="{E52D8249-8450-42F0-BC16-814205FFBA3F}" name="Column5579"/>
    <tableColumn id="5580" xr3:uid="{C43CC583-6AA6-4B4F-A97E-B741F506F82A}" name="Column5580"/>
    <tableColumn id="5581" xr3:uid="{786D58EC-0727-4E5D-B6EC-0BED03E6DDC8}" name="Column5581"/>
    <tableColumn id="5582" xr3:uid="{90753A92-A86A-4C3D-B2BC-3A296EA936B8}" name="Column5582"/>
    <tableColumn id="5583" xr3:uid="{575790D7-3D6F-4F6B-9EDE-527F1A7C76CB}" name="Column5583"/>
    <tableColumn id="5584" xr3:uid="{8B4C1664-3B7B-4F9B-8BB1-B232371FB5A9}" name="Column5584"/>
    <tableColumn id="5585" xr3:uid="{093EE728-6D40-4181-8726-AC4C03AEC4A2}" name="Column5585"/>
    <tableColumn id="5586" xr3:uid="{0F691C97-CB57-4A0F-912A-7E596B8AAC4E}" name="Column5586"/>
    <tableColumn id="5587" xr3:uid="{3E4A5353-4C88-49FE-B7EB-325AE03020E8}" name="Column5587"/>
    <tableColumn id="5588" xr3:uid="{42D5C12C-B454-4CCF-A2D8-11525EBBB0AE}" name="Column5588"/>
    <tableColumn id="5589" xr3:uid="{F14480C5-3AA3-4162-A81D-B2FE26C24C2B}" name="Column5589"/>
    <tableColumn id="5590" xr3:uid="{F5F40AB0-050C-4D05-AE95-F80C359AB15A}" name="Column5590"/>
    <tableColumn id="5591" xr3:uid="{321F3037-7B1C-4A82-BE44-D9A564101D38}" name="Column5591"/>
    <tableColumn id="5592" xr3:uid="{9C970142-F6A2-4389-A74B-149BF7EED2F8}" name="Column5592"/>
    <tableColumn id="5593" xr3:uid="{B853ED90-6EAE-4CB7-8CB1-84AF3247EAC5}" name="Column5593"/>
    <tableColumn id="5594" xr3:uid="{AEECA05A-01D4-4446-8CDD-24A7E0C4F6FD}" name="Column5594"/>
    <tableColumn id="5595" xr3:uid="{C7BCCB8F-68BB-470A-A294-43CE70AA3819}" name="Column5595"/>
    <tableColumn id="5596" xr3:uid="{CAAE8286-134D-4B03-9299-DE00B164E3F3}" name="Column5596"/>
    <tableColumn id="5597" xr3:uid="{4CC5920A-977E-4D4B-9444-4A4301BA9343}" name="Column5597"/>
    <tableColumn id="5598" xr3:uid="{AA563B30-8085-4611-8897-760E322076D9}" name="Column5598"/>
    <tableColumn id="5599" xr3:uid="{F244F71B-6B02-4211-91C5-9845BEF1F6BA}" name="Column5599"/>
    <tableColumn id="5600" xr3:uid="{AD2A43F7-0E26-4A49-9245-A18BB316209F}" name="Column5600"/>
    <tableColumn id="5601" xr3:uid="{C454AF20-619F-4874-B452-2F7E2ED45234}" name="Column5601"/>
    <tableColumn id="5602" xr3:uid="{7DA91CC4-B3A6-4DD6-AC16-15F00B90A5CC}" name="Column5602"/>
    <tableColumn id="5603" xr3:uid="{AA5CABCA-3D6D-4E6C-A8EF-F7E66B8091DC}" name="Column5603"/>
    <tableColumn id="5604" xr3:uid="{F4974D08-6745-4079-A696-D258A8102E23}" name="Column5604"/>
    <tableColumn id="5605" xr3:uid="{44ACD836-3274-4244-A342-7FBD6DEB1FFF}" name="Column5605"/>
    <tableColumn id="5606" xr3:uid="{4DFBD28A-ECB9-4549-B7BD-565BF24D869B}" name="Column5606"/>
    <tableColumn id="5607" xr3:uid="{CD2D2E09-8B92-4416-A1C9-2DCDDDB50F59}" name="Column5607"/>
    <tableColumn id="5608" xr3:uid="{3EFE1E16-65D5-47A8-A68F-E8AC8E68C448}" name="Column5608"/>
    <tableColumn id="5609" xr3:uid="{EE1E8F4A-50DA-4700-9740-6560B28927E6}" name="Column5609"/>
    <tableColumn id="5610" xr3:uid="{D2CBF5E8-8AC1-4F00-8891-758CFF29EF2B}" name="Column5610"/>
    <tableColumn id="5611" xr3:uid="{F6D78F70-E75E-4290-981B-920F05E11CE0}" name="Column5611"/>
    <tableColumn id="5612" xr3:uid="{AB5503AC-2D92-46F7-A351-6CE0348AB635}" name="Column5612"/>
    <tableColumn id="5613" xr3:uid="{F0FE25F8-4786-4653-BD66-F9E7B5756B3E}" name="Column5613"/>
    <tableColumn id="5614" xr3:uid="{BBDBCBBC-E14F-4E3A-A204-1537FC87286E}" name="Column5614"/>
    <tableColumn id="5615" xr3:uid="{3254DFBB-70AB-4E67-9695-6FCB77063C0B}" name="Column5615"/>
    <tableColumn id="5616" xr3:uid="{242F63BD-A8E9-43E1-A6BB-7DD26F3B912B}" name="Column5616"/>
    <tableColumn id="5617" xr3:uid="{654FC851-9C51-4A99-8873-E21C50B7E399}" name="Column5617"/>
    <tableColumn id="5618" xr3:uid="{6980894A-C3C0-49A5-86EB-34048520579B}" name="Column5618"/>
    <tableColumn id="5619" xr3:uid="{E46D7F8A-0DCF-4FB8-A8A1-3524EC39A2BA}" name="Column5619"/>
    <tableColumn id="5620" xr3:uid="{EF166CE4-714D-44E9-B222-4637E2BB6F11}" name="Column5620"/>
    <tableColumn id="5621" xr3:uid="{0DCC9BFC-F24B-4BB3-92F6-DF96D5EDD0AD}" name="Column5621"/>
    <tableColumn id="5622" xr3:uid="{6D0F28AB-ADEB-4BE8-9AF7-F67A397E5AF2}" name="Column5622"/>
    <tableColumn id="5623" xr3:uid="{EA42E122-06F5-46F6-A435-46C1E2B48575}" name="Column5623"/>
    <tableColumn id="5624" xr3:uid="{20FAD796-4810-4CC9-B5DA-AAC17BC7D66F}" name="Column5624"/>
    <tableColumn id="5625" xr3:uid="{AF37FAAD-FB65-4FB3-9A18-5DF0FDDCA8A6}" name="Column5625"/>
    <tableColumn id="5626" xr3:uid="{010CE73D-50C4-4DFB-89CC-C39FE1A6A236}" name="Column5626"/>
    <tableColumn id="5627" xr3:uid="{4B3B74D7-17C0-4FBC-BD8D-1978C438463A}" name="Column5627"/>
    <tableColumn id="5628" xr3:uid="{8355D48E-8F07-48D6-B0C9-1EC6094F5AE8}" name="Column5628"/>
    <tableColumn id="5629" xr3:uid="{18DB9038-93D9-4BBC-A63D-62C56A2E09CD}" name="Column5629"/>
    <tableColumn id="5630" xr3:uid="{F3EA512E-D777-404B-9A80-72B8EB981131}" name="Column5630"/>
    <tableColumn id="5631" xr3:uid="{2AFA9E3B-3467-4DA1-ADC5-E148503DE22F}" name="Column5631"/>
    <tableColumn id="5632" xr3:uid="{B9396979-42D6-4D9E-8B18-290384C24CB3}" name="Column5632"/>
    <tableColumn id="5633" xr3:uid="{F0D3A7F0-0C00-4248-8907-530D695D0D20}" name="Column5633"/>
    <tableColumn id="5634" xr3:uid="{2F5397C3-F1A3-417A-ACFF-C6FB810E20FE}" name="Column5634"/>
    <tableColumn id="5635" xr3:uid="{39BD0E1A-B0C5-439D-A0AE-B66966079489}" name="Column5635"/>
    <tableColumn id="5636" xr3:uid="{86C44669-EA72-4B15-AA2C-52E1F3C57D41}" name="Column5636"/>
    <tableColumn id="5637" xr3:uid="{226CA331-B218-4403-9A1D-0489E0B82CBD}" name="Column5637"/>
    <tableColumn id="5638" xr3:uid="{9652F559-9EA8-41F1-A3A2-DF62D282627A}" name="Column5638"/>
    <tableColumn id="5639" xr3:uid="{835FFECC-28CB-431B-8DF1-EB46A2640D44}" name="Column5639"/>
    <tableColumn id="5640" xr3:uid="{8C5876AE-6E2C-4E7D-95BE-4C68F7EED98D}" name="Column5640"/>
    <tableColumn id="5641" xr3:uid="{6C650A4D-6E7D-492B-B2BF-06C047121DF8}" name="Column5641"/>
    <tableColumn id="5642" xr3:uid="{732E4F39-A0CE-4ADC-B70F-70AD2D637F9C}" name="Column5642"/>
    <tableColumn id="5643" xr3:uid="{71642CB1-4A67-4656-8F5F-E986FE2D79F7}" name="Column5643"/>
    <tableColumn id="5644" xr3:uid="{A355D56E-D08D-40C1-8799-A5F32D2CE97B}" name="Column5644"/>
    <tableColumn id="5645" xr3:uid="{265CD2D1-09B5-442D-837A-12696DB79C18}" name="Column5645"/>
    <tableColumn id="5646" xr3:uid="{B199ACD7-2E8D-4021-9A9A-BDEBF5FC49F0}" name="Column5646"/>
    <tableColumn id="5647" xr3:uid="{320D9E31-2EE9-4B4F-8807-67609A9F3636}" name="Column5647"/>
    <tableColumn id="5648" xr3:uid="{A2148C1F-418F-4C42-9F29-B36D44ADE269}" name="Column5648"/>
    <tableColumn id="5649" xr3:uid="{E5CC88E0-3864-4BE8-8B17-D30BD35925A3}" name="Column5649"/>
    <tableColumn id="5650" xr3:uid="{C046AAA4-6A07-45ED-8D5D-7B9B451B4C55}" name="Column5650"/>
    <tableColumn id="5651" xr3:uid="{03530C58-906E-4BB9-AE6B-AA978C148850}" name="Column5651"/>
    <tableColumn id="5652" xr3:uid="{5C4ECCA7-C873-4E72-A96D-2F487F0051B1}" name="Column5652"/>
    <tableColumn id="5653" xr3:uid="{5B642B64-739F-49DB-9AC1-46F454EA4BF2}" name="Column5653"/>
    <tableColumn id="5654" xr3:uid="{C5D545F2-CA2A-4D7C-987D-3E26DF7781AB}" name="Column5654"/>
    <tableColumn id="5655" xr3:uid="{80EA34B2-0BF0-47ED-B6C3-4E98B5A8BCCF}" name="Column5655"/>
    <tableColumn id="5656" xr3:uid="{4882B33D-C79F-4E86-A1CB-57893367FC8A}" name="Column5656"/>
    <tableColumn id="5657" xr3:uid="{FD2AF411-872A-450C-94A3-50F2947306B0}" name="Column5657"/>
    <tableColumn id="5658" xr3:uid="{C85DDD9D-51E0-4FEA-ABA6-C37A3055F8C1}" name="Column5658"/>
    <tableColumn id="5659" xr3:uid="{DC626022-9CF5-4636-8A68-5B5AEE4B64E1}" name="Column5659"/>
    <tableColumn id="5660" xr3:uid="{F208D039-8C96-4A89-8053-3EBAF011F9A6}" name="Column5660"/>
    <tableColumn id="5661" xr3:uid="{44489BF3-ED2A-4B39-A4A4-8066349D5764}" name="Column5661"/>
    <tableColumn id="5662" xr3:uid="{00D544D1-A4D2-4DD5-B385-07BCBFAD3BAE}" name="Column5662"/>
    <tableColumn id="5663" xr3:uid="{7B80CF34-7036-4BE7-964B-9E9D0EF3E344}" name="Column5663"/>
    <tableColumn id="5664" xr3:uid="{8F1F54EB-587A-4B10-9667-95B71F84BE92}" name="Column5664"/>
    <tableColumn id="5665" xr3:uid="{4789E25E-BA77-44F7-8350-5CF64D365AC6}" name="Column5665"/>
    <tableColumn id="5666" xr3:uid="{82864102-D910-4E6F-8BAF-4DBD895898E8}" name="Column5666"/>
    <tableColumn id="5667" xr3:uid="{7BF16DE8-B795-49AB-927B-3D61C6729B1B}" name="Column5667"/>
    <tableColumn id="5668" xr3:uid="{91174CB1-0764-4305-B4D6-334B56DEC52B}" name="Column5668"/>
    <tableColumn id="5669" xr3:uid="{7EF17958-B42E-4851-B061-B1DCBA795E28}" name="Column5669"/>
    <tableColumn id="5670" xr3:uid="{E39040BD-4280-44B9-AD17-85EBCFBC7F18}" name="Column5670"/>
    <tableColumn id="5671" xr3:uid="{37437371-D922-4F3E-AD18-FCD9DA623D50}" name="Column5671"/>
    <tableColumn id="5672" xr3:uid="{EB3A4F29-8564-4FB3-BFE7-355716127F46}" name="Column5672"/>
    <tableColumn id="5673" xr3:uid="{7F093FA9-24BD-4528-B964-5CE547A41C9D}" name="Column5673"/>
    <tableColumn id="5674" xr3:uid="{F66F3983-428F-4874-A128-2459F2E2913D}" name="Column5674"/>
    <tableColumn id="5675" xr3:uid="{619B5848-2C5D-49ED-9B89-134DDED1522C}" name="Column5675"/>
    <tableColumn id="5676" xr3:uid="{8F4DE828-7FD6-47F2-96E7-C4299CF90E45}" name="Column5676"/>
    <tableColumn id="5677" xr3:uid="{A12CE90A-EA8F-4612-BFDB-108A67B0045B}" name="Column5677"/>
    <tableColumn id="5678" xr3:uid="{B5737DF1-5675-4ABA-BF9E-AECEA7621652}" name="Column5678"/>
    <tableColumn id="5679" xr3:uid="{BAB4C4A8-720D-4691-BA0D-EE74D6F9DEB3}" name="Column5679"/>
    <tableColumn id="5680" xr3:uid="{7D609539-E3EA-4445-B0C3-2C9630CB3270}" name="Column5680"/>
    <tableColumn id="5681" xr3:uid="{599D115D-E8A6-4D33-B72F-187D8A3B09DA}" name="Column5681"/>
    <tableColumn id="5682" xr3:uid="{49705EF2-E727-4D3A-88CC-C004AC406C1B}" name="Column5682"/>
    <tableColumn id="5683" xr3:uid="{46EF6CB5-5656-4E57-AF54-F890A7A46EC8}" name="Column5683"/>
    <tableColumn id="5684" xr3:uid="{C2882755-A1DF-4CDF-8713-FC64924A7D8D}" name="Column5684"/>
    <tableColumn id="5685" xr3:uid="{686A1ADC-D0BD-4444-AEAA-5D0A2D8A3747}" name="Column5685"/>
    <tableColumn id="5686" xr3:uid="{CCE60427-2A43-4CA5-AF1B-DA5A46F4865C}" name="Column5686"/>
    <tableColumn id="5687" xr3:uid="{654F6BB4-3365-4BEB-8EB2-62D72F11D84E}" name="Column5687"/>
    <tableColumn id="5688" xr3:uid="{6D7D72D0-28C6-4710-9DDD-7167F1C4C9B1}" name="Column5688"/>
    <tableColumn id="5689" xr3:uid="{73B7527C-52F1-48E7-BC3E-559D39F29CA3}" name="Column5689"/>
    <tableColumn id="5690" xr3:uid="{C3ACD42B-1850-43EF-ADFC-D865E17AE4FB}" name="Column5690"/>
    <tableColumn id="5691" xr3:uid="{7D6D4D1B-A73A-466A-B5D9-FFF25E20D629}" name="Column5691"/>
    <tableColumn id="5692" xr3:uid="{58FF4425-7258-4F2E-AD3F-893531351B99}" name="Column5692"/>
    <tableColumn id="5693" xr3:uid="{4FF41878-18CA-4CB6-82A4-418294B7B70A}" name="Column5693"/>
    <tableColumn id="5694" xr3:uid="{43AD1BF4-DE64-444E-BEE9-180208BB6B0B}" name="Column5694"/>
    <tableColumn id="5695" xr3:uid="{CBD23231-AEC2-4808-8AAE-C447746C8910}" name="Column5695"/>
    <tableColumn id="5696" xr3:uid="{F8C3EDEE-828A-413A-BCAC-6E689D34FA54}" name="Column5696"/>
    <tableColumn id="5697" xr3:uid="{5FA93E93-DF9F-4711-8EA8-4829584AE3E4}" name="Column5697"/>
    <tableColumn id="5698" xr3:uid="{68EC791D-B9FF-4056-8522-477326A87D40}" name="Column5698"/>
    <tableColumn id="5699" xr3:uid="{41D2E147-4100-4810-B2E0-D635C49000E3}" name="Column5699"/>
    <tableColumn id="5700" xr3:uid="{A08C715A-D809-4EB2-93E0-C0E46C133565}" name="Column5700"/>
    <tableColumn id="5701" xr3:uid="{D6107953-0090-4DF5-9EB2-4E447CF28863}" name="Column5701"/>
    <tableColumn id="5702" xr3:uid="{1A9D9EAB-7B5A-4B53-8F20-9DD983538CD0}" name="Column5702"/>
    <tableColumn id="5703" xr3:uid="{871CAD09-9689-46D4-AD80-3B50E38B1939}" name="Column5703"/>
    <tableColumn id="5704" xr3:uid="{D09B7E1C-F819-414D-8087-83C7DA9402CA}" name="Column5704"/>
    <tableColumn id="5705" xr3:uid="{AD3D2AF5-498D-440E-A6BC-C84A1761F633}" name="Column5705"/>
    <tableColumn id="5706" xr3:uid="{A01AF71C-F23B-47EB-B434-4C22E0F824A8}" name="Column5706"/>
    <tableColumn id="5707" xr3:uid="{9A6CBCEA-643D-4FDD-B826-0C8AF2FBCFA5}" name="Column5707"/>
    <tableColumn id="5708" xr3:uid="{2078915C-6D53-4053-AE98-E2C3EC3D9E8F}" name="Column5708"/>
    <tableColumn id="5709" xr3:uid="{66F3DFDF-536F-4050-9075-4E5C3E75A474}" name="Column5709"/>
    <tableColumn id="5710" xr3:uid="{042862D7-F258-4D74-B5EC-65C24FB33120}" name="Column5710"/>
    <tableColumn id="5711" xr3:uid="{237C8B7F-9AA7-4C66-BC11-06062D37902F}" name="Column5711"/>
    <tableColumn id="5712" xr3:uid="{A7444B91-7426-4CD2-BA63-3EB1FF5BC113}" name="Column5712"/>
    <tableColumn id="5713" xr3:uid="{F06DAD24-B7AF-4C4F-927F-93B0AA33F273}" name="Column5713"/>
    <tableColumn id="5714" xr3:uid="{2EFEDAF6-9C26-4167-BC86-429115C939CB}" name="Column5714"/>
    <tableColumn id="5715" xr3:uid="{592D8E0C-7DC1-4849-A8FF-D5CCDF0A6BD3}" name="Column5715"/>
    <tableColumn id="5716" xr3:uid="{21C0F7F6-B6C3-49EB-8CC8-58DF99FCBF05}" name="Column5716"/>
    <tableColumn id="5717" xr3:uid="{FD767D6D-406A-4180-B382-AF2D50335290}" name="Column5717"/>
    <tableColumn id="5718" xr3:uid="{B77F67D0-1826-4FC5-9448-681D72691B48}" name="Column5718"/>
    <tableColumn id="5719" xr3:uid="{D848A876-12B3-4475-A9FD-0654910825AC}" name="Column5719"/>
    <tableColumn id="5720" xr3:uid="{91BA3FE9-195C-4449-8242-276D157F9E83}" name="Column5720"/>
    <tableColumn id="5721" xr3:uid="{027976AE-715D-4F37-8FF2-B3F465C30C21}" name="Column5721"/>
    <tableColumn id="5722" xr3:uid="{4C1A54B3-C45F-4107-8AA1-62E39FA5F692}" name="Column5722"/>
    <tableColumn id="5723" xr3:uid="{4D635083-DA42-4126-A879-07B9319022E4}" name="Column5723"/>
    <tableColumn id="5724" xr3:uid="{BADF025C-52FF-4DF9-95ED-820F571B69D0}" name="Column5724"/>
    <tableColumn id="5725" xr3:uid="{FA6E0D69-D36C-47F7-A169-E14A42677A81}" name="Column5725"/>
    <tableColumn id="5726" xr3:uid="{22ACF549-D34F-42A6-8790-51D75F12311A}" name="Column5726"/>
    <tableColumn id="5727" xr3:uid="{15228791-433C-4AE5-8C4C-7D06CE299EED}" name="Column5727"/>
    <tableColumn id="5728" xr3:uid="{65B13DD6-2AFA-4087-BEF4-198D3986C85E}" name="Column5728"/>
    <tableColumn id="5729" xr3:uid="{845319AD-E4C4-4149-85FD-A210CDF2FAF2}" name="Column5729"/>
    <tableColumn id="5730" xr3:uid="{A1F31E64-7729-4073-A77E-B61301F3619F}" name="Column5730"/>
    <tableColumn id="5731" xr3:uid="{3609BBC7-8B6F-4696-9FC3-97E7CF9C7C33}" name="Column5731"/>
    <tableColumn id="5732" xr3:uid="{538113DE-6F57-4CBA-B49F-46C722B04686}" name="Column5732"/>
    <tableColumn id="5733" xr3:uid="{4B451FC2-10D6-4F9A-BE72-A3F5F1EF5917}" name="Column5733"/>
    <tableColumn id="5734" xr3:uid="{067F842B-1C37-4B8D-81F6-B9864AD2AE9F}" name="Column5734"/>
    <tableColumn id="5735" xr3:uid="{657A40FB-996C-4560-A309-7759C3ACB16C}" name="Column5735"/>
    <tableColumn id="5736" xr3:uid="{9322E446-C9B9-4143-BF55-D1D9DA8A717C}" name="Column5736"/>
    <tableColumn id="5737" xr3:uid="{F3550AF2-60BD-49A8-9161-8122C7E49783}" name="Column5737"/>
    <tableColumn id="5738" xr3:uid="{5A5DE417-1AE4-4059-8758-007C022F08CA}" name="Column5738"/>
    <tableColumn id="5739" xr3:uid="{A4624F0B-A90C-4D6F-B049-50154869A72A}" name="Column5739"/>
    <tableColumn id="5740" xr3:uid="{BBD82BE0-2CC9-4A95-8F48-57568F1F1090}" name="Column5740"/>
    <tableColumn id="5741" xr3:uid="{217DEAC8-578C-4693-B52D-5A85D672C59F}" name="Column5741"/>
    <tableColumn id="5742" xr3:uid="{7DD7AAF6-9625-4C82-8759-CECEEB56DD99}" name="Column5742"/>
    <tableColumn id="5743" xr3:uid="{8FEEF855-C7F5-4A71-9779-3657A609D127}" name="Column5743"/>
    <tableColumn id="5744" xr3:uid="{892C7C03-C943-4E50-B356-109FDBFDB94E}" name="Column5744"/>
    <tableColumn id="5745" xr3:uid="{973C4166-9306-4901-9360-B6D3F9F92221}" name="Column5745"/>
    <tableColumn id="5746" xr3:uid="{ABDEE212-F42C-4352-A900-F0580D729795}" name="Column5746"/>
    <tableColumn id="5747" xr3:uid="{F563B0AB-E58B-460D-8478-8CCE51F17287}" name="Column5747"/>
    <tableColumn id="5748" xr3:uid="{773615C2-80BF-48EA-836B-553D0D23F6C2}" name="Column5748"/>
    <tableColumn id="5749" xr3:uid="{AF8C3466-DE45-4E4A-8409-CAF0781B2812}" name="Column5749"/>
    <tableColumn id="5750" xr3:uid="{E30A5079-AC8E-4387-B810-A383CF462ADC}" name="Column5750"/>
    <tableColumn id="5751" xr3:uid="{CE487703-1CC2-4574-BAA4-491A70DE949A}" name="Column5751"/>
    <tableColumn id="5752" xr3:uid="{4CDE1A65-68EA-4718-B960-4F291234466E}" name="Column5752"/>
    <tableColumn id="5753" xr3:uid="{54FBE16E-7834-4490-BFAC-063DAB1E12BE}" name="Column5753"/>
    <tableColumn id="5754" xr3:uid="{7D639792-2A33-45F3-8A21-B51BA946469A}" name="Column5754"/>
    <tableColumn id="5755" xr3:uid="{DB07F86F-1F63-4E3B-A326-D1EA62A85931}" name="Column5755"/>
    <tableColumn id="5756" xr3:uid="{AD1A8E81-B59E-42E0-96B6-07DF0D31F50F}" name="Column5756"/>
    <tableColumn id="5757" xr3:uid="{39EDA975-4389-4C4E-AF20-55CB6CFEDB89}" name="Column5757"/>
    <tableColumn id="5758" xr3:uid="{4E6ED333-0B0A-431F-9E00-370344C9DCD4}" name="Column5758"/>
    <tableColumn id="5759" xr3:uid="{450EF601-C2BA-43CE-8ABB-E03823687813}" name="Column5759"/>
    <tableColumn id="5760" xr3:uid="{1B6980E9-2A62-4B1B-BCA7-33312365AF52}" name="Column5760"/>
    <tableColumn id="5761" xr3:uid="{B9B4EC82-3C50-406B-B22A-C584C08C02FB}" name="Column5761"/>
    <tableColumn id="5762" xr3:uid="{5DC48447-7CEB-44A2-9CFC-76A1323B479A}" name="Column5762"/>
    <tableColumn id="5763" xr3:uid="{17278B76-2B5D-4FF2-B71F-3681B4C2CC94}" name="Column5763"/>
    <tableColumn id="5764" xr3:uid="{B76724D1-5092-45BA-83E5-9A2DC6AD30E6}" name="Column5764"/>
    <tableColumn id="5765" xr3:uid="{7CD458F9-E4BD-4020-A62B-D9AF9CE8E86F}" name="Column5765"/>
    <tableColumn id="5766" xr3:uid="{8D409829-FA2D-410C-BA18-50FB141877F7}" name="Column5766"/>
    <tableColumn id="5767" xr3:uid="{E714FF61-897F-4939-AED6-68C88BFE0825}" name="Column5767"/>
    <tableColumn id="5768" xr3:uid="{0094B731-A1D3-4C05-A7A5-C96F0D234FCA}" name="Column5768"/>
    <tableColumn id="5769" xr3:uid="{044EB9AF-0CF2-46DA-A3F8-05876610A744}" name="Column5769"/>
    <tableColumn id="5770" xr3:uid="{A2AFFEFB-D572-4CB4-A2A0-9B1B0A2D8363}" name="Column5770"/>
    <tableColumn id="5771" xr3:uid="{277E130D-81E7-417C-9FA9-B8712D07800B}" name="Column5771"/>
    <tableColumn id="5772" xr3:uid="{83BB34CE-7392-47F6-A368-54652C0ED14B}" name="Column5772"/>
    <tableColumn id="5773" xr3:uid="{9B3E900A-0C68-4FF1-85C7-84C22ACF323E}" name="Column5773"/>
    <tableColumn id="5774" xr3:uid="{F04B2C70-18EE-4480-A310-D332153D6713}" name="Column5774"/>
    <tableColumn id="5775" xr3:uid="{9BC488EA-30E7-4046-A56A-6A2EC55DF4F4}" name="Column5775"/>
    <tableColumn id="5776" xr3:uid="{26F02A0F-7EC0-4391-A3F3-AAA7B1FFF033}" name="Column5776"/>
    <tableColumn id="5777" xr3:uid="{BDEB94BC-2EA5-4427-BCFD-95038A953FFE}" name="Column5777"/>
    <tableColumn id="5778" xr3:uid="{15FB4127-DA50-437B-A4B6-F6AD446579CA}" name="Column5778"/>
    <tableColumn id="5779" xr3:uid="{87567F21-9DDF-4264-9C49-564C4051BB9F}" name="Column5779"/>
    <tableColumn id="5780" xr3:uid="{21E0A521-C1F5-4BF1-A5B8-5847BF085C2E}" name="Column5780"/>
    <tableColumn id="5781" xr3:uid="{50D7663E-5322-42A9-8917-8899D57EAD00}" name="Column5781"/>
    <tableColumn id="5782" xr3:uid="{26E5F9E8-692A-43E9-BAC8-ABA7C161710C}" name="Column5782"/>
    <tableColumn id="5783" xr3:uid="{A5B3E9E7-913C-4F8A-AC32-AA2B1B796E3D}" name="Column5783"/>
    <tableColumn id="5784" xr3:uid="{E484F635-0238-4AAE-8121-2540497C2BCC}" name="Column5784"/>
    <tableColumn id="5785" xr3:uid="{1BBC92A5-02F2-44C7-AD2D-44A0299C1132}" name="Column5785"/>
    <tableColumn id="5786" xr3:uid="{ADCB4101-122F-4E40-9ECA-54F7F9FDB204}" name="Column5786"/>
    <tableColumn id="5787" xr3:uid="{55379057-CB2F-4F2C-81AD-FC6A027DCB64}" name="Column5787"/>
    <tableColumn id="5788" xr3:uid="{3EA28578-47BA-41CE-9560-02364DA69543}" name="Column5788"/>
    <tableColumn id="5789" xr3:uid="{C3787F1D-F18F-4D1C-9D26-27C8D7AE433F}" name="Column5789"/>
    <tableColumn id="5790" xr3:uid="{57E8C75D-23AA-47B3-B929-0223EE64576F}" name="Column5790"/>
    <tableColumn id="5791" xr3:uid="{1D4BBC81-7972-476F-B480-344384412222}" name="Column5791"/>
    <tableColumn id="5792" xr3:uid="{7EE53921-8EF7-48B3-BA40-95CD0F222C86}" name="Column5792"/>
    <tableColumn id="5793" xr3:uid="{49CDC3B7-458C-46FC-8134-BC55533DD240}" name="Column5793"/>
    <tableColumn id="5794" xr3:uid="{D67B5F79-59AB-4E04-971C-5FBA1EAAEB1F}" name="Column5794"/>
    <tableColumn id="5795" xr3:uid="{02848C56-B2C9-4550-B297-EEB1812D39AA}" name="Column5795"/>
    <tableColumn id="5796" xr3:uid="{197FAD52-F32A-41A8-A850-9CB6D3A20168}" name="Column5796"/>
    <tableColumn id="5797" xr3:uid="{50573AE6-09F6-49A3-A454-0DFFE72A765C}" name="Column5797"/>
    <tableColumn id="5798" xr3:uid="{85E7313C-DD37-464C-9AA8-5BAC746B33B8}" name="Column5798"/>
    <tableColumn id="5799" xr3:uid="{560E7442-3A5E-4533-9E18-D73AD4D5B950}" name="Column5799"/>
    <tableColumn id="5800" xr3:uid="{64E2EE7F-0294-40C9-94E1-3C12DB270625}" name="Column5800"/>
    <tableColumn id="5801" xr3:uid="{7B149E19-FB6B-457F-AC1E-F399BD1106F5}" name="Column5801"/>
    <tableColumn id="5802" xr3:uid="{35EAC641-46C8-4B0E-B2D8-903E9AFFF08E}" name="Column5802"/>
    <tableColumn id="5803" xr3:uid="{848D8F72-F19A-4A54-A01D-FDC5CF49CB49}" name="Column5803"/>
    <tableColumn id="5804" xr3:uid="{87930C34-AC19-4975-B9FB-CB14AE6CE68B}" name="Column5804"/>
    <tableColumn id="5805" xr3:uid="{D7C1A8CB-6426-430A-A5BA-CE45B9EFF2FB}" name="Column5805"/>
    <tableColumn id="5806" xr3:uid="{B2B630B4-2AD4-4BCC-B403-D41B49B2AAF5}" name="Column5806"/>
    <tableColumn id="5807" xr3:uid="{5EF7E2ED-6E3E-4E1C-B1FE-608432CE4155}" name="Column5807"/>
    <tableColumn id="5808" xr3:uid="{0B51FE25-7389-45CE-982B-35998ADBB33A}" name="Column5808"/>
    <tableColumn id="5809" xr3:uid="{B018AB42-AA96-4598-A258-1BAC1664C88D}" name="Column5809"/>
    <tableColumn id="5810" xr3:uid="{D983FF01-F01A-4931-A4A1-F48AC09BC6DF}" name="Column5810"/>
    <tableColumn id="5811" xr3:uid="{671B1F38-2FC1-412B-AABB-FCEECE305794}" name="Column5811"/>
    <tableColumn id="5812" xr3:uid="{50E9A1DF-B50C-422E-9D1C-96372DC4788C}" name="Column5812"/>
    <tableColumn id="5813" xr3:uid="{0A9A8556-0126-493A-94DA-D2A5172C4F17}" name="Column5813"/>
    <tableColumn id="5814" xr3:uid="{F98EDD8D-B15E-4179-9E0C-9B346EBE37A6}" name="Column5814"/>
    <tableColumn id="5815" xr3:uid="{390DC5E3-4886-4A55-A8A9-74BBC85C19FA}" name="Column5815"/>
    <tableColumn id="5816" xr3:uid="{EA014DB7-1512-4252-8D18-D735450E1E84}" name="Column5816"/>
    <tableColumn id="5817" xr3:uid="{C59B8668-DD28-46EA-AB01-E464F4F59E5E}" name="Column5817"/>
    <tableColumn id="5818" xr3:uid="{7FA18D4C-9407-4AFD-9BFC-E35C9E74CD08}" name="Column5818"/>
    <tableColumn id="5819" xr3:uid="{3D6B539C-CF5E-4B1F-A98C-47135DFF3F1B}" name="Column5819"/>
    <tableColumn id="5820" xr3:uid="{E4E8BF45-74DB-4E99-87B6-28922F9E1B37}" name="Column5820"/>
    <tableColumn id="5821" xr3:uid="{B86BB274-EA4C-41A6-A349-2E63A43E5C15}" name="Column5821"/>
    <tableColumn id="5822" xr3:uid="{C03359D5-5F7B-462E-B25A-E18DB7E5EC14}" name="Column5822"/>
    <tableColumn id="5823" xr3:uid="{B6D4077F-7B23-4DF9-B19D-35FBC50D1E3E}" name="Column5823"/>
    <tableColumn id="5824" xr3:uid="{2B23EC2E-5E0B-45AF-B4C5-FB0ED47C8296}" name="Column5824"/>
    <tableColumn id="5825" xr3:uid="{09C09D3B-56A3-416E-9CEC-48C65E868208}" name="Column5825"/>
    <tableColumn id="5826" xr3:uid="{F5DC3838-68D5-4AFF-AC83-68E6FA9074D6}" name="Column5826"/>
    <tableColumn id="5827" xr3:uid="{E3CCF344-42E6-4651-9E1B-DDA48020A50F}" name="Column5827"/>
    <tableColumn id="5828" xr3:uid="{8EEA3C07-760B-426C-A60D-76DC5E6842A9}" name="Column5828"/>
    <tableColumn id="5829" xr3:uid="{AE6F0D7F-312E-4108-95C2-B4D4B50E196B}" name="Column5829"/>
    <tableColumn id="5830" xr3:uid="{6B10CB79-99A7-4175-BFB6-00CD5BBD6844}" name="Column5830"/>
    <tableColumn id="5831" xr3:uid="{A6758E52-CF7A-4B13-85E5-28A8B7E39879}" name="Column5831"/>
    <tableColumn id="5832" xr3:uid="{02D95D57-3D59-4D32-87D7-1B4E32F094C4}" name="Column5832"/>
    <tableColumn id="5833" xr3:uid="{64E837AF-8445-410C-AE53-337AF0CFC503}" name="Column5833"/>
    <tableColumn id="5834" xr3:uid="{EBDF7276-307F-4351-BA89-5C7F10B9D7E5}" name="Column5834"/>
    <tableColumn id="5835" xr3:uid="{19A89042-7FE0-40F0-A821-53D67A188423}" name="Column5835"/>
    <tableColumn id="5836" xr3:uid="{1ABAF4D1-FE2C-4D9F-AD26-38CF6E20F9CA}" name="Column5836"/>
    <tableColumn id="5837" xr3:uid="{210B0FB5-240B-47D7-B35B-0041A2C398CD}" name="Column5837"/>
    <tableColumn id="5838" xr3:uid="{66D7D739-0D7A-4333-B72C-48D7CD1E0EDD}" name="Column5838"/>
    <tableColumn id="5839" xr3:uid="{04F6B4D2-F0B9-47E2-B670-B3F20090D8B4}" name="Column5839"/>
    <tableColumn id="5840" xr3:uid="{07A9AAFE-1182-43C8-8C3E-82A9ED06C422}" name="Column5840"/>
    <tableColumn id="5841" xr3:uid="{8D1BE950-9A27-49FF-B159-3CDE288FDA6D}" name="Column5841"/>
    <tableColumn id="5842" xr3:uid="{8A92E4F8-F129-4077-ABC7-6CEEE1910552}" name="Column5842"/>
    <tableColumn id="5843" xr3:uid="{46D770B5-81BF-479A-ADC8-F2CD86E59FC7}" name="Column5843"/>
    <tableColumn id="5844" xr3:uid="{324996A5-7BCC-4B62-9291-9615C04DD5A0}" name="Column5844"/>
    <tableColumn id="5845" xr3:uid="{F7060F7F-5579-4DD5-9670-469B68252BED}" name="Column5845"/>
    <tableColumn id="5846" xr3:uid="{A0645661-A68D-4863-8F0C-32CC63E927AB}" name="Column5846"/>
    <tableColumn id="5847" xr3:uid="{B8A5BFB1-57EA-478C-8821-E411A1C2422A}" name="Column5847"/>
    <tableColumn id="5848" xr3:uid="{D548A314-88F6-4EA8-8B9E-4335A3DCCBF0}" name="Column5848"/>
    <tableColumn id="5849" xr3:uid="{C8947E20-B705-4178-9569-0948B22CCFCA}" name="Column5849"/>
    <tableColumn id="5850" xr3:uid="{A8B0CA12-F546-47EC-9518-FAFC5DD59706}" name="Column5850"/>
    <tableColumn id="5851" xr3:uid="{AFA4D59D-A62D-4906-8296-79AFCA03DDDF}" name="Column5851"/>
    <tableColumn id="5852" xr3:uid="{978C963A-EDF2-449C-96FD-723C2E4CEF0B}" name="Column5852"/>
    <tableColumn id="5853" xr3:uid="{AEE25D92-5017-49CD-95DB-CDEB8604D7A7}" name="Column5853"/>
    <tableColumn id="5854" xr3:uid="{4E851ADC-8876-46D4-A9E2-F5524231BE30}" name="Column5854"/>
    <tableColumn id="5855" xr3:uid="{9A974B7E-5A83-4F8A-8D9A-EE621985AD50}" name="Column5855"/>
    <tableColumn id="5856" xr3:uid="{E14E1392-8E3C-45D3-BE98-E49D8D81E34B}" name="Column5856"/>
    <tableColumn id="5857" xr3:uid="{BA6FFBCC-A9C6-4155-85EE-55D4654A67C1}" name="Column5857"/>
    <tableColumn id="5858" xr3:uid="{2DB8BB4C-6A51-4F33-AFAA-EE7898A7AAF2}" name="Column5858"/>
    <tableColumn id="5859" xr3:uid="{EE802A66-A5F7-4D81-BC5E-F3BDC362719A}" name="Column5859"/>
    <tableColumn id="5860" xr3:uid="{7FB2FAFF-9478-4850-B79F-0F08B2E33E05}" name="Column5860"/>
    <tableColumn id="5861" xr3:uid="{A7D4B387-C07B-4558-8E7D-273B7C64E5A5}" name="Column5861"/>
    <tableColumn id="5862" xr3:uid="{E072F873-F7AE-40A6-BF47-CE280B34C6A5}" name="Column5862"/>
    <tableColumn id="5863" xr3:uid="{D7E422E0-1111-467F-A31F-7BD78BB80F04}" name="Column5863"/>
    <tableColumn id="5864" xr3:uid="{16B32C96-919C-4D6A-9E72-BF839ADE648D}" name="Column5864"/>
    <tableColumn id="5865" xr3:uid="{8B519653-8278-46E5-96C8-EC59D08C1204}" name="Column5865"/>
    <tableColumn id="5866" xr3:uid="{94A60EF7-94E6-4EEF-A7B7-A690152A9896}" name="Column5866"/>
    <tableColumn id="5867" xr3:uid="{51449077-5B1A-4E42-8553-D1BBB0BD644D}" name="Column5867"/>
    <tableColumn id="5868" xr3:uid="{6951D81E-39DA-4582-B75B-44F98F87AB23}" name="Column5868"/>
    <tableColumn id="5869" xr3:uid="{FB2D0E66-04EB-4A32-B639-7F5D60A17509}" name="Column5869"/>
    <tableColumn id="5870" xr3:uid="{132DE4A2-7685-40C7-8E8C-E9DA8E98FA36}" name="Column5870"/>
    <tableColumn id="5871" xr3:uid="{EE2F1E37-0B98-44B0-8016-546892DE15CD}" name="Column5871"/>
    <tableColumn id="5872" xr3:uid="{B96ACE22-E224-406D-8D0C-763951154884}" name="Column5872"/>
    <tableColumn id="5873" xr3:uid="{35112F98-DDF2-4297-8EEF-40F74ECA4C9F}" name="Column5873"/>
    <tableColumn id="5874" xr3:uid="{2DC8648E-C019-426B-A67A-EF706F5B1157}" name="Column5874"/>
    <tableColumn id="5875" xr3:uid="{8379161D-4060-4BE2-9AAE-5E6BD97D43FB}" name="Column5875"/>
    <tableColumn id="5876" xr3:uid="{17053E6D-EFB4-4949-A5F5-9D87F29E3C7B}" name="Column5876"/>
    <tableColumn id="5877" xr3:uid="{FAF9975E-5D4B-44A5-A16B-A7CF321FD6EF}" name="Column5877"/>
    <tableColumn id="5878" xr3:uid="{C6F57DA5-9F0E-4E65-852D-6D0FFA62AA78}" name="Column5878"/>
    <tableColumn id="5879" xr3:uid="{3BC9B783-95F8-4433-B552-3AF05E73FBA9}" name="Column5879"/>
    <tableColumn id="5880" xr3:uid="{A40FB29C-06F5-4FB4-A859-D8E95B85B147}" name="Column5880"/>
    <tableColumn id="5881" xr3:uid="{B4DC787E-7EE1-49B9-B9A2-A9C24EB177DE}" name="Column5881"/>
    <tableColumn id="5882" xr3:uid="{7F0EBCB0-0B0D-4B55-AAF4-32BDC468EEEE}" name="Column5882"/>
    <tableColumn id="5883" xr3:uid="{1D38A6EF-A0FA-402E-8EBA-935570320D59}" name="Column5883"/>
    <tableColumn id="5884" xr3:uid="{8EE0746B-C913-4DF5-8449-C8165396BFAB}" name="Column5884"/>
    <tableColumn id="5885" xr3:uid="{BEA34618-331B-4CF2-828B-2EC519AE9D34}" name="Column5885"/>
    <tableColumn id="5886" xr3:uid="{972CDA1A-37AA-49CA-B142-F20F45A09C31}" name="Column5886"/>
    <tableColumn id="5887" xr3:uid="{3F992B88-825F-46C3-8784-0D50AF533599}" name="Column5887"/>
    <tableColumn id="5888" xr3:uid="{777E3ECB-61CB-4958-9728-8E0517450367}" name="Column5888"/>
    <tableColumn id="5889" xr3:uid="{53B30373-68F7-45B7-88E2-40B8B237BB43}" name="Column5889"/>
    <tableColumn id="5890" xr3:uid="{F596F4EE-74B6-43B8-A893-1E7B0A61FE17}" name="Column5890"/>
    <tableColumn id="5891" xr3:uid="{170D0869-0235-4D43-9550-CFBAD2A65414}" name="Column5891"/>
    <tableColumn id="5892" xr3:uid="{CC177EA4-499F-4DD0-B907-467A49B0A1F5}" name="Column5892"/>
    <tableColumn id="5893" xr3:uid="{D2FC583D-B929-4196-9B20-EEAC5E6352A0}" name="Column5893"/>
    <tableColumn id="5894" xr3:uid="{6958242A-0990-428E-834B-20779558912F}" name="Column5894"/>
    <tableColumn id="5895" xr3:uid="{3578DE46-9E16-4691-9859-78454487F731}" name="Column5895"/>
    <tableColumn id="5896" xr3:uid="{9C90EE71-1667-4DFB-BE6A-6C0E73D6EDAC}" name="Column5896"/>
    <tableColumn id="5897" xr3:uid="{1DB866A3-7FB4-44FB-B10E-B6F06B6C40E2}" name="Column5897"/>
    <tableColumn id="5898" xr3:uid="{F306CCEC-22B4-4332-9486-E4E686999D4C}" name="Column5898"/>
    <tableColumn id="5899" xr3:uid="{04B6990E-EF4C-4D39-924A-96F1B39C5560}" name="Column5899"/>
    <tableColumn id="5900" xr3:uid="{FDBE0F18-824C-40D6-BAF6-70C0E87B1F60}" name="Column5900"/>
    <tableColumn id="5901" xr3:uid="{606289A5-563C-4382-A2DF-1FFBF70B0218}" name="Column5901"/>
    <tableColumn id="5902" xr3:uid="{F2C73162-B259-4F06-BA5A-3AC3C89E5D0D}" name="Column5902"/>
    <tableColumn id="5903" xr3:uid="{6025FF38-F2FA-4C0B-B5A5-7D9366DC8B62}" name="Column5903"/>
    <tableColumn id="5904" xr3:uid="{3CD439F2-1B24-4F88-834B-2D451B4F506F}" name="Column5904"/>
    <tableColumn id="5905" xr3:uid="{ADEC88BE-7E39-48ED-A92E-63DFF3946164}" name="Column5905"/>
    <tableColumn id="5906" xr3:uid="{1A4BC8E8-4DC0-4BD2-89D2-7D723BD8AFEA}" name="Column5906"/>
    <tableColumn id="5907" xr3:uid="{EB9676FB-CC4B-405A-889E-3109DF7E4483}" name="Column5907"/>
    <tableColumn id="5908" xr3:uid="{28FD0D35-D4DC-44E8-8ED4-B904A9A9DD7D}" name="Column5908"/>
    <tableColumn id="5909" xr3:uid="{CB474E08-6273-4F3B-BD26-808C0D76B975}" name="Column5909"/>
    <tableColumn id="5910" xr3:uid="{C6CA81D6-5D99-4CB5-98D4-852525FDDEC1}" name="Column5910"/>
    <tableColumn id="5911" xr3:uid="{5D43D807-340F-4914-ACEC-4E32DC85C12F}" name="Column5911"/>
    <tableColumn id="5912" xr3:uid="{43D705F8-DDBF-4748-A249-6EAC215DAD22}" name="Column5912"/>
    <tableColumn id="5913" xr3:uid="{D97552D1-EB3F-4D9F-A999-5FCA55CB3BF8}" name="Column5913"/>
    <tableColumn id="5914" xr3:uid="{2050A3CC-1325-4EFB-B8FE-6A9C9FAE9087}" name="Column5914"/>
    <tableColumn id="5915" xr3:uid="{7515130B-41C7-4CF9-A44C-9B1A55BE4F3A}" name="Column5915"/>
    <tableColumn id="5916" xr3:uid="{62C7018C-58B2-4375-B32C-5A52BF95CDC2}" name="Column5916"/>
    <tableColumn id="5917" xr3:uid="{8756408F-D49C-43A7-BCF2-9C9A5072C695}" name="Column5917"/>
    <tableColumn id="5918" xr3:uid="{5B1A4A67-ADDE-4108-8783-81067C90D0A4}" name="Column5918"/>
    <tableColumn id="5919" xr3:uid="{060B3647-8919-46AE-9598-8631B08532F9}" name="Column5919"/>
    <tableColumn id="5920" xr3:uid="{0020A8AE-F25A-441C-965A-8E96318D72F1}" name="Column5920"/>
    <tableColumn id="5921" xr3:uid="{3764A84A-462D-4E74-AF95-74B09BCCACF3}" name="Column5921"/>
    <tableColumn id="5922" xr3:uid="{0627E036-7CE0-4FC3-8442-8A332CA574BA}" name="Column5922"/>
    <tableColumn id="5923" xr3:uid="{49A43C05-DD81-4C45-880D-5DFE8417CE35}" name="Column5923"/>
    <tableColumn id="5924" xr3:uid="{D0CE4A30-1BA6-42A5-9306-7D51BFBABDF6}" name="Column5924"/>
    <tableColumn id="5925" xr3:uid="{30C714ED-0EBE-4E7C-A182-82EC5230C698}" name="Column5925"/>
    <tableColumn id="5926" xr3:uid="{5C295E9A-CAA9-402C-900F-DBC6B903E2A2}" name="Column5926"/>
    <tableColumn id="5927" xr3:uid="{1693F9C1-3068-487E-9209-6AA37CB09C2C}" name="Column5927"/>
    <tableColumn id="5928" xr3:uid="{A2D58DC6-81F4-4FAE-88B3-6AF5F5607E54}" name="Column5928"/>
    <tableColumn id="5929" xr3:uid="{DD2AED45-F6E5-4B29-A58B-3714DA6FDBB3}" name="Column5929"/>
    <tableColumn id="5930" xr3:uid="{1F51C2F8-D2C8-4059-9348-668ECDDEE2C1}" name="Column5930"/>
    <tableColumn id="5931" xr3:uid="{9DC0BA8F-B771-4060-BA93-AEB8107BEF38}" name="Column5931"/>
    <tableColumn id="5932" xr3:uid="{FA3683CC-42B7-44CF-9171-B563BB4120C3}" name="Column5932"/>
    <tableColumn id="5933" xr3:uid="{34FE285F-F4A3-4788-AB06-EFF127655A11}" name="Column5933"/>
    <tableColumn id="5934" xr3:uid="{4A863793-CD80-4CCA-B705-E99D897E998A}" name="Column5934"/>
    <tableColumn id="5935" xr3:uid="{A30E8DB6-9397-437D-846C-33A99B4C1B69}" name="Column5935"/>
    <tableColumn id="5936" xr3:uid="{41D127AA-3EA3-4189-95D5-21BEF280637B}" name="Column5936"/>
    <tableColumn id="5937" xr3:uid="{ACA2A7FA-4D83-4DD3-97FC-1BA5D098D3CD}" name="Column5937"/>
    <tableColumn id="5938" xr3:uid="{DA31C79E-2A1B-421E-A376-5B7C6B746DEA}" name="Column5938"/>
    <tableColumn id="5939" xr3:uid="{D71BC604-16A3-459A-A334-BD441F7BA838}" name="Column5939"/>
    <tableColumn id="5940" xr3:uid="{247CEA36-6917-4DBE-9239-B9EC0EAE939F}" name="Column5940"/>
    <tableColumn id="5941" xr3:uid="{91CBBD28-8CE5-4BE0-AD4F-9B146F17CD76}" name="Column5941"/>
    <tableColumn id="5942" xr3:uid="{5C646FD0-D5EC-4960-B0DD-D633178AA4E0}" name="Column5942"/>
    <tableColumn id="5943" xr3:uid="{DE68D87D-4D1C-4C8C-9E14-A7369D596882}" name="Column5943"/>
    <tableColumn id="5944" xr3:uid="{210F6CD5-DD1B-48C6-AF11-561C0E3B8895}" name="Column5944"/>
    <tableColumn id="5945" xr3:uid="{3D38D01D-F78A-4E33-B5E7-7E5DAC09103C}" name="Column5945"/>
    <tableColumn id="5946" xr3:uid="{E77CA1F9-D60E-44A8-A7E4-E0B76A784513}" name="Column5946"/>
    <tableColumn id="5947" xr3:uid="{4A5911FB-01D9-43CE-8174-3B3D9362A109}" name="Column5947"/>
    <tableColumn id="5948" xr3:uid="{C4F4E682-81D8-4F0F-BA75-6A01E473B691}" name="Column5948"/>
    <tableColumn id="5949" xr3:uid="{EA45C340-120F-4B43-9E96-1CAF3FA865BA}" name="Column5949"/>
    <tableColumn id="5950" xr3:uid="{193D955F-C65D-4BBD-8761-B86D98136988}" name="Column5950"/>
    <tableColumn id="5951" xr3:uid="{B68394FB-2CFF-46FB-B1FB-AB21B966CCDB}" name="Column5951"/>
    <tableColumn id="5952" xr3:uid="{010A8196-D2EA-4A28-9088-F2C981C215FA}" name="Column5952"/>
    <tableColumn id="5953" xr3:uid="{950AC7CC-CC91-459A-9013-635EE5361992}" name="Column5953"/>
    <tableColumn id="5954" xr3:uid="{C66CE06A-A02A-463F-B789-724BC30AC6B1}" name="Column5954"/>
    <tableColumn id="5955" xr3:uid="{421E32CB-5824-48A5-8C43-89F575611EDC}" name="Column5955"/>
    <tableColumn id="5956" xr3:uid="{D85D2D55-6740-4D3C-A4CF-07EE3C61CAEE}" name="Column5956"/>
    <tableColumn id="5957" xr3:uid="{DE3FFB3B-3260-4CEB-A867-528248B53FCB}" name="Column5957"/>
    <tableColumn id="5958" xr3:uid="{A595F351-9387-4072-AD87-0F653F3B318D}" name="Column5958"/>
    <tableColumn id="5959" xr3:uid="{D9A2566E-93F6-49A6-8E07-8972AFBD1348}" name="Column5959"/>
    <tableColumn id="5960" xr3:uid="{19E867C3-9FF3-40C0-BC27-A6711653DC74}" name="Column5960"/>
    <tableColumn id="5961" xr3:uid="{6663EC5B-9664-4445-97DB-2597B56D29FC}" name="Column5961"/>
    <tableColumn id="5962" xr3:uid="{A51EFC7D-AE85-43F2-BE6A-C7744D336C90}" name="Column5962"/>
    <tableColumn id="5963" xr3:uid="{8AEB1AB8-16EC-484F-A04E-A15BD743FFB7}" name="Column5963"/>
    <tableColumn id="5964" xr3:uid="{B7A18C74-4127-499A-9A43-26CB50665D6E}" name="Column5964"/>
    <tableColumn id="5965" xr3:uid="{1A0B09D0-4209-4A6A-A5E4-3C2EA9095C09}" name="Column5965"/>
    <tableColumn id="5966" xr3:uid="{E90A0FAC-176B-4DE0-9E74-C8637585BD70}" name="Column5966"/>
    <tableColumn id="5967" xr3:uid="{9024BE91-4162-4423-A3E1-02BEA5A6C2B7}" name="Column5967"/>
    <tableColumn id="5968" xr3:uid="{66EF78AA-889F-499A-89AB-81B7C13355CB}" name="Column5968"/>
    <tableColumn id="5969" xr3:uid="{12A71EAF-2AA2-4108-ACA3-9D1D2F926B22}" name="Column5969"/>
    <tableColumn id="5970" xr3:uid="{64E44722-DBFA-406D-813C-2D299A0EFB67}" name="Column5970"/>
    <tableColumn id="5971" xr3:uid="{93981FE5-C5CC-46EB-A3BC-E34236A2AFB8}" name="Column5971"/>
    <tableColumn id="5972" xr3:uid="{CDAD2345-DB49-444C-8598-2B855219E836}" name="Column5972"/>
    <tableColumn id="5973" xr3:uid="{E91CC8F0-DA29-4DE3-BBE0-E1A78C40743D}" name="Column5973"/>
    <tableColumn id="5974" xr3:uid="{71652F83-BB20-44A3-BA76-BB2AF478BE0A}" name="Column5974"/>
    <tableColumn id="5975" xr3:uid="{9FE5FB40-FD9E-45B1-823B-C1B259F77D67}" name="Column5975"/>
    <tableColumn id="5976" xr3:uid="{FF22AC04-2E53-4DC6-A4F6-A20F332B65DB}" name="Column5976"/>
    <tableColumn id="5977" xr3:uid="{05F3E2DB-9BC8-43D9-BC31-DC43C2B53FB6}" name="Column5977"/>
    <tableColumn id="5978" xr3:uid="{4B2CD3B0-1602-4C4E-A2DB-20B2271B7F26}" name="Column5978"/>
    <tableColumn id="5979" xr3:uid="{363F6F54-A640-4486-A02A-395BBA33F5AE}" name="Column5979"/>
    <tableColumn id="5980" xr3:uid="{502F2A02-21F3-4B41-A784-759BE50B998B}" name="Column5980"/>
    <tableColumn id="5981" xr3:uid="{D821D480-F228-43F2-B2E9-D519CE7121C2}" name="Column5981"/>
    <tableColumn id="5982" xr3:uid="{7B453E60-3387-4707-8C06-4C031C14CED3}" name="Column5982"/>
    <tableColumn id="5983" xr3:uid="{A715D7CD-C95A-4A90-BFC0-037FAF59F552}" name="Column5983"/>
    <tableColumn id="5984" xr3:uid="{2047A3A9-E907-4AE4-9EAE-6E6733CDA80E}" name="Column5984"/>
    <tableColumn id="5985" xr3:uid="{E2C554F2-A7B1-4FF6-8496-AA2AB445FC41}" name="Column5985"/>
    <tableColumn id="5986" xr3:uid="{561BEA9C-2A47-41A8-8BFF-57905B856A98}" name="Column5986"/>
    <tableColumn id="5987" xr3:uid="{A6AA3E05-DB95-4CC5-AE3C-C732CDD210BD}" name="Column5987"/>
    <tableColumn id="5988" xr3:uid="{B6ECC3EB-FED7-42E6-B54C-36F5F8397664}" name="Column5988"/>
    <tableColumn id="5989" xr3:uid="{2CE14F29-8B58-4433-A3CE-CF76AF478083}" name="Column5989"/>
    <tableColumn id="5990" xr3:uid="{BD74150E-CB7D-4667-BD80-2944D05A2E0C}" name="Column5990"/>
    <tableColumn id="5991" xr3:uid="{883A629B-2A35-4643-928A-8054C9A8D022}" name="Column5991"/>
    <tableColumn id="5992" xr3:uid="{40F35643-5198-4204-B0B7-D1FF04BF44FC}" name="Column5992"/>
    <tableColumn id="5993" xr3:uid="{7909C043-087A-4EB8-8830-59BEE93FC4E8}" name="Column5993"/>
    <tableColumn id="5994" xr3:uid="{706D0734-23E6-4A4D-BD46-FF3652033384}" name="Column5994"/>
    <tableColumn id="5995" xr3:uid="{8770C200-87B0-4CCE-9F7C-7A351EDE677B}" name="Column5995"/>
    <tableColumn id="5996" xr3:uid="{B5C04924-A64F-4814-B87C-65754E8E56CA}" name="Column5996"/>
    <tableColumn id="5997" xr3:uid="{8FB9FCEA-6412-4852-B75F-185EA47F9FC3}" name="Column5997"/>
    <tableColumn id="5998" xr3:uid="{3EFD6F8B-A945-4860-94C4-B129DDB9060A}" name="Column5998"/>
    <tableColumn id="5999" xr3:uid="{7860BF10-132E-4C44-944C-9FA3E5DCC805}" name="Column5999"/>
    <tableColumn id="6000" xr3:uid="{99B08BA2-96DB-4045-9448-6081943CBF77}" name="Column6000"/>
    <tableColumn id="6001" xr3:uid="{70367934-A202-48C4-93DA-64C62D3818A9}" name="Column6001"/>
    <tableColumn id="6002" xr3:uid="{0270F80B-8A28-451D-B773-272756BFEB95}" name="Column6002"/>
    <tableColumn id="6003" xr3:uid="{D404B333-EFF4-429C-BF17-7A2856768E38}" name="Column6003"/>
    <tableColumn id="6004" xr3:uid="{6FD0EEE1-F27F-4D72-BBDF-F25732A7F7EB}" name="Column6004"/>
    <tableColumn id="6005" xr3:uid="{2DFE19D7-93B9-4354-AC62-006150DFCFF3}" name="Column6005"/>
    <tableColumn id="6006" xr3:uid="{B865F49A-53E6-4DD8-8A10-C9CCE98E301B}" name="Column6006"/>
    <tableColumn id="6007" xr3:uid="{71B9D598-10C2-4ACE-8E50-CCC57908C169}" name="Column6007"/>
    <tableColumn id="6008" xr3:uid="{862B184A-A458-49DF-BCB6-7DE30C6441DC}" name="Column6008"/>
    <tableColumn id="6009" xr3:uid="{CB433D76-2287-4D90-8BCC-F40361318E6E}" name="Column6009"/>
    <tableColumn id="6010" xr3:uid="{DE84BA5C-EDB8-4282-AE53-11F8887FBD0D}" name="Column6010"/>
    <tableColumn id="6011" xr3:uid="{D190ED45-D137-4BC1-98C2-2C2FF9F68A4E}" name="Column6011"/>
    <tableColumn id="6012" xr3:uid="{40682641-2635-43D6-B869-2AE4FAD64285}" name="Column6012"/>
    <tableColumn id="6013" xr3:uid="{04851C6C-2049-4B58-877E-F19781326BB2}" name="Column6013"/>
    <tableColumn id="6014" xr3:uid="{8DA654EF-86A1-4ED1-8A38-51D77B493A4F}" name="Column6014"/>
    <tableColumn id="6015" xr3:uid="{4F0A7943-8F49-4739-AB5A-8DE711D4B578}" name="Column6015"/>
    <tableColumn id="6016" xr3:uid="{6647B100-43A0-4ED4-A9F8-87661E76BCB8}" name="Column6016"/>
    <tableColumn id="6017" xr3:uid="{0FA4F421-DAF9-4ADD-8BFC-5CB616BA86AE}" name="Column6017"/>
    <tableColumn id="6018" xr3:uid="{DD1606DA-CB71-4D47-8F24-0F89F9DD5BC9}" name="Column6018"/>
    <tableColumn id="6019" xr3:uid="{E9F7AE05-141A-4445-93DD-178D0438F722}" name="Column6019"/>
    <tableColumn id="6020" xr3:uid="{D2DDF135-7F0E-4BF3-824B-9C16F9D65899}" name="Column6020"/>
    <tableColumn id="6021" xr3:uid="{56708C0F-B970-4193-B5C3-D91BF5C145C7}" name="Column6021"/>
    <tableColumn id="6022" xr3:uid="{38BC7254-8A43-4C32-A2F9-0BBF5F3B7600}" name="Column6022"/>
    <tableColumn id="6023" xr3:uid="{E7F2412C-961D-42E9-8828-91340234336B}" name="Column6023"/>
    <tableColumn id="6024" xr3:uid="{1269B4C9-795C-462A-91F9-3A24526B96B3}" name="Column6024"/>
    <tableColumn id="6025" xr3:uid="{4264FFB3-0962-4AC2-AAC8-50E42082E853}" name="Column6025"/>
    <tableColumn id="6026" xr3:uid="{71875D1C-C32D-4CD5-B973-EE14466A341F}" name="Column6026"/>
    <tableColumn id="6027" xr3:uid="{3998DAEF-8B49-4319-95A4-EB8C054EC632}" name="Column6027"/>
    <tableColumn id="6028" xr3:uid="{CE59B51C-94E5-407E-B814-1DFBD07A80DB}" name="Column6028"/>
    <tableColumn id="6029" xr3:uid="{643EF987-6F8D-4262-9473-533640B8017B}" name="Column6029"/>
    <tableColumn id="6030" xr3:uid="{0C38AD96-F3C5-4BEE-9B85-BC32158DF3DA}" name="Column6030"/>
    <tableColumn id="6031" xr3:uid="{FAC3C36C-20C5-48D1-8A85-C4C38CC1DEB0}" name="Column6031"/>
    <tableColumn id="6032" xr3:uid="{8D82B7D2-2321-48A3-BC84-6383F0117E09}" name="Column6032"/>
    <tableColumn id="6033" xr3:uid="{DFA684AC-1FE1-44DE-B416-2A3298CBDE32}" name="Column6033"/>
    <tableColumn id="6034" xr3:uid="{DC98A1FB-AE6C-4B43-A7D4-8DB2E7B67CD4}" name="Column6034"/>
    <tableColumn id="6035" xr3:uid="{503062A7-3057-4DDB-B135-5D301F28663E}" name="Column6035"/>
    <tableColumn id="6036" xr3:uid="{F6E84ABE-7FAE-4EE4-A367-6E535F3BC2C8}" name="Column6036"/>
    <tableColumn id="6037" xr3:uid="{043662F4-A55E-450B-87EA-C472AA912F75}" name="Column6037"/>
    <tableColumn id="6038" xr3:uid="{B9B8EF9E-67B1-4300-909A-A7A319D46ACE}" name="Column6038"/>
    <tableColumn id="6039" xr3:uid="{B4337C80-1617-4F47-8643-67A84E42D5C4}" name="Column6039"/>
    <tableColumn id="6040" xr3:uid="{B19DBDED-9426-4977-8A66-340A033DA9A8}" name="Column6040"/>
    <tableColumn id="6041" xr3:uid="{F1A9D4D0-EF9D-47D1-9515-0AD95C15E89C}" name="Column6041"/>
    <tableColumn id="6042" xr3:uid="{1DB4567B-E7ED-4E01-AE7F-EC81CD26DA57}" name="Column6042"/>
    <tableColumn id="6043" xr3:uid="{4E37A20D-5400-4B8E-9D46-DAD33DD87BD2}" name="Column6043"/>
    <tableColumn id="6044" xr3:uid="{041E5C49-0689-4F81-8447-EB0EBF18EA7D}" name="Column6044"/>
    <tableColumn id="6045" xr3:uid="{6AA29146-33A0-45BA-8263-66612EFF81EB}" name="Column6045"/>
    <tableColumn id="6046" xr3:uid="{A5E50B24-44F7-42E6-A3B9-F2853156D199}" name="Column6046"/>
    <tableColumn id="6047" xr3:uid="{75CA8D28-A411-49FB-AE8E-5C4B1966E79B}" name="Column6047"/>
    <tableColumn id="6048" xr3:uid="{D5340C1C-038D-4ACE-8B9D-2499121ED10F}" name="Column6048"/>
    <tableColumn id="6049" xr3:uid="{E0098E27-B3C2-4AB0-A81D-013BA842CCA6}" name="Column6049"/>
    <tableColumn id="6050" xr3:uid="{208A75C5-6913-4211-823A-34802AA57CA5}" name="Column6050"/>
    <tableColumn id="6051" xr3:uid="{287ECC05-8B52-4934-945A-EEBF9859A632}" name="Column6051"/>
    <tableColumn id="6052" xr3:uid="{92BD6D42-5CC3-404F-A641-356023AB8ED4}" name="Column6052"/>
    <tableColumn id="6053" xr3:uid="{70071F59-1FB4-48CE-BE51-04B84A0738C8}" name="Column6053"/>
    <tableColumn id="6054" xr3:uid="{DA314476-1745-4620-927E-0C0E148389DB}" name="Column6054"/>
    <tableColumn id="6055" xr3:uid="{9FDE2654-AB10-4291-8C8E-E462DFBBBFE7}" name="Column6055"/>
    <tableColumn id="6056" xr3:uid="{6256AC37-97C8-4026-BC23-CCC976B44EE3}" name="Column6056"/>
    <tableColumn id="6057" xr3:uid="{25F9B46C-91C6-4CC3-8BD2-D4611B8D9692}" name="Column6057"/>
    <tableColumn id="6058" xr3:uid="{7487D74E-ED35-4B59-834B-ED774DCF8847}" name="Column6058"/>
    <tableColumn id="6059" xr3:uid="{E1D8FA9D-21D0-4B17-BC63-AE51B24AF9E6}" name="Column6059"/>
    <tableColumn id="6060" xr3:uid="{3C43FFAA-D131-4D35-BE08-82A308D1B094}" name="Column6060"/>
    <tableColumn id="6061" xr3:uid="{DE4F0936-2E8E-4705-B8E6-CC6D71E53A95}" name="Column6061"/>
    <tableColumn id="6062" xr3:uid="{67A00544-5C97-4E86-896B-3125159E0E44}" name="Column6062"/>
    <tableColumn id="6063" xr3:uid="{46E798E8-9CD9-482E-8369-919EC35565CC}" name="Column6063"/>
    <tableColumn id="6064" xr3:uid="{054AADE7-75C5-49CE-8F46-D327D09EC2C2}" name="Column6064"/>
    <tableColumn id="6065" xr3:uid="{16064D61-73FC-475A-87F4-8EB150A6C013}" name="Column6065"/>
    <tableColumn id="6066" xr3:uid="{45AB70E7-6414-4653-973A-3E38BABE2AEA}" name="Column6066"/>
    <tableColumn id="6067" xr3:uid="{2E5F8B43-634C-4580-80E6-B635E32DFC1C}" name="Column6067"/>
    <tableColumn id="6068" xr3:uid="{6B51CEF1-8110-4D06-9894-FA2E1A8D4922}" name="Column6068"/>
    <tableColumn id="6069" xr3:uid="{97A1AE4E-B6D0-4D1F-953F-85E2BDE29E3A}" name="Column6069"/>
    <tableColumn id="6070" xr3:uid="{E7E4691F-A38B-47ED-97A2-4DCC734D7C3E}" name="Column6070"/>
    <tableColumn id="6071" xr3:uid="{0A7E0579-D4BB-4FE7-81AD-0704CE2DF46A}" name="Column6071"/>
    <tableColumn id="6072" xr3:uid="{F80F3922-EDC6-4505-9014-5CC86898025F}" name="Column6072"/>
    <tableColumn id="6073" xr3:uid="{D5A36E2C-FD86-4083-A432-7F79CEE59CBD}" name="Column6073"/>
    <tableColumn id="6074" xr3:uid="{74116489-3DCE-4B07-AC80-2F668E078F67}" name="Column6074"/>
    <tableColumn id="6075" xr3:uid="{AF9577F2-A859-48E2-89B6-48A9EC79A46F}" name="Column6075"/>
    <tableColumn id="6076" xr3:uid="{9840D0C8-2CA7-4197-BF7F-58A34A249698}" name="Column6076"/>
    <tableColumn id="6077" xr3:uid="{D309751D-91B2-41E0-B10E-82EDBC22E075}" name="Column6077"/>
    <tableColumn id="6078" xr3:uid="{9F9AC1CD-9E8D-4388-9BBB-E3470BEEAD60}" name="Column6078"/>
    <tableColumn id="6079" xr3:uid="{89F51271-B641-44E8-833F-61D4C1E504AC}" name="Column6079"/>
    <tableColumn id="6080" xr3:uid="{7E29A967-5C44-4C21-A3D2-A9CD1E1A69C4}" name="Column6080"/>
    <tableColumn id="6081" xr3:uid="{6579C224-F0FB-4BA8-BB75-014CCF935DA8}" name="Column6081"/>
    <tableColumn id="6082" xr3:uid="{FC07F389-191A-46C1-B497-D8AAE1C8040A}" name="Column6082"/>
    <tableColumn id="6083" xr3:uid="{593415B1-ACAF-4591-88EA-7ED3C51C798A}" name="Column6083"/>
    <tableColumn id="6084" xr3:uid="{ABD30B27-8360-4CE1-A6F3-0374C08A25D1}" name="Column6084"/>
    <tableColumn id="6085" xr3:uid="{B4263D51-D5C3-4198-B481-06A3ED75677C}" name="Column6085"/>
    <tableColumn id="6086" xr3:uid="{F8D15FE6-2532-4369-98A8-CA3C8DC8FC8D}" name="Column6086"/>
    <tableColumn id="6087" xr3:uid="{D1ED8AEF-AB35-4DF7-B31D-1607E867FFA1}" name="Column6087"/>
    <tableColumn id="6088" xr3:uid="{6BD308F6-CDF5-46E4-B9FF-4ECCCED4AAAC}" name="Column6088"/>
    <tableColumn id="6089" xr3:uid="{2E39A53B-DA46-400E-ACB4-D3874BDE947B}" name="Column6089"/>
    <tableColumn id="6090" xr3:uid="{4D019C2F-F3F0-439F-81C0-5DD6FDAA893B}" name="Column6090"/>
    <tableColumn id="6091" xr3:uid="{384B4A7E-8EF8-4E23-8485-8E04D77AC6D6}" name="Column6091"/>
    <tableColumn id="6092" xr3:uid="{3A57E45C-2899-4E4F-AD8C-ACD4A84B78BA}" name="Column6092"/>
    <tableColumn id="6093" xr3:uid="{B5E2A0D7-2566-427F-ACAC-CA1BA9BF8D3D}" name="Column6093"/>
    <tableColumn id="6094" xr3:uid="{0F904CE5-B6B9-4E0A-937D-A7741E8325FA}" name="Column6094"/>
    <tableColumn id="6095" xr3:uid="{F171F0D5-623F-4C96-B510-7C2182DAAB12}" name="Column6095"/>
    <tableColumn id="6096" xr3:uid="{95509CEC-D730-4C59-89F7-2AE3C3ECA22E}" name="Column6096"/>
    <tableColumn id="6097" xr3:uid="{73CA92EE-63A6-4774-8668-038806A67B16}" name="Column6097"/>
    <tableColumn id="6098" xr3:uid="{4C515C76-8F08-46EC-A5BD-A055FF83A241}" name="Column6098"/>
    <tableColumn id="6099" xr3:uid="{158BD367-4E06-4C38-B704-A7B494A97006}" name="Column6099"/>
    <tableColumn id="6100" xr3:uid="{D77ACAFF-2930-4B8A-A7F5-80E361359C13}" name="Column6100"/>
    <tableColumn id="6101" xr3:uid="{0C4D17A4-6588-45EA-AB3D-7549D8C56A88}" name="Column6101"/>
    <tableColumn id="6102" xr3:uid="{03F84E44-5BE7-4C55-A8BA-F3C71C9AEFA5}" name="Column6102"/>
    <tableColumn id="6103" xr3:uid="{80978BDD-AAA1-4155-9FC0-1B7E052877FB}" name="Column6103"/>
    <tableColumn id="6104" xr3:uid="{680D9B8B-C1C8-4892-BEB5-87780E1D6309}" name="Column6104"/>
    <tableColumn id="6105" xr3:uid="{D7BB4019-34DE-4EB0-95FC-9730D80EDFEC}" name="Column6105"/>
    <tableColumn id="6106" xr3:uid="{06BE50B8-AF0D-4E11-AC7D-9078F2DA0B25}" name="Column6106"/>
    <tableColumn id="6107" xr3:uid="{5DE22166-5B6E-47A0-B8AD-A70E793C5107}" name="Column6107"/>
    <tableColumn id="6108" xr3:uid="{09D5BA6C-C886-4419-81A2-E6A9D8638D7E}" name="Column6108"/>
    <tableColumn id="6109" xr3:uid="{D0FE1E90-08C2-4F9C-90F0-01B6EEAE6288}" name="Column6109"/>
    <tableColumn id="6110" xr3:uid="{BFF20922-A465-4A32-8054-9854279002C1}" name="Column6110"/>
    <tableColumn id="6111" xr3:uid="{1F6F67D9-9DFA-4DC8-B12B-DD8C0280BB3E}" name="Column6111"/>
    <tableColumn id="6112" xr3:uid="{465A34ED-BAE9-4BAA-AA38-8A115CACAC9D}" name="Column6112"/>
    <tableColumn id="6113" xr3:uid="{3F623F17-5AF2-4D5B-B0BB-E5E178BCC3FC}" name="Column6113"/>
    <tableColumn id="6114" xr3:uid="{A749767F-CF38-42D0-8B7B-6DFCE667D7FC}" name="Column6114"/>
    <tableColumn id="6115" xr3:uid="{AA5277C8-7889-4F90-9C85-12677222EB42}" name="Column6115"/>
    <tableColumn id="6116" xr3:uid="{8540A042-8406-46E4-919A-CB3C4F9EC9C6}" name="Column6116"/>
    <tableColumn id="6117" xr3:uid="{E0EBC368-1A61-4F47-A730-12D1A559F606}" name="Column6117"/>
    <tableColumn id="6118" xr3:uid="{C62B5169-34BF-4CD4-AE81-BBE641576AC3}" name="Column6118"/>
    <tableColumn id="6119" xr3:uid="{B6964520-AFC1-4CA5-9BDC-828551422F54}" name="Column6119"/>
    <tableColumn id="6120" xr3:uid="{52C075A6-3DA6-469E-9B4F-D074280283C9}" name="Column6120"/>
    <tableColumn id="6121" xr3:uid="{D409E044-17B9-4BA2-82AA-CB4FF19E3E12}" name="Column6121"/>
    <tableColumn id="6122" xr3:uid="{86847331-0073-4818-8DD7-A42D2A9F3099}" name="Column6122"/>
    <tableColumn id="6123" xr3:uid="{3FB548F3-85AF-47FC-A387-B41082E34A21}" name="Column6123"/>
    <tableColumn id="6124" xr3:uid="{81BFCD97-E53D-403C-9F9D-294709D7824A}" name="Column6124"/>
    <tableColumn id="6125" xr3:uid="{B569C047-C81F-4261-9A8F-0EDBBB88A7FA}" name="Column6125"/>
    <tableColumn id="6126" xr3:uid="{3B0B35EB-092A-447A-A3F1-5F38E0781D79}" name="Column6126"/>
    <tableColumn id="6127" xr3:uid="{7CF71658-DE39-4253-A3DD-9BC2CDCC770B}" name="Column6127"/>
    <tableColumn id="6128" xr3:uid="{D0EE4F2C-4D29-4AE5-BA41-C5EA15956288}" name="Column6128"/>
    <tableColumn id="6129" xr3:uid="{6D584195-8D25-46DC-92AB-024E1EF3E59E}" name="Column6129"/>
    <tableColumn id="6130" xr3:uid="{8557C647-BCEA-4ABF-86DF-72E437939DC2}" name="Column6130"/>
    <tableColumn id="6131" xr3:uid="{9DF31F1E-4802-400F-B0D4-A4A42F94905D}" name="Column6131"/>
    <tableColumn id="6132" xr3:uid="{86D2DF3C-1728-4304-B9AD-B1AAE8E3145E}" name="Column6132"/>
    <tableColumn id="6133" xr3:uid="{D7E6C79B-8387-46E5-9090-23F186F24426}" name="Column6133"/>
    <tableColumn id="6134" xr3:uid="{F5248CB8-B4C2-44FA-A5E4-189E4B6184C2}" name="Column6134"/>
    <tableColumn id="6135" xr3:uid="{EBF44977-E141-4DC5-813B-89183035E65E}" name="Column6135"/>
    <tableColumn id="6136" xr3:uid="{E0DA3131-0A35-4BD0-B573-DDCC21312648}" name="Column6136"/>
    <tableColumn id="6137" xr3:uid="{C0657EC8-0DB2-487A-8C4A-1FA7F7C6DFBE}" name="Column6137"/>
    <tableColumn id="6138" xr3:uid="{75C37621-D7DF-4D0A-ABDC-E3EA4D5C8856}" name="Column6138"/>
    <tableColumn id="6139" xr3:uid="{31FE059A-7DDD-4EA0-A355-D35C0EF2A426}" name="Column6139"/>
    <tableColumn id="6140" xr3:uid="{36F69B5E-506E-4964-BB14-479612D09B68}" name="Column6140"/>
    <tableColumn id="6141" xr3:uid="{9CD7B6D5-04E8-4F59-BFBA-978E75D37C20}" name="Column6141"/>
    <tableColumn id="6142" xr3:uid="{A9D18D40-7244-4725-AAC3-7BDDCBF6D480}" name="Column6142"/>
    <tableColumn id="6143" xr3:uid="{5301ECD9-04A3-4058-92F3-96B74FCF171D}" name="Column6143"/>
    <tableColumn id="6144" xr3:uid="{4F8CC02B-08A4-44B7-ADB0-B823E3DEE1EA}" name="Column6144"/>
    <tableColumn id="6145" xr3:uid="{D54A49BB-DD4F-4CBD-915E-CC7D825EE226}" name="Column6145"/>
    <tableColumn id="6146" xr3:uid="{F39F8585-CEA8-4492-8888-4AE08B826DC9}" name="Column6146"/>
    <tableColumn id="6147" xr3:uid="{CEF8B404-653A-4019-AE8E-C77776BE00EC}" name="Column6147"/>
    <tableColumn id="6148" xr3:uid="{05F3608E-D39F-485D-9D63-DB5E47C7D037}" name="Column6148"/>
    <tableColumn id="6149" xr3:uid="{783931DA-E388-47E7-BEDF-54B3BE55F440}" name="Column6149"/>
    <tableColumn id="6150" xr3:uid="{B577E64B-871F-4CD4-833C-0AB9D4B34D59}" name="Column6150"/>
    <tableColumn id="6151" xr3:uid="{E445B16B-6EC1-4E7C-A3CC-A5548DF50B83}" name="Column6151"/>
    <tableColumn id="6152" xr3:uid="{35D70CCB-9A65-4E48-9605-1A0A4CEC39C9}" name="Column6152"/>
    <tableColumn id="6153" xr3:uid="{3552000A-1C09-4C64-AA6F-84AB26AF39A4}" name="Column6153"/>
    <tableColumn id="6154" xr3:uid="{6F8E4231-D5A3-4B95-8FDB-5D054977BFBC}" name="Column6154"/>
    <tableColumn id="6155" xr3:uid="{9A26DF9C-5F9A-446C-9677-3AA796AFBD0B}" name="Column6155"/>
    <tableColumn id="6156" xr3:uid="{29510815-B8D9-42F2-81CA-3D81A090FEED}" name="Column6156"/>
    <tableColumn id="6157" xr3:uid="{E84FC149-003F-4F6D-96A5-05D004203612}" name="Column6157"/>
    <tableColumn id="6158" xr3:uid="{4690D3A2-AF2E-40D8-877C-30DEDD1D21BD}" name="Column6158"/>
    <tableColumn id="6159" xr3:uid="{7EE45B41-8ADE-4933-95CA-2359E6C75D11}" name="Column6159"/>
    <tableColumn id="6160" xr3:uid="{3555E029-A4D3-4467-9E74-D0F07ED6EE18}" name="Column6160"/>
    <tableColumn id="6161" xr3:uid="{944F08B2-DF93-4871-9BD5-58A8E47126FD}" name="Column6161"/>
    <tableColumn id="6162" xr3:uid="{DEA56FDE-22A1-43D4-9582-F1A5FB0FC5CB}" name="Column6162"/>
    <tableColumn id="6163" xr3:uid="{07448573-6109-4C6A-B0C8-591D7CB43782}" name="Column6163"/>
    <tableColumn id="6164" xr3:uid="{52F7B593-C266-4330-96DA-5B01A3ED0FB8}" name="Column6164"/>
    <tableColumn id="6165" xr3:uid="{4531A694-E8C3-4DB1-861B-2092F75EBD06}" name="Column6165"/>
    <tableColumn id="6166" xr3:uid="{21DB386A-A6BB-4A5D-90F6-23AFAB0C35B3}" name="Column6166"/>
    <tableColumn id="6167" xr3:uid="{C197B0F2-10B7-4051-94D4-CF31EAE0D4BD}" name="Column6167"/>
    <tableColumn id="6168" xr3:uid="{B995C8D6-1C8A-4C2E-8417-BDB714787F09}" name="Column6168"/>
    <tableColumn id="6169" xr3:uid="{EE07CD68-31A8-4411-8677-E5E42E4C7B6D}" name="Column6169"/>
    <tableColumn id="6170" xr3:uid="{8A78681B-1FA5-48B6-955D-5B0EB4F7DD56}" name="Column6170"/>
    <tableColumn id="6171" xr3:uid="{1572DB6A-B65E-4AC9-943E-03F86B59BB92}" name="Column6171"/>
    <tableColumn id="6172" xr3:uid="{636E52CB-40F4-425A-B880-65AB3689AFC9}" name="Column6172"/>
    <tableColumn id="6173" xr3:uid="{BAC5FD1B-F68B-4E5B-A307-26C72570C682}" name="Column6173"/>
    <tableColumn id="6174" xr3:uid="{818FB134-6094-4475-A7BB-37DF40503E45}" name="Column6174"/>
    <tableColumn id="6175" xr3:uid="{F62D81D8-68AB-4BF3-8241-ED18BD11364F}" name="Column6175"/>
    <tableColumn id="6176" xr3:uid="{3DF99923-93C5-4A32-9924-1BA29788CA3B}" name="Column6176"/>
    <tableColumn id="6177" xr3:uid="{004AEF22-3A4D-48CB-A3AF-F97262805EEE}" name="Column6177"/>
    <tableColumn id="6178" xr3:uid="{007E3FCC-F9D4-4991-862D-D0207AA46AF2}" name="Column6178"/>
    <tableColumn id="6179" xr3:uid="{90C7E810-F17A-4BE4-8920-96DB78477477}" name="Column6179"/>
    <tableColumn id="6180" xr3:uid="{D0AB53AA-36DE-4020-8C58-80BB037DAD74}" name="Column6180"/>
    <tableColumn id="6181" xr3:uid="{52C7D8B2-64F8-497B-897A-14B65EE78F9A}" name="Column6181"/>
    <tableColumn id="6182" xr3:uid="{7CBA3B19-14AD-41E4-AEB3-95FCADFBDD5B}" name="Column6182"/>
    <tableColumn id="6183" xr3:uid="{223CAD51-B62C-4F3F-86AE-21DB64C729A9}" name="Column6183"/>
    <tableColumn id="6184" xr3:uid="{14E2455E-FD16-40DE-8EC6-377F1C4172C4}" name="Column6184"/>
    <tableColumn id="6185" xr3:uid="{164C4A8D-9ED1-48B3-A675-2C408B24BC9F}" name="Column6185"/>
    <tableColumn id="6186" xr3:uid="{8B1BD20A-E909-4F80-85B1-01AFD534BD33}" name="Column6186"/>
    <tableColumn id="6187" xr3:uid="{CCCC279A-1994-4011-9644-8B9887E968EE}" name="Column6187"/>
    <tableColumn id="6188" xr3:uid="{EFDBB815-C6A8-4DBF-B2D4-A10F6C8285E0}" name="Column6188"/>
    <tableColumn id="6189" xr3:uid="{D7C5728D-489B-4BB2-96C2-F6346986B70B}" name="Column6189"/>
    <tableColumn id="6190" xr3:uid="{B5FB5529-AA53-4A07-AD33-66394BB2996F}" name="Column6190"/>
    <tableColumn id="6191" xr3:uid="{52971C8B-9BF5-41A9-A3CB-EBE74D79A02B}" name="Column6191"/>
    <tableColumn id="6192" xr3:uid="{3B7900B6-867F-40AB-A08C-C78D04C7D8F7}" name="Column6192"/>
    <tableColumn id="6193" xr3:uid="{3EED34CD-ED85-413A-8A9F-3968FB9A25BA}" name="Column6193"/>
    <tableColumn id="6194" xr3:uid="{1E1FDD49-4FE3-4A57-908E-430F166AF7C3}" name="Column6194"/>
    <tableColumn id="6195" xr3:uid="{F886FAA1-A905-4F62-977B-FA9CB2B30879}" name="Column6195"/>
    <tableColumn id="6196" xr3:uid="{142D3C0D-D7B3-4E36-A9FE-61B33327FAAA}" name="Column6196"/>
    <tableColumn id="6197" xr3:uid="{8646ACED-B4EA-4FCE-8B43-00929E9F52DB}" name="Column6197"/>
    <tableColumn id="6198" xr3:uid="{E255AEE2-D0A5-44D5-8568-B390AD291FD7}" name="Column6198"/>
    <tableColumn id="6199" xr3:uid="{BB2AFE78-C9FE-4470-A774-69EFE0024B17}" name="Column6199"/>
    <tableColumn id="6200" xr3:uid="{5E7C4923-23A8-430B-9CCF-090AB0EB20FC}" name="Column6200"/>
    <tableColumn id="6201" xr3:uid="{AE457EDE-B8AA-4814-8EA8-9591AB588E8B}" name="Column6201"/>
    <tableColumn id="6202" xr3:uid="{7184070E-931D-4267-B6C1-77FCF333A161}" name="Column6202"/>
    <tableColumn id="6203" xr3:uid="{EE6B887B-85E4-439F-AF31-06DD919598AB}" name="Column6203"/>
    <tableColumn id="6204" xr3:uid="{2933D1ED-09F1-4E0A-B17D-2E8163A7E24D}" name="Column6204"/>
    <tableColumn id="6205" xr3:uid="{C12C6E42-A359-4CEC-8B7C-A67458B55486}" name="Column6205"/>
    <tableColumn id="6206" xr3:uid="{F6187BF7-27D2-4094-9796-1E115A36E5B6}" name="Column6206"/>
    <tableColumn id="6207" xr3:uid="{CA413C0D-7FF0-4C36-BEC7-A31C60CD7FB4}" name="Column6207"/>
    <tableColumn id="6208" xr3:uid="{426ED7A9-21E7-4160-8EAA-865B1BD877C2}" name="Column6208"/>
    <tableColumn id="6209" xr3:uid="{F1219338-64C5-4E07-B3DC-2DF206CA89F6}" name="Column6209"/>
    <tableColumn id="6210" xr3:uid="{B1353752-4E3B-482B-BD4A-A282A9E6DA0D}" name="Column6210"/>
    <tableColumn id="6211" xr3:uid="{C7D5D862-56C9-46EA-896B-2231981D3D6A}" name="Column6211"/>
    <tableColumn id="6212" xr3:uid="{3142525B-AAC9-411E-8513-29C03114B836}" name="Column6212"/>
    <tableColumn id="6213" xr3:uid="{38C7CD6B-72FE-469B-A61E-4AE6730BBC72}" name="Column6213"/>
    <tableColumn id="6214" xr3:uid="{B1239809-ECC0-4A3E-8150-01C310DE35D8}" name="Column6214"/>
    <tableColumn id="6215" xr3:uid="{56A9CEEB-5105-4ADE-99B6-E6B4F7C04CB6}" name="Column6215"/>
    <tableColumn id="6216" xr3:uid="{03B6FF41-26E7-42C3-A224-6B80A9AE9CD5}" name="Column6216"/>
    <tableColumn id="6217" xr3:uid="{317879A1-3B17-4EF6-BD43-1BE02908C195}" name="Column6217"/>
    <tableColumn id="6218" xr3:uid="{121DE731-BC31-433D-944C-CDC1C54945B2}" name="Column6218"/>
    <tableColumn id="6219" xr3:uid="{728E5D83-2D0D-4CB6-97EB-074877439D44}" name="Column6219"/>
    <tableColumn id="6220" xr3:uid="{CC7D21BE-E084-4E27-BC1A-8FE1176C0AB1}" name="Column6220"/>
    <tableColumn id="6221" xr3:uid="{BB0675E7-5D40-4D89-982A-3F8508F9B2C7}" name="Column6221"/>
    <tableColumn id="6222" xr3:uid="{48A0BC92-CFEC-4A6B-9098-76E5877DD5CA}" name="Column6222"/>
    <tableColumn id="6223" xr3:uid="{5636B0BD-00D2-4CD6-AC47-D2A794AA8F7B}" name="Column6223"/>
    <tableColumn id="6224" xr3:uid="{6BEC3510-B801-4E84-BAB2-BCC47254853A}" name="Column6224"/>
    <tableColumn id="6225" xr3:uid="{7B530D65-9145-40ED-A086-0A075454BFEF}" name="Column6225"/>
    <tableColumn id="6226" xr3:uid="{477F757D-E73E-4A71-AE7F-91B2AEAE3291}" name="Column6226"/>
    <tableColumn id="6227" xr3:uid="{F1F3DB24-DC01-4DAF-B081-7EC4BEDD7C78}" name="Column6227"/>
    <tableColumn id="6228" xr3:uid="{164D66C4-B819-4DCA-B5D7-155664F3C12C}" name="Column6228"/>
    <tableColumn id="6229" xr3:uid="{31FB4522-D403-4C63-BB17-EDA937DAB84A}" name="Column6229"/>
    <tableColumn id="6230" xr3:uid="{4213BDE4-236D-4E45-BD69-BA964AC0A431}" name="Column6230"/>
    <tableColumn id="6231" xr3:uid="{719D615B-C90F-4B9C-B770-583B775046CA}" name="Column6231"/>
    <tableColumn id="6232" xr3:uid="{F25FFB0E-21C4-41E2-9795-ECCFA19B9419}" name="Column6232"/>
    <tableColumn id="6233" xr3:uid="{3F922FA1-1D6F-4B49-8DA8-D7787903D046}" name="Column6233"/>
    <tableColumn id="6234" xr3:uid="{5297F51D-7ED2-4993-8CCF-A0C1D102979E}" name="Column6234"/>
    <tableColumn id="6235" xr3:uid="{3478170D-D524-4915-B36B-73A34DCA2A4E}" name="Column6235"/>
    <tableColumn id="6236" xr3:uid="{0768AAF3-7EFA-4BB7-9523-68F321D2991F}" name="Column6236"/>
    <tableColumn id="6237" xr3:uid="{C1439E74-2B51-486E-ADEA-11C00C7C53CB}" name="Column6237"/>
    <tableColumn id="6238" xr3:uid="{A1470F94-F4ED-41B4-B1E6-61BD8D79EBE4}" name="Column6238"/>
    <tableColumn id="6239" xr3:uid="{2671FBD9-3A98-4FEC-9225-70A6ABD11051}" name="Column6239"/>
    <tableColumn id="6240" xr3:uid="{BDB7D672-1EA2-42F9-8CAD-27389C3D0FA0}" name="Column6240"/>
    <tableColumn id="6241" xr3:uid="{C0DED2B3-3B28-4D27-90A7-0992965CE32A}" name="Column6241"/>
    <tableColumn id="6242" xr3:uid="{EBDB8922-0EC6-45A9-A746-096EBAFAFDD8}" name="Column6242"/>
    <tableColumn id="6243" xr3:uid="{A6E5CBB1-B6DD-4DA3-BFE3-AB78E264B404}" name="Column6243"/>
    <tableColumn id="6244" xr3:uid="{4D8D9C2E-8E24-4FB8-AC9E-7410845F8D56}" name="Column6244"/>
    <tableColumn id="6245" xr3:uid="{C47E3B99-4CFF-4A74-B027-D8EAC6D9684A}" name="Column6245"/>
    <tableColumn id="6246" xr3:uid="{ED048304-0798-4764-B2B5-4D5A47616915}" name="Column6246"/>
    <tableColumn id="6247" xr3:uid="{AAE24659-5F8F-4136-9FF4-DD9D61A6E484}" name="Column6247"/>
    <tableColumn id="6248" xr3:uid="{76664CED-9E20-4347-8B50-AA4C90773037}" name="Column6248"/>
    <tableColumn id="6249" xr3:uid="{753B1F68-1BC8-4345-B7FA-16C0AF417474}" name="Column6249"/>
    <tableColumn id="6250" xr3:uid="{CC67BD9C-5546-4611-A01F-5F233444DAAC}" name="Column6250"/>
    <tableColumn id="6251" xr3:uid="{52263840-110F-4420-86A3-7887CB0F94B1}" name="Column6251"/>
    <tableColumn id="6252" xr3:uid="{007D998B-3841-4DDF-93C4-831324AF7129}" name="Column6252"/>
    <tableColumn id="6253" xr3:uid="{62BD0045-CCFF-4B41-83D1-4CD471BAF678}" name="Column6253"/>
    <tableColumn id="6254" xr3:uid="{90FEAEF3-E3A4-4972-9ED4-04C3EEEF1155}" name="Column6254"/>
    <tableColumn id="6255" xr3:uid="{7835A33E-8CD9-4482-9E33-B1A76A6588D2}" name="Column6255"/>
    <tableColumn id="6256" xr3:uid="{770CFEA1-F45D-4E8F-A936-47C2D358EE63}" name="Column6256"/>
    <tableColumn id="6257" xr3:uid="{D838199A-FAF3-47D7-92D7-57C5B3E84A6A}" name="Column6257"/>
    <tableColumn id="6258" xr3:uid="{10007594-4622-44D3-84DB-6121AEBC7658}" name="Column6258"/>
    <tableColumn id="6259" xr3:uid="{4B4A2A8C-FF7B-49D6-9A48-F724542B7534}" name="Column6259"/>
    <tableColumn id="6260" xr3:uid="{28DDC977-BF52-4D4E-A9FB-228D7A103D7B}" name="Column6260"/>
    <tableColumn id="6261" xr3:uid="{FF79EEF8-19CE-435C-B4B0-B1BEAB7FB61F}" name="Column6261"/>
    <tableColumn id="6262" xr3:uid="{ADDD499E-ADAC-4060-AEAE-433FF8316693}" name="Column6262"/>
    <tableColumn id="6263" xr3:uid="{E5052525-2D5A-44E1-B206-580F6503D47C}" name="Column6263"/>
    <tableColumn id="6264" xr3:uid="{BAD64C88-0EA4-4A2E-AAEA-31B16B7844E6}" name="Column6264"/>
    <tableColumn id="6265" xr3:uid="{15D9F7CF-1CFC-48D0-9FFE-6A8F4D3DCE94}" name="Column6265"/>
    <tableColumn id="6266" xr3:uid="{41069842-365C-4F52-99E9-E23BAC967DBA}" name="Column6266"/>
    <tableColumn id="6267" xr3:uid="{BE6555E3-A7C2-4E1B-8CC5-0CA943327400}" name="Column6267"/>
    <tableColumn id="6268" xr3:uid="{E56B9E7E-E304-42F9-8D9A-CB042DC8D1E6}" name="Column6268"/>
    <tableColumn id="6269" xr3:uid="{784B4BB4-412D-4751-96E4-1F24E69AB4D4}" name="Column6269"/>
    <tableColumn id="6270" xr3:uid="{3396895A-958F-4095-98FB-063FB35256FE}" name="Column6270"/>
    <tableColumn id="6271" xr3:uid="{F58737C5-BE40-44B6-8A81-4709FA1B377C}" name="Column6271"/>
    <tableColumn id="6272" xr3:uid="{D7B12BBD-DB7C-4272-8B0F-58EAFB8D4617}" name="Column6272"/>
    <tableColumn id="6273" xr3:uid="{2A548ED5-3906-4EAB-8446-BDC99364841A}" name="Column6273"/>
    <tableColumn id="6274" xr3:uid="{262AEDB4-EBF4-4D6B-A715-1C3BED056D24}" name="Column6274"/>
    <tableColumn id="6275" xr3:uid="{D43A7BF0-E537-4A45-A459-EEED69D16906}" name="Column6275"/>
    <tableColumn id="6276" xr3:uid="{D3037AC5-20D6-405D-8DF9-1962648B548C}" name="Column6276"/>
    <tableColumn id="6277" xr3:uid="{61DD68DB-3A00-4430-91FB-11FD684703BA}" name="Column6277"/>
    <tableColumn id="6278" xr3:uid="{EB892AAD-14A9-4546-90B2-EC4895382B42}" name="Column6278"/>
    <tableColumn id="6279" xr3:uid="{136F1D71-5E4C-4D64-8CA7-3676F877E672}" name="Column6279"/>
    <tableColumn id="6280" xr3:uid="{1908F228-C03D-4CE0-A939-68711882B7CC}" name="Column6280"/>
    <tableColumn id="6281" xr3:uid="{36BD7620-8B6F-4481-85FA-FBE881523B92}" name="Column6281"/>
    <tableColumn id="6282" xr3:uid="{FB535754-7817-48CE-B325-B0CA369FCF15}" name="Column6282"/>
    <tableColumn id="6283" xr3:uid="{B7AEE43B-6A54-4BCF-868E-EB669CE7281E}" name="Column6283"/>
    <tableColumn id="6284" xr3:uid="{C971D5F5-89A0-4EB1-BE73-C1171652EE95}" name="Column6284"/>
    <tableColumn id="6285" xr3:uid="{9954A0C4-CBED-441E-A914-23E646FBC88C}" name="Column6285"/>
    <tableColumn id="6286" xr3:uid="{727955C7-58D2-4081-B536-DD27E58A9F97}" name="Column6286"/>
    <tableColumn id="6287" xr3:uid="{BF162294-FA20-4C14-940D-641D4933A516}" name="Column6287"/>
    <tableColumn id="6288" xr3:uid="{B822F99C-1251-4C2F-B10A-6F0085A03479}" name="Column6288"/>
    <tableColumn id="6289" xr3:uid="{43C84AB7-160A-4557-AAFC-48E2F6D4AEC9}" name="Column6289"/>
    <tableColumn id="6290" xr3:uid="{3E72D81B-0875-4CC0-A115-FA6D66F89D1A}" name="Column6290"/>
    <tableColumn id="6291" xr3:uid="{44D30B37-F201-4BB6-8B3B-18510C41A1E7}" name="Column6291"/>
    <tableColumn id="6292" xr3:uid="{F0E1C36F-B780-4929-BD61-03C59255ECA0}" name="Column6292"/>
    <tableColumn id="6293" xr3:uid="{DDD39C7F-6BFF-46A2-A871-3ABD0387EA2A}" name="Column6293"/>
    <tableColumn id="6294" xr3:uid="{CD60DDD1-02C6-4CED-9605-EF49B18CB050}" name="Column6294"/>
    <tableColumn id="6295" xr3:uid="{1C30B111-ED42-4A2D-ACA5-888F3BA80E12}" name="Column6295"/>
    <tableColumn id="6296" xr3:uid="{9686B7F0-CF7C-4055-851F-ABDED046C537}" name="Column6296"/>
    <tableColumn id="6297" xr3:uid="{C2F969E5-DF8F-4791-B91C-B4D79AD2E6C0}" name="Column6297"/>
    <tableColumn id="6298" xr3:uid="{0E3A0B37-4BC9-4A23-B681-1BEDDE1231E0}" name="Column6298"/>
    <tableColumn id="6299" xr3:uid="{695C7330-CA45-4FDD-BA71-D75048546BCE}" name="Column6299"/>
    <tableColumn id="6300" xr3:uid="{8B1CA7D0-8470-4FD1-ACFC-2A887B37F2DD}" name="Column6300"/>
    <tableColumn id="6301" xr3:uid="{A01D7A3F-ABBF-498F-A143-1442A0D11136}" name="Column6301"/>
    <tableColumn id="6302" xr3:uid="{EE2F40B9-DA52-4DCB-B964-D02258D66038}" name="Column6302"/>
    <tableColumn id="6303" xr3:uid="{5FE06FE5-EEEE-4D8B-B6AD-26ED24CB6744}" name="Column6303"/>
    <tableColumn id="6304" xr3:uid="{8113A9DD-2B53-4957-ADF8-054D8BE5A1FF}" name="Column6304"/>
    <tableColumn id="6305" xr3:uid="{9D7290ED-9337-431E-8EC2-D71D0D364E8C}" name="Column6305"/>
    <tableColumn id="6306" xr3:uid="{DD2741E1-1286-48A1-8ADB-E8AD51AA9733}" name="Column6306"/>
    <tableColumn id="6307" xr3:uid="{051B6BBC-84C5-466C-BBD3-D4378DAFE995}" name="Column6307"/>
    <tableColumn id="6308" xr3:uid="{16DC75F2-2A10-4B05-8FD7-F98FD2F2DCA4}" name="Column6308"/>
    <tableColumn id="6309" xr3:uid="{D8CBFA25-60BD-45F9-B2D9-72AED5853A5F}" name="Column6309"/>
    <tableColumn id="6310" xr3:uid="{D717FDA3-0DB0-4E32-8288-5C723D4E2660}" name="Column6310"/>
    <tableColumn id="6311" xr3:uid="{E418F268-5760-4881-9AF0-43817314AD0C}" name="Column6311"/>
    <tableColumn id="6312" xr3:uid="{DA28FD03-D000-4359-BA12-F898A18D0964}" name="Column6312"/>
    <tableColumn id="6313" xr3:uid="{91035A4E-2F68-4FC0-B15B-78999377B134}" name="Column6313"/>
    <tableColumn id="6314" xr3:uid="{3E9CC6F2-AF06-4603-B4F6-D6CC7CE8EAD4}" name="Column6314"/>
    <tableColumn id="6315" xr3:uid="{F4360664-1F63-4CCB-B4F7-977FDDAB7027}" name="Column6315"/>
    <tableColumn id="6316" xr3:uid="{44926658-1E25-4FD9-B91D-A76006B1AE5D}" name="Column6316"/>
    <tableColumn id="6317" xr3:uid="{175D68FD-8721-4208-A853-472E909301A5}" name="Column6317"/>
    <tableColumn id="6318" xr3:uid="{5B0F7AF4-7878-4E44-A331-592BA1FAAB21}" name="Column6318"/>
    <tableColumn id="6319" xr3:uid="{B6A2C3FD-0501-430B-AD51-BE84043CE01B}" name="Column6319"/>
    <tableColumn id="6320" xr3:uid="{463CB3B4-A5CB-4D7F-B2B9-5FB6A089F9B2}" name="Column6320"/>
    <tableColumn id="6321" xr3:uid="{349BEDAB-D94E-4137-89DF-A953585C2D85}" name="Column6321"/>
    <tableColumn id="6322" xr3:uid="{BA401BBE-FDE9-45D2-A725-4B40DC34FCD6}" name="Column6322"/>
    <tableColumn id="6323" xr3:uid="{6D4790CA-FD71-44DF-840A-D9E86819184C}" name="Column6323"/>
    <tableColumn id="6324" xr3:uid="{CC42FA37-92CC-40DF-8043-53ED19602A8E}" name="Column6324"/>
    <tableColumn id="6325" xr3:uid="{FE500200-8A10-4076-A754-870D7735FB40}" name="Column6325"/>
    <tableColumn id="6326" xr3:uid="{35540C5F-3B1B-4179-9459-E7CF093259ED}" name="Column6326"/>
    <tableColumn id="6327" xr3:uid="{B7EEBD8D-5047-47B3-ABD1-9404F9A9DD74}" name="Column6327"/>
    <tableColumn id="6328" xr3:uid="{28F4E5A0-6DA0-4485-9746-C3EAA1EE2454}" name="Column6328"/>
    <tableColumn id="6329" xr3:uid="{44D0C0E6-9C18-485F-9127-65F96073C6B4}" name="Column6329"/>
    <tableColumn id="6330" xr3:uid="{FF94499F-141E-47D4-A084-4919627FA796}" name="Column6330"/>
    <tableColumn id="6331" xr3:uid="{57B5FA43-B36A-4E2E-BB29-1009B1E58214}" name="Column6331"/>
    <tableColumn id="6332" xr3:uid="{CC4D19FE-68B7-45A8-BA82-1127E1CB3D17}" name="Column6332"/>
    <tableColumn id="6333" xr3:uid="{3784EA76-BDD2-4129-AAA3-1C3A2A7B0435}" name="Column6333"/>
    <tableColumn id="6334" xr3:uid="{58CE3D0D-5861-4760-9133-A7B0E279F587}" name="Column6334"/>
    <tableColumn id="6335" xr3:uid="{67FE1B9E-281D-49A4-A4F8-8F62CFA0815A}" name="Column6335"/>
    <tableColumn id="6336" xr3:uid="{264FF115-1EF2-4074-AAA2-9E932E512235}" name="Column6336"/>
    <tableColumn id="6337" xr3:uid="{19B68FF2-8492-4D77-80DB-79AF0F843BA8}" name="Column6337"/>
    <tableColumn id="6338" xr3:uid="{AB39379C-3E36-40A3-92E8-75D1EE554075}" name="Column6338"/>
    <tableColumn id="6339" xr3:uid="{518598FD-FC07-4430-9E52-9FB4594227A2}" name="Column6339"/>
    <tableColumn id="6340" xr3:uid="{0168E4FA-6BE0-4932-8BCE-CBB5C47FF3A5}" name="Column6340"/>
    <tableColumn id="6341" xr3:uid="{5C7570CE-98B1-4B2B-8440-416D2A251350}" name="Column6341"/>
    <tableColumn id="6342" xr3:uid="{A75488D2-8BB2-457E-8424-561777237FC5}" name="Column6342"/>
    <tableColumn id="6343" xr3:uid="{EB8AE525-846C-4B3B-9AF5-C2F90F6E4EE9}" name="Column6343"/>
    <tableColumn id="6344" xr3:uid="{0F16BCF7-CA65-4D8F-AAC0-658FA3FE7CBB}" name="Column6344"/>
    <tableColumn id="6345" xr3:uid="{C2FEF47E-8E21-46C4-A0E1-097C8A0878ED}" name="Column6345"/>
    <tableColumn id="6346" xr3:uid="{6DD41FFC-98A6-479F-A3A5-15F12F7CF5C7}" name="Column6346"/>
    <tableColumn id="6347" xr3:uid="{52DD8B12-6060-4033-880D-1B7ED8E93F6D}" name="Column6347"/>
    <tableColumn id="6348" xr3:uid="{F84C9A72-C247-4393-8DD3-15ED6DEB3604}" name="Column6348"/>
    <tableColumn id="6349" xr3:uid="{1680036D-66B2-4245-8BA3-7C6DBC836E18}" name="Column6349"/>
    <tableColumn id="6350" xr3:uid="{AB26F9A3-43A5-47AE-B016-393E266E1F11}" name="Column6350"/>
    <tableColumn id="6351" xr3:uid="{E6CCC97D-3AC8-4987-ACF0-95972EF1240F}" name="Column6351"/>
    <tableColumn id="6352" xr3:uid="{D15DA93A-E3D3-445A-A1D1-ACEA4350E856}" name="Column6352"/>
    <tableColumn id="6353" xr3:uid="{ACA666D4-65D5-4076-8095-B77EBE425F7D}" name="Column6353"/>
    <tableColumn id="6354" xr3:uid="{6D1AC0E3-1846-4194-9737-DB591A24231D}" name="Column6354"/>
    <tableColumn id="6355" xr3:uid="{1A8841FB-F38E-4679-AF12-6781C0E57022}" name="Column6355"/>
    <tableColumn id="6356" xr3:uid="{DF1B03FA-05BB-4098-9D1D-A3210388B979}" name="Column6356"/>
    <tableColumn id="6357" xr3:uid="{1A726478-CFCA-4341-94ED-7E5B9BBF5E9D}" name="Column6357"/>
    <tableColumn id="6358" xr3:uid="{CC7FD361-01FC-4B3A-9B04-E80191013943}" name="Column6358"/>
    <tableColumn id="6359" xr3:uid="{76213D24-1E7C-4372-B926-8D9C405A1664}" name="Column6359"/>
    <tableColumn id="6360" xr3:uid="{A798DC85-91FA-4D56-B6EA-8E93BBB77228}" name="Column6360"/>
    <tableColumn id="6361" xr3:uid="{47FACC81-021B-4CBE-8523-8E13ABB1E63C}" name="Column6361"/>
    <tableColumn id="6362" xr3:uid="{3D8CEB28-2013-4622-93EA-B99DF43ABD56}" name="Column6362"/>
    <tableColumn id="6363" xr3:uid="{2656BC1D-591A-4E9F-BB5B-F81F396F5353}" name="Column6363"/>
    <tableColumn id="6364" xr3:uid="{0629D5EB-B742-4667-861B-AC4D7DD072BE}" name="Column6364"/>
    <tableColumn id="6365" xr3:uid="{911B0E1C-7495-4DB6-8E15-CFFB6E3BD985}" name="Column6365"/>
    <tableColumn id="6366" xr3:uid="{8B216622-5EE8-419A-903B-1E7B22400EE2}" name="Column6366"/>
    <tableColumn id="6367" xr3:uid="{DE07E6BB-3C4F-458D-B79F-5414A9F91792}" name="Column6367"/>
    <tableColumn id="6368" xr3:uid="{91890307-E2C0-40E4-ACDD-D16193341C47}" name="Column6368"/>
    <tableColumn id="6369" xr3:uid="{E976545D-90B7-4943-8650-295802D714BE}" name="Column6369"/>
    <tableColumn id="6370" xr3:uid="{7915848F-2981-48BB-88B9-6B6A63F74527}" name="Column6370"/>
    <tableColumn id="6371" xr3:uid="{5B5B97FF-90B3-42D0-8B09-80BC63B6D250}" name="Column6371"/>
    <tableColumn id="6372" xr3:uid="{06340652-AA83-41C1-BA4D-76DAECAAF064}" name="Column6372"/>
    <tableColumn id="6373" xr3:uid="{EF36C9E5-79F3-4EA8-8D83-4263AB5C3246}" name="Column6373"/>
    <tableColumn id="6374" xr3:uid="{7EE92937-DFF3-4C00-A302-17CA97A5CA0A}" name="Column6374"/>
    <tableColumn id="6375" xr3:uid="{6449C8A1-ADB2-4AE9-85D9-7C4503F4A1D0}" name="Column6375"/>
    <tableColumn id="6376" xr3:uid="{A240F4EC-F3FE-44C3-BC23-B820B925C2CD}" name="Column6376"/>
    <tableColumn id="6377" xr3:uid="{E6741792-476D-48AE-AEC0-D263BA2DA7A4}" name="Column6377"/>
    <tableColumn id="6378" xr3:uid="{CA7F96F3-2608-43F1-B49B-D979CA94E2F1}" name="Column6378"/>
    <tableColumn id="6379" xr3:uid="{DA9421D5-069C-4329-A37D-1B08BD2DACCE}" name="Column6379"/>
    <tableColumn id="6380" xr3:uid="{10A5A9D0-3670-4928-BF7B-BC3D793D8974}" name="Column6380"/>
    <tableColumn id="6381" xr3:uid="{5FAB6139-C356-4ABE-905E-21FF9BDCD6A9}" name="Column6381"/>
    <tableColumn id="6382" xr3:uid="{59C9AB89-A1BC-4902-9076-3885D830B4E8}" name="Column6382"/>
    <tableColumn id="6383" xr3:uid="{9079BC7B-F0DC-4485-949A-D56DBDA68D8A}" name="Column6383"/>
    <tableColumn id="6384" xr3:uid="{D6F37428-775C-46A1-8980-1C9C6912978B}" name="Column6384"/>
    <tableColumn id="6385" xr3:uid="{876B8405-754F-4595-8299-D64A6B25AAF0}" name="Column6385"/>
    <tableColumn id="6386" xr3:uid="{CD4F5249-4254-4D05-8457-3A8C88192195}" name="Column6386"/>
    <tableColumn id="6387" xr3:uid="{0FFFA496-1FE9-4C93-AD2A-0DBE1AADB0F4}" name="Column6387"/>
    <tableColumn id="6388" xr3:uid="{E254E313-73BE-48B5-B90D-6860B06DB29D}" name="Column6388"/>
    <tableColumn id="6389" xr3:uid="{172F8207-2E28-4B29-A8ED-09EF5462822B}" name="Column6389"/>
    <tableColumn id="6390" xr3:uid="{A7EBBD37-2F71-4C2A-997C-DA4D9CC78BFB}" name="Column6390"/>
    <tableColumn id="6391" xr3:uid="{34935F82-A003-4DF3-B3AF-A5242BEBE9AB}" name="Column6391"/>
    <tableColumn id="6392" xr3:uid="{F8B37FEC-7ABE-4318-854B-58950D4C430F}" name="Column6392"/>
    <tableColumn id="6393" xr3:uid="{A94B5999-BAA4-4CD6-97CB-F5A251771795}" name="Column6393"/>
    <tableColumn id="6394" xr3:uid="{D3F73CF7-150F-4BF3-A793-30194E3262E4}" name="Column6394"/>
    <tableColumn id="6395" xr3:uid="{D64455E5-398F-4340-BFED-1365203DD474}" name="Column6395"/>
    <tableColumn id="6396" xr3:uid="{4BCC540E-9794-437C-8D65-63CF3C112386}" name="Column6396"/>
    <tableColumn id="6397" xr3:uid="{9AEA7593-0F9A-4A35-AAFA-9650A20BE5C3}" name="Column6397"/>
    <tableColumn id="6398" xr3:uid="{380663C0-75DD-4A7E-BEF5-0FFC28417A00}" name="Column6398"/>
    <tableColumn id="6399" xr3:uid="{0650640E-A44B-42E5-A539-9B9F7326AF83}" name="Column6399"/>
    <tableColumn id="6400" xr3:uid="{EB2812FB-28AF-4CB6-851D-1FC5ECC13E8E}" name="Column6400"/>
    <tableColumn id="6401" xr3:uid="{D4B92DF5-AC97-4665-8B1D-ED4E0221641D}" name="Column6401"/>
    <tableColumn id="6402" xr3:uid="{A1D308D6-4982-41DA-A47E-9A4654AC7AB9}" name="Column6402"/>
    <tableColumn id="6403" xr3:uid="{18973F83-DB35-44BC-9191-C70C40B016E0}" name="Column6403"/>
    <tableColumn id="6404" xr3:uid="{10AE821D-4EAA-4351-B692-DC7025E69FDC}" name="Column6404"/>
    <tableColumn id="6405" xr3:uid="{FD16FA31-4861-47BC-B54E-B4E1EB3AC225}" name="Column6405"/>
    <tableColumn id="6406" xr3:uid="{E36A567F-47B5-4964-B2E1-D7167457657E}" name="Column6406"/>
    <tableColumn id="6407" xr3:uid="{D441269B-177E-4238-812B-A6A199F0E638}" name="Column6407"/>
    <tableColumn id="6408" xr3:uid="{3D37B789-E3DC-4059-9730-893261EEF72A}" name="Column6408"/>
    <tableColumn id="6409" xr3:uid="{F37775F0-5C69-4394-8D96-DA8F205723B5}" name="Column6409"/>
    <tableColumn id="6410" xr3:uid="{01759B24-1C29-4C57-AC8B-D00EFBB1858E}" name="Column6410"/>
    <tableColumn id="6411" xr3:uid="{C08EF0F4-32CB-4594-A79B-84AC03093A49}" name="Column6411"/>
    <tableColumn id="6412" xr3:uid="{DAC25388-C1E7-48FB-9582-AB99750AE944}" name="Column6412"/>
    <tableColumn id="6413" xr3:uid="{1CCCBE4F-8E54-4A58-814F-3C200657D75B}" name="Column6413"/>
    <tableColumn id="6414" xr3:uid="{F573ECF3-9EE1-4612-92A2-1E29ABBFDE4A}" name="Column6414"/>
    <tableColumn id="6415" xr3:uid="{1ED33510-5FF7-4AE6-9A60-8BAA86952684}" name="Column6415"/>
    <tableColumn id="6416" xr3:uid="{8AD38D30-94A9-48B8-9D9A-23FFCEE8A492}" name="Column6416"/>
    <tableColumn id="6417" xr3:uid="{0260F961-7823-481F-91B2-CDA2E9B53B6D}" name="Column6417"/>
    <tableColumn id="6418" xr3:uid="{3C6B6C4F-0823-4F94-A935-A5472974F7C9}" name="Column6418"/>
    <tableColumn id="6419" xr3:uid="{14456FF1-ADA8-42D3-A515-42C97E8D5E14}" name="Column6419"/>
    <tableColumn id="6420" xr3:uid="{6E1C2D8B-AD6F-44D0-BCF3-CB56D3951DE3}" name="Column6420"/>
    <tableColumn id="6421" xr3:uid="{C7559523-AA23-4F0C-9288-D788F3117221}" name="Column6421"/>
    <tableColumn id="6422" xr3:uid="{B51B81DF-DED8-44C1-A55E-A71F4F6E483A}" name="Column6422"/>
    <tableColumn id="6423" xr3:uid="{90A4714C-CF02-45B7-BD04-E8812A80B7B1}" name="Column6423"/>
    <tableColumn id="6424" xr3:uid="{CE4D8907-7B27-451B-8FBB-C68D980043AC}" name="Column6424"/>
    <tableColumn id="6425" xr3:uid="{10E22F17-5BC2-472D-8F81-052C2916E9AA}" name="Column6425"/>
    <tableColumn id="6426" xr3:uid="{A566731D-FB50-41DD-BBA9-20677337AF7B}" name="Column6426"/>
    <tableColumn id="6427" xr3:uid="{ABD96E21-9207-4D2C-9402-F4C76D3FD61A}" name="Column6427"/>
    <tableColumn id="6428" xr3:uid="{CBA0411A-96B0-41F1-83B8-5EF0F048BDDC}" name="Column6428"/>
    <tableColumn id="6429" xr3:uid="{AA0FDB55-685D-4756-AF07-47947936DCC3}" name="Column6429"/>
    <tableColumn id="6430" xr3:uid="{D32294A0-B921-40D5-9971-33A3D4B19C8B}" name="Column6430"/>
    <tableColumn id="6431" xr3:uid="{66BF9A28-AEEA-4FFB-ACC1-69D594C57F08}" name="Column6431"/>
    <tableColumn id="6432" xr3:uid="{BE471286-17DA-48F0-BAA1-B40E01A20489}" name="Column6432"/>
    <tableColumn id="6433" xr3:uid="{D0D7C58B-3D6B-4EFB-A5B7-A16A71A12084}" name="Column6433"/>
    <tableColumn id="6434" xr3:uid="{75FCBF02-546D-489E-89DD-8ED8CB6329D8}" name="Column6434"/>
    <tableColumn id="6435" xr3:uid="{32EA76CD-0906-470E-A82C-6D8DDBBF4CF1}" name="Column6435"/>
    <tableColumn id="6436" xr3:uid="{38BFEB81-8C6A-4818-8038-46163ADA1497}" name="Column6436"/>
    <tableColumn id="6437" xr3:uid="{7C03106B-6769-414F-BDF3-E8D915FB7E41}" name="Column6437"/>
    <tableColumn id="6438" xr3:uid="{D76906E5-EA6E-4671-BDDE-3CD3811DD374}" name="Column6438"/>
    <tableColumn id="6439" xr3:uid="{44BDC050-ACC3-468A-9495-BCD34C984C6C}" name="Column6439"/>
    <tableColumn id="6440" xr3:uid="{0D9E1C23-A368-4643-B187-FB6C32504087}" name="Column6440"/>
    <tableColumn id="6441" xr3:uid="{F260C2AD-040E-4681-BF9F-78164CD6D782}" name="Column6441"/>
    <tableColumn id="6442" xr3:uid="{320A7A31-D073-4013-A46D-C11D2C1FD4EE}" name="Column6442"/>
    <tableColumn id="6443" xr3:uid="{2C1AF3B9-FD0C-4271-B57C-655A1B5EDEE3}" name="Column6443"/>
    <tableColumn id="6444" xr3:uid="{1F47E57B-F23F-487D-8D9C-1C13A015EFC8}" name="Column6444"/>
    <tableColumn id="6445" xr3:uid="{8CB5511E-EF42-4FAC-9AA5-CDB4CEEC7EC6}" name="Column6445"/>
    <tableColumn id="6446" xr3:uid="{5D92E5D4-C639-4312-A3BC-57618285DE29}" name="Column6446"/>
    <tableColumn id="6447" xr3:uid="{AD88743E-5574-48F3-933C-7939C6F569FB}" name="Column6447"/>
    <tableColumn id="6448" xr3:uid="{DA304CE2-FD5F-45C4-96F7-27FF71AF2D5F}" name="Column6448"/>
    <tableColumn id="6449" xr3:uid="{EAAA3EB6-D50B-4D88-833A-C2394CE648E4}" name="Column6449"/>
    <tableColumn id="6450" xr3:uid="{56C16711-B1C7-456D-98C0-E057628D09E3}" name="Column6450"/>
    <tableColumn id="6451" xr3:uid="{7808833B-9862-4C9D-A029-C431C681EFC0}" name="Column6451"/>
    <tableColumn id="6452" xr3:uid="{614D8869-83E4-4778-B20C-F9B6676D421D}" name="Column6452"/>
    <tableColumn id="6453" xr3:uid="{3724C394-EEAC-4496-BFEF-2F9C393E1BD0}" name="Column6453"/>
    <tableColumn id="6454" xr3:uid="{F69C1BB1-1DB5-45B2-A5E3-82B254427D3D}" name="Column6454"/>
    <tableColumn id="6455" xr3:uid="{68A0DF0A-1A2D-443E-9D57-3691E34C02D4}" name="Column6455"/>
    <tableColumn id="6456" xr3:uid="{F09D9308-9E06-4F7B-B9BC-CB35730775F6}" name="Column6456"/>
    <tableColumn id="6457" xr3:uid="{5ACA599D-39E4-49C2-86D0-7EB8D8974C39}" name="Column6457"/>
    <tableColumn id="6458" xr3:uid="{A655BDF1-D5DD-4D93-A321-051F95B26B6A}" name="Column6458"/>
    <tableColumn id="6459" xr3:uid="{6F16D9B3-D62D-431E-A706-17E196CFF2C3}" name="Column6459"/>
    <tableColumn id="6460" xr3:uid="{E1589E23-134D-4CA5-88FB-988A861DB2A9}" name="Column6460"/>
    <tableColumn id="6461" xr3:uid="{CF5952D6-CDE8-4355-AF5D-250497DA4987}" name="Column6461"/>
    <tableColumn id="6462" xr3:uid="{3B27FF93-EEF7-47E8-B96B-AC00A891A8D1}" name="Column6462"/>
    <tableColumn id="6463" xr3:uid="{92F1066A-FB07-4D74-8BD3-54473B606638}" name="Column6463"/>
    <tableColumn id="6464" xr3:uid="{1AA56A94-51B6-48D3-BE42-73F8FF8EB889}" name="Column6464"/>
    <tableColumn id="6465" xr3:uid="{945CE312-97B2-499D-B540-A025FC21F2CD}" name="Column6465"/>
    <tableColumn id="6466" xr3:uid="{DF39A8A3-5053-4D64-A7FB-BE5953D9245D}" name="Column6466"/>
    <tableColumn id="6467" xr3:uid="{BBCC2FAE-30C4-4E26-A12E-556AD5BFA505}" name="Column6467"/>
    <tableColumn id="6468" xr3:uid="{DFAA87F0-DA1B-4FFD-BE05-31376EBF06E3}" name="Column6468"/>
    <tableColumn id="6469" xr3:uid="{046CD95B-C689-40A6-88E3-F66ADD144811}" name="Column6469"/>
    <tableColumn id="6470" xr3:uid="{6071116F-9FD2-4220-A2A9-826239BAE42A}" name="Column6470"/>
    <tableColumn id="6471" xr3:uid="{1993F9DF-8824-401D-9243-2D68D4D66251}" name="Column6471"/>
    <tableColumn id="6472" xr3:uid="{58887FD4-02EE-48C1-9216-14154AA687A4}" name="Column6472"/>
    <tableColumn id="6473" xr3:uid="{97EC3B66-431A-41D2-838A-A49FD6624F36}" name="Column6473"/>
    <tableColumn id="6474" xr3:uid="{220B58AF-C237-4AC3-8CAB-8CBC5AA4FB96}" name="Column6474"/>
    <tableColumn id="6475" xr3:uid="{8966C4F1-35E2-4654-86BD-2E5FD658E5B4}" name="Column6475"/>
    <tableColumn id="6476" xr3:uid="{9D0E2779-D800-44EF-9CEA-E421C0DD55BA}" name="Column6476"/>
    <tableColumn id="6477" xr3:uid="{2FD08799-0037-4B40-AEB4-5C6958785D06}" name="Column6477"/>
    <tableColumn id="6478" xr3:uid="{E3980B6D-30F5-4FAF-9A31-6DE24DE419C7}" name="Column6478"/>
    <tableColumn id="6479" xr3:uid="{06A0EEC2-FC18-4E67-A0D5-44182E9ECF31}" name="Column6479"/>
    <tableColumn id="6480" xr3:uid="{C95B6437-5157-49AF-8D2F-DC60E1853807}" name="Column6480"/>
    <tableColumn id="6481" xr3:uid="{E106DF77-8E9D-4924-A704-6373E777CD3E}" name="Column6481"/>
    <tableColumn id="6482" xr3:uid="{D3F30F30-7EA4-4304-889F-29E2EC4684FD}" name="Column6482"/>
    <tableColumn id="6483" xr3:uid="{063303FB-2E17-492A-A38E-B1A382D7FB2D}" name="Column6483"/>
    <tableColumn id="6484" xr3:uid="{B2F030B9-E841-4D81-AF21-5F399D9DEFD0}" name="Column6484"/>
    <tableColumn id="6485" xr3:uid="{9BDB7F99-2B5D-4D83-81E4-7B247A92F45C}" name="Column6485"/>
    <tableColumn id="6486" xr3:uid="{ED55CFD0-029A-4308-98E7-0BA5A24E76BB}" name="Column6486"/>
    <tableColumn id="6487" xr3:uid="{0BD19A96-BE8A-45B1-B2CC-3E7D605C465A}" name="Column6487"/>
    <tableColumn id="6488" xr3:uid="{7846D2FF-A94C-4AF8-9B2A-B6077A56169E}" name="Column6488"/>
    <tableColumn id="6489" xr3:uid="{16859D60-0167-4C69-86BC-C8B586E29BFF}" name="Column6489"/>
    <tableColumn id="6490" xr3:uid="{B757C116-C239-46D2-9F98-E07C1EFC8688}" name="Column6490"/>
    <tableColumn id="6491" xr3:uid="{614CDA8C-951D-472F-9CFB-CC4CEF179E77}" name="Column6491"/>
    <tableColumn id="6492" xr3:uid="{7835BF0A-3C60-4D5A-BF85-451E27D04A23}" name="Column6492"/>
    <tableColumn id="6493" xr3:uid="{94A57F53-8152-403B-948C-8572B4B10506}" name="Column6493"/>
    <tableColumn id="6494" xr3:uid="{94A36CEA-B0F2-43C6-95A9-9B3AC33F2783}" name="Column6494"/>
    <tableColumn id="6495" xr3:uid="{36857BFA-69A5-44A2-844C-0869C7BD0AAF}" name="Column6495"/>
    <tableColumn id="6496" xr3:uid="{7623AC9B-A28A-41BE-9F1B-8A8A5D3456B4}" name="Column6496"/>
    <tableColumn id="6497" xr3:uid="{29EC1F1F-5E1B-431D-AF72-34E98D4BEB2D}" name="Column6497"/>
    <tableColumn id="6498" xr3:uid="{79A68803-7ABD-45C8-9EC9-3CA15FC7B286}" name="Column6498"/>
    <tableColumn id="6499" xr3:uid="{1D9CB254-CA58-41AE-B8F9-98C0D1115759}" name="Column6499"/>
    <tableColumn id="6500" xr3:uid="{E557A9FB-D119-400B-B604-F12896994106}" name="Column6500"/>
    <tableColumn id="6501" xr3:uid="{011D2728-1BCD-4DA9-ABA5-5AFA2D9DFD9D}" name="Column6501"/>
    <tableColumn id="6502" xr3:uid="{5E118D63-51D1-4FD5-906B-D583B18A0A36}" name="Column6502"/>
    <tableColumn id="6503" xr3:uid="{05B0457B-76A2-4997-A796-EB5AC1E4FE56}" name="Column6503"/>
    <tableColumn id="6504" xr3:uid="{22593E37-8D05-45DF-905D-406DA1A23529}" name="Column6504"/>
    <tableColumn id="6505" xr3:uid="{56708600-4582-4BA0-AE70-BC720A7C060D}" name="Column6505"/>
    <tableColumn id="6506" xr3:uid="{83BC265A-F9A0-4D58-8EE0-2DC2F76A4562}" name="Column6506"/>
    <tableColumn id="6507" xr3:uid="{70DABCA7-33CB-4CD0-BEAF-317105FDC331}" name="Column6507"/>
    <tableColumn id="6508" xr3:uid="{ED04DB69-C016-45E1-820B-9E36B60C938F}" name="Column6508"/>
    <tableColumn id="6509" xr3:uid="{EF8650B0-CEFD-4FBB-9704-5AC39C203727}" name="Column6509"/>
    <tableColumn id="6510" xr3:uid="{6FBD8E23-95D6-4CAA-B4C4-7E0297B1FE2D}" name="Column6510"/>
    <tableColumn id="6511" xr3:uid="{EA0F004F-CC33-4D95-AACB-20336984EF89}" name="Column6511"/>
    <tableColumn id="6512" xr3:uid="{537B4D67-EFC5-4CF3-A17A-DAF1B7423D67}" name="Column6512"/>
    <tableColumn id="6513" xr3:uid="{E55095F0-CB4A-4F2B-92F4-47939E23A25D}" name="Column6513"/>
    <tableColumn id="6514" xr3:uid="{8947A648-AA0C-4619-9014-8D0DE20856E4}" name="Column6514"/>
    <tableColumn id="6515" xr3:uid="{9ACD8ABD-5575-4439-B3A7-B2CC1C16FB61}" name="Column6515"/>
    <tableColumn id="6516" xr3:uid="{50ABE668-E4E3-422A-BAFA-6D55884B9016}" name="Column6516"/>
    <tableColumn id="6517" xr3:uid="{613983E2-8107-4B44-BFB5-F51D2FC39E2C}" name="Column6517"/>
    <tableColumn id="6518" xr3:uid="{E568E312-7F0D-470C-964F-D1921DE8AF0F}" name="Column6518"/>
    <tableColumn id="6519" xr3:uid="{67DDFBE1-ACD5-42DE-826E-8328E7D78151}" name="Column6519"/>
    <tableColumn id="6520" xr3:uid="{0811D479-EFC7-46FE-B242-05363B1DABFE}" name="Column6520"/>
    <tableColumn id="6521" xr3:uid="{F852B28C-9B69-4DD5-809A-ADD64B3BF5A1}" name="Column6521"/>
    <tableColumn id="6522" xr3:uid="{48ECB013-1A34-4F4A-B12E-617C3FC8E9D4}" name="Column6522"/>
    <tableColumn id="6523" xr3:uid="{CC68A4E0-F22A-4AA8-A4E5-0F12B35116FE}" name="Column6523"/>
    <tableColumn id="6524" xr3:uid="{CA1899DF-847B-4128-B93F-570C7AA93378}" name="Column6524"/>
    <tableColumn id="6525" xr3:uid="{191A299F-D8F2-49D6-B53D-05C9DDB86197}" name="Column6525"/>
    <tableColumn id="6526" xr3:uid="{D025AE4C-1B96-4D42-B176-E5CD26612797}" name="Column6526"/>
    <tableColumn id="6527" xr3:uid="{3DBF2861-5145-4DC6-A1BE-46C1A4F2AE96}" name="Column6527"/>
    <tableColumn id="6528" xr3:uid="{382418EA-66F9-4964-B3AF-20FCEB6C5E00}" name="Column6528"/>
    <tableColumn id="6529" xr3:uid="{AC7EEB08-7ECC-4890-A260-FA08FA6378B2}" name="Column6529"/>
    <tableColumn id="6530" xr3:uid="{DE25142A-AF21-4FE6-A721-169D53570E36}" name="Column6530"/>
    <tableColumn id="6531" xr3:uid="{5F395CD1-D4BC-4816-949C-0759C7D014A4}" name="Column6531"/>
    <tableColumn id="6532" xr3:uid="{E43267A8-F3F0-4755-A11E-826FC11232B6}" name="Column6532"/>
    <tableColumn id="6533" xr3:uid="{12E92C29-B271-4C3E-ABA4-93B68B3E307E}" name="Column6533"/>
    <tableColumn id="6534" xr3:uid="{257625F8-456E-4DFE-9A30-765135E1EA08}" name="Column6534"/>
    <tableColumn id="6535" xr3:uid="{B2C2B951-555D-4CEB-A8C8-3324526DA503}" name="Column6535"/>
    <tableColumn id="6536" xr3:uid="{FFDE48B5-D5D7-4C88-B94A-EBDC2F9B1C3E}" name="Column6536"/>
    <tableColumn id="6537" xr3:uid="{A16B7F41-9813-492C-BFAC-E97F1DDE5BC6}" name="Column6537"/>
    <tableColumn id="6538" xr3:uid="{8E4B5252-1BFF-41CE-9659-225D53AE70EC}" name="Column6538"/>
    <tableColumn id="6539" xr3:uid="{26FFF4FE-AF16-4CB6-BAD9-D87FC2267AB4}" name="Column6539"/>
    <tableColumn id="6540" xr3:uid="{1BE3E239-B401-4067-B3A6-1873F472CAF9}" name="Column6540"/>
    <tableColumn id="6541" xr3:uid="{DE8305F0-9CA4-4C16-975B-4CAADE8EA250}" name="Column6541"/>
    <tableColumn id="6542" xr3:uid="{92679C75-AD83-4507-A010-E1A636001903}" name="Column6542"/>
    <tableColumn id="6543" xr3:uid="{134F5E2B-20CC-460B-9BDB-734EEEA75E70}" name="Column6543"/>
    <tableColumn id="6544" xr3:uid="{7118518F-FD4C-41C4-A3BF-F89148661057}" name="Column6544"/>
    <tableColumn id="6545" xr3:uid="{FF48247E-8755-4579-8BB9-4B9F55A30643}" name="Column6545"/>
    <tableColumn id="6546" xr3:uid="{C4ABB0F0-44D7-4DFE-9660-C326785AB73D}" name="Column6546"/>
    <tableColumn id="6547" xr3:uid="{0D8480EA-659C-4D0B-956C-2CF9AE2B29FD}" name="Column6547"/>
    <tableColumn id="6548" xr3:uid="{72C7DFC4-F0CF-4BC0-AAC6-3CBFC69ED660}" name="Column6548"/>
    <tableColumn id="6549" xr3:uid="{B1C3D72A-A064-48DE-BA14-1DDB464BC97D}" name="Column6549"/>
    <tableColumn id="6550" xr3:uid="{BD66A664-CA3B-4480-AAE4-BBB66333E0EC}" name="Column6550"/>
    <tableColumn id="6551" xr3:uid="{5DB00B68-82EA-423D-A308-D44269A71783}" name="Column6551"/>
    <tableColumn id="6552" xr3:uid="{6C7712BB-1604-44BD-825A-984B9F4A902C}" name="Column6552"/>
    <tableColumn id="6553" xr3:uid="{7743414D-176A-4795-9AC9-30CCD49B20C3}" name="Column6553"/>
    <tableColumn id="6554" xr3:uid="{4D7AA2DB-CB08-4ED1-BB9D-C406BE84A8B6}" name="Column6554"/>
    <tableColumn id="6555" xr3:uid="{3D3A2BC6-ED1E-4C5E-8A0A-21994F6029C2}" name="Column6555"/>
    <tableColumn id="6556" xr3:uid="{66AF5214-F1C9-4E0D-92A5-3A173884342A}" name="Column6556"/>
    <tableColumn id="6557" xr3:uid="{1B2EF676-85A1-4DE2-86A3-611EFDC8C270}" name="Column6557"/>
    <tableColumn id="6558" xr3:uid="{2D1FE075-E247-4161-8945-1A4405C3FC97}" name="Column6558"/>
    <tableColumn id="6559" xr3:uid="{E7069321-009B-4843-AE98-73306DE2C2DD}" name="Column6559"/>
    <tableColumn id="6560" xr3:uid="{9D7A428A-BC4B-4F87-A305-B380C596856C}" name="Column6560"/>
    <tableColumn id="6561" xr3:uid="{D49DD6D8-3F1A-45C7-A559-03CB4CD3FB74}" name="Column6561"/>
    <tableColumn id="6562" xr3:uid="{AF6B5573-12BF-41F0-B09D-290D7F8D4DC9}" name="Column6562"/>
    <tableColumn id="6563" xr3:uid="{8DECD728-8DE7-4B09-8FF6-37FA89A015F8}" name="Column6563"/>
    <tableColumn id="6564" xr3:uid="{DE268A1A-FF96-48CB-A434-192DDC4F61C5}" name="Column6564"/>
    <tableColumn id="6565" xr3:uid="{4B6523B3-F3E5-4E7F-B96D-BC65904A9AE4}" name="Column6565"/>
    <tableColumn id="6566" xr3:uid="{33BD8A6B-D6B2-4809-B265-7F8EB30F840E}" name="Column6566"/>
    <tableColumn id="6567" xr3:uid="{1AD453E2-D608-44E3-91A0-1B025150F80A}" name="Column6567"/>
    <tableColumn id="6568" xr3:uid="{6FDF0564-910D-407F-8EB7-7B04C9C63F33}" name="Column6568"/>
    <tableColumn id="6569" xr3:uid="{60934A4C-527E-4902-BB6F-915519B862E1}" name="Column6569"/>
    <tableColumn id="6570" xr3:uid="{24EAF7D2-B4F7-4E46-B121-FF189748D01D}" name="Column6570"/>
    <tableColumn id="6571" xr3:uid="{984E05D4-1403-4428-911F-0EE67FC58908}" name="Column6571"/>
    <tableColumn id="6572" xr3:uid="{38A94A1B-1D69-4A4F-935A-EBE8A46575D5}" name="Column6572"/>
    <tableColumn id="6573" xr3:uid="{266B9F73-F834-46E5-AF3B-1001F4B8C2D2}" name="Column6573"/>
    <tableColumn id="6574" xr3:uid="{5DF4C2F4-6EE2-4D59-BDB6-12FA77770ACC}" name="Column6574"/>
    <tableColumn id="6575" xr3:uid="{4303581F-56E9-407F-B511-D7D26EFC5B72}" name="Column6575"/>
    <tableColumn id="6576" xr3:uid="{BB4DB1CF-B228-4A4D-A164-048C0A03FEA0}" name="Column6576"/>
    <tableColumn id="6577" xr3:uid="{799F7CFE-7B6C-451D-A261-04AB32F00DB8}" name="Column6577"/>
    <tableColumn id="6578" xr3:uid="{6CBB22D4-1DD8-4CCC-80A2-314F6152D9F7}" name="Column6578"/>
    <tableColumn id="6579" xr3:uid="{80E047BA-B5EF-41F6-893B-EEEBB67C87CE}" name="Column6579"/>
    <tableColumn id="6580" xr3:uid="{9E50011E-F46E-4DD0-A62A-50A07A837488}" name="Column6580"/>
    <tableColumn id="6581" xr3:uid="{6E0ED2D6-F148-4575-8111-68113C4CCAB7}" name="Column6581"/>
    <tableColumn id="6582" xr3:uid="{E720DB9F-6879-41AE-8316-160269A742AD}" name="Column6582"/>
    <tableColumn id="6583" xr3:uid="{6F864CA3-1CD8-4F93-9E41-25FF295AFD18}" name="Column6583"/>
    <tableColumn id="6584" xr3:uid="{86395DA8-30AA-4E65-B502-B1A7DF102A1E}" name="Column6584"/>
    <tableColumn id="6585" xr3:uid="{90D03520-6A0E-416B-90D7-534C16D99ADD}" name="Column6585"/>
    <tableColumn id="6586" xr3:uid="{F67754ED-F89E-4034-986F-8850BF46F0C2}" name="Column6586"/>
    <tableColumn id="6587" xr3:uid="{E499FFF9-FA15-4E66-95B2-BE79B4EEA786}" name="Column6587"/>
    <tableColumn id="6588" xr3:uid="{2BD5E9F2-EA3E-40FF-9B2A-DE0AF552F209}" name="Column6588"/>
    <tableColumn id="6589" xr3:uid="{3B492AC3-58CB-4EFB-96EA-050DEE6077B7}" name="Column6589"/>
    <tableColumn id="6590" xr3:uid="{BD0B3ED8-35E8-4987-A1BD-00287F4B36A3}" name="Column6590"/>
    <tableColumn id="6591" xr3:uid="{B55AB8F5-E5D6-40D5-953F-D89DEE48FB81}" name="Column6591"/>
    <tableColumn id="6592" xr3:uid="{E89F5898-6D80-45C9-8E88-B3EA2BF2EF88}" name="Column6592"/>
    <tableColumn id="6593" xr3:uid="{B11EBEBA-AEA5-42A3-A56C-48151026587E}" name="Column6593"/>
    <tableColumn id="6594" xr3:uid="{9BE5EAF6-D913-4FB1-B7BE-808A94653DB2}" name="Column6594"/>
    <tableColumn id="6595" xr3:uid="{587BFCE9-9E40-4B6D-AD86-463AA3206D76}" name="Column6595"/>
    <tableColumn id="6596" xr3:uid="{4DE75B02-C9F1-40FB-B8CB-80223CB57778}" name="Column6596"/>
    <tableColumn id="6597" xr3:uid="{7FC4CC97-D411-42A5-8EA6-837E9E1A0631}" name="Column6597"/>
    <tableColumn id="6598" xr3:uid="{D5B54314-AE0C-4863-9A52-8B06A5B8AE81}" name="Column6598"/>
    <tableColumn id="6599" xr3:uid="{792BA6F2-FB73-4362-BABF-CCC567BC090A}" name="Column6599"/>
    <tableColumn id="6600" xr3:uid="{BB40C36D-3ADF-4EE8-A994-A26E3E478398}" name="Column6600"/>
    <tableColumn id="6601" xr3:uid="{2E6EED7D-F002-4FFE-855E-6BAFA0517C11}" name="Column6601"/>
    <tableColumn id="6602" xr3:uid="{1794A7CE-2AF4-49A1-AC99-601ACF68CC57}" name="Column6602"/>
    <tableColumn id="6603" xr3:uid="{94F0AFA4-C8D2-4E49-974F-88CE71B46D43}" name="Column6603"/>
    <tableColumn id="6604" xr3:uid="{76B6C041-3D04-450A-A097-3ED1E51C66CA}" name="Column6604"/>
    <tableColumn id="6605" xr3:uid="{A13FEF09-2250-4AF8-AB67-C3162044EE58}" name="Column6605"/>
    <tableColumn id="6606" xr3:uid="{65049915-3C8B-44B1-9C3B-AE737EB70EA3}" name="Column6606"/>
    <tableColumn id="6607" xr3:uid="{35E65454-DA65-4E41-890B-3496AD518576}" name="Column6607"/>
    <tableColumn id="6608" xr3:uid="{A5B67143-BB90-47E2-B358-D1C0B3358342}" name="Column6608"/>
    <tableColumn id="6609" xr3:uid="{D0E5939F-EB6E-4E12-BE49-177A478BEBD6}" name="Column6609"/>
    <tableColumn id="6610" xr3:uid="{A32F3ADB-0737-428D-B2A0-399BF064B367}" name="Column6610"/>
    <tableColumn id="6611" xr3:uid="{F6AAE573-2092-4602-921C-A5BE6DF185CF}" name="Column6611"/>
    <tableColumn id="6612" xr3:uid="{7FC10154-CF06-4461-B612-A682B0412979}" name="Column6612"/>
    <tableColumn id="6613" xr3:uid="{5AB39740-0677-4A8C-9C1A-B8012CFCB869}" name="Column6613"/>
    <tableColumn id="6614" xr3:uid="{468A2481-D1CB-4512-8601-27A3FD2F6BA2}" name="Column6614"/>
    <tableColumn id="6615" xr3:uid="{F5A72804-4E71-486B-8E58-2BFA61DD2CC9}" name="Column6615"/>
    <tableColumn id="6616" xr3:uid="{033E18FA-B68B-49A6-B5C7-E1B914E7B401}" name="Column6616"/>
    <tableColumn id="6617" xr3:uid="{25B54BD0-CCFE-43CF-9F3B-C9F747A60A3D}" name="Column6617"/>
    <tableColumn id="6618" xr3:uid="{C10B07E6-47F7-4DD8-9663-C40A5D57C7AF}" name="Column6618"/>
    <tableColumn id="6619" xr3:uid="{D09E94AB-740A-490E-AD0A-A38984EBE38B}" name="Column6619"/>
    <tableColumn id="6620" xr3:uid="{C0F68970-BC25-4025-B51E-BBBF08714741}" name="Column6620"/>
    <tableColumn id="6621" xr3:uid="{565F0F7D-501F-4228-8C05-8EEBECDB742D}" name="Column6621"/>
    <tableColumn id="6622" xr3:uid="{20EF8228-8F88-481A-B12E-A29367F87BDC}" name="Column6622"/>
    <tableColumn id="6623" xr3:uid="{15F60256-91D1-41A5-A9B2-AC7D63264186}" name="Column6623"/>
    <tableColumn id="6624" xr3:uid="{7CB56931-4BB6-46E8-A52B-43615FA7C015}" name="Column6624"/>
    <tableColumn id="6625" xr3:uid="{1B05B59E-F257-4D39-99B1-E8C7DC08CDBC}" name="Column6625"/>
    <tableColumn id="6626" xr3:uid="{4C7301A4-D85C-45A5-882F-4028EB9AAD4A}" name="Column6626"/>
    <tableColumn id="6627" xr3:uid="{744EF4DA-69BF-4AAD-8F16-0B8954F89378}" name="Column6627"/>
    <tableColumn id="6628" xr3:uid="{99C1C00C-9CF6-4F7F-962D-8652BE5F91E9}" name="Column6628"/>
    <tableColumn id="6629" xr3:uid="{CA19A62F-62AA-4B19-B003-3081BEFEABC8}" name="Column6629"/>
    <tableColumn id="6630" xr3:uid="{13080246-88B0-449E-94FE-4D74ECF4C8C6}" name="Column6630"/>
    <tableColumn id="6631" xr3:uid="{0C7C8659-3060-4426-8B40-E432003C42AE}" name="Column6631"/>
    <tableColumn id="6632" xr3:uid="{93312A7C-3972-494C-B946-B9F81E44D550}" name="Column6632"/>
    <tableColumn id="6633" xr3:uid="{C5EDBA24-C744-428B-9DA4-793049D0F666}" name="Column6633"/>
    <tableColumn id="6634" xr3:uid="{062B4B1A-64A0-458D-A037-CC76B45E90E1}" name="Column6634"/>
    <tableColumn id="6635" xr3:uid="{6C9096E1-7594-4544-92AE-5B791ED3F71A}" name="Column6635"/>
    <tableColumn id="6636" xr3:uid="{3BB8C380-D24B-4AB8-A54B-F3461BB0FBEB}" name="Column6636"/>
    <tableColumn id="6637" xr3:uid="{7DDA6428-CAB9-4A29-989A-BC7FF6C3AFCF}" name="Column6637"/>
    <tableColumn id="6638" xr3:uid="{7DDF4564-D1F3-4321-8001-6DD9BAFAACA5}" name="Column6638"/>
    <tableColumn id="6639" xr3:uid="{B446AA18-36A0-4484-A9D3-FBC9D62C92E7}" name="Column6639"/>
    <tableColumn id="6640" xr3:uid="{E2C05A30-D124-4341-BD4A-D6EEA96FD413}" name="Column6640"/>
    <tableColumn id="6641" xr3:uid="{EF903D39-2DD8-48FF-9109-CFDDB46BC0DD}" name="Column6641"/>
    <tableColumn id="6642" xr3:uid="{AFA21BC1-4431-486B-8C1B-A7DEC89C3C44}" name="Column6642"/>
    <tableColumn id="6643" xr3:uid="{D36603A4-2057-459B-AADF-02CC2447A276}" name="Column6643"/>
    <tableColumn id="6644" xr3:uid="{72AF9E8A-700D-4FC3-816B-0CC7ED4E1267}" name="Column6644"/>
    <tableColumn id="6645" xr3:uid="{6CE8D964-176B-463A-979C-FE14504FDA8F}" name="Column6645"/>
    <tableColumn id="6646" xr3:uid="{9FB73E83-45E2-43F9-BB8C-149640EDF3F0}" name="Column6646"/>
    <tableColumn id="6647" xr3:uid="{F7DE988A-4BB6-4687-9596-34879AA44D21}" name="Column6647"/>
    <tableColumn id="6648" xr3:uid="{4DF07166-36B5-47CD-9AC2-94AEBAB0CBAB}" name="Column6648"/>
    <tableColumn id="6649" xr3:uid="{4DB95D1E-FABC-4275-8596-C3DE7112D4A4}" name="Column6649"/>
    <tableColumn id="6650" xr3:uid="{C92D5AFB-62EC-4047-8C24-8AF582710901}" name="Column6650"/>
    <tableColumn id="6651" xr3:uid="{04DEACC4-01D9-4CEB-9C7F-3721EA97977C}" name="Column6651"/>
    <tableColumn id="6652" xr3:uid="{6454092F-5994-4128-A1D5-A37F402CB909}" name="Column6652"/>
    <tableColumn id="6653" xr3:uid="{03092DE8-DCBD-4237-852A-38504CD11CAC}" name="Column6653"/>
    <tableColumn id="6654" xr3:uid="{17A351D9-EEF4-41AE-AD97-F3CD7E79E88D}" name="Column6654"/>
    <tableColumn id="6655" xr3:uid="{516B75F7-58B0-47B5-8C18-679BC99E5E7B}" name="Column6655"/>
    <tableColumn id="6656" xr3:uid="{AC2BADF9-A95D-4039-BBEF-1B87CACF63C6}" name="Column6656"/>
    <tableColumn id="6657" xr3:uid="{C59C5E89-46C2-44D6-BF7C-FF3F3BD26BC5}" name="Column6657"/>
    <tableColumn id="6658" xr3:uid="{B67F02C9-C32A-41A6-8E9C-8DD345B74AD3}" name="Column6658"/>
    <tableColumn id="6659" xr3:uid="{AEA958B2-B9FA-4038-9EAE-47463A629E1C}" name="Column6659"/>
    <tableColumn id="6660" xr3:uid="{2E5564D7-CD1C-44B8-A413-F41321030232}" name="Column6660"/>
    <tableColumn id="6661" xr3:uid="{A8C8DC8A-74C2-4BAA-8CD9-49D0418E788A}" name="Column6661"/>
    <tableColumn id="6662" xr3:uid="{0DF1659F-08F4-46AD-A8F3-780CA9D18499}" name="Column6662"/>
    <tableColumn id="6663" xr3:uid="{46ADA896-FDF1-400C-8922-AB1E204DDCBA}" name="Column6663"/>
    <tableColumn id="6664" xr3:uid="{F41F922F-1430-444F-8D2C-F77E9D64C85D}" name="Column6664"/>
    <tableColumn id="6665" xr3:uid="{3D1E8F9B-F73D-43D1-87FD-E022223F85E5}" name="Column6665"/>
    <tableColumn id="6666" xr3:uid="{3939F94D-1631-4536-B51F-BCAB3D964851}" name="Column6666"/>
    <tableColumn id="6667" xr3:uid="{C6469C73-D492-4E1C-AE2A-EB9743627ACF}" name="Column6667"/>
    <tableColumn id="6668" xr3:uid="{CB2F11C7-71B3-4A7D-8652-DAE37AE12476}" name="Column6668"/>
    <tableColumn id="6669" xr3:uid="{FCC04F7F-D1E3-4675-B7A8-4354903B5FA1}" name="Column6669"/>
    <tableColumn id="6670" xr3:uid="{C061A8C4-AE0A-4DEF-B8CD-04248F84B1A6}" name="Column6670"/>
    <tableColumn id="6671" xr3:uid="{3690B84A-34B2-41C8-A65E-6DC327C692DA}" name="Column6671"/>
    <tableColumn id="6672" xr3:uid="{5D748744-16ED-4DA5-804E-56BE0D31DFE8}" name="Column6672"/>
    <tableColumn id="6673" xr3:uid="{188BEAD8-5CC8-43E7-8A0A-6F6E461019ED}" name="Column6673"/>
    <tableColumn id="6674" xr3:uid="{53E22737-451E-4261-A004-996C049A0706}" name="Column6674"/>
    <tableColumn id="6675" xr3:uid="{D4B28905-658A-444E-B1FE-BFFBD32B38F4}" name="Column6675"/>
    <tableColumn id="6676" xr3:uid="{C1948B4F-33B7-42DD-93A2-24AF8407D8FD}" name="Column6676"/>
    <tableColumn id="6677" xr3:uid="{58FAEA3D-C755-4B34-91C4-866A945A6325}" name="Column6677"/>
    <tableColumn id="6678" xr3:uid="{7A5C7CA1-8B7E-4819-A910-933D64FF8495}" name="Column6678"/>
    <tableColumn id="6679" xr3:uid="{C3A52B7C-ED90-49DC-89B0-C20F59C9E2A4}" name="Column6679"/>
    <tableColumn id="6680" xr3:uid="{0FE6196B-2DB7-4DEF-9E7B-531A58D18782}" name="Column6680"/>
    <tableColumn id="6681" xr3:uid="{9C4EA25A-C1BD-45AB-A98E-5E916AAE5F58}" name="Column6681"/>
    <tableColumn id="6682" xr3:uid="{4EA31146-8858-41E6-A3D8-76F6E52E2289}" name="Column6682"/>
    <tableColumn id="6683" xr3:uid="{0AC6B24E-63EA-48FB-916D-41EBE1D1BEC3}" name="Column6683"/>
    <tableColumn id="6684" xr3:uid="{4E9E4923-D1BC-46E9-9A1D-5FA2D47C59C7}" name="Column6684"/>
    <tableColumn id="6685" xr3:uid="{7784CB09-187D-42BB-9761-88D6C64479FF}" name="Column6685"/>
    <tableColumn id="6686" xr3:uid="{A483F0D8-6CCC-4FD3-B88E-176DDA74F0D7}" name="Column6686"/>
    <tableColumn id="6687" xr3:uid="{32441907-CDBB-49FE-B304-AC82E46257AA}" name="Column6687"/>
    <tableColumn id="6688" xr3:uid="{3D923AD3-C7A0-4D4B-988E-87755F09398E}" name="Column6688"/>
    <tableColumn id="6689" xr3:uid="{AA87FF7F-B783-4F8E-8101-BEDB28E981BA}" name="Column6689"/>
    <tableColumn id="6690" xr3:uid="{3E5F4A13-2193-44F8-BC21-38055063F54B}" name="Column6690"/>
    <tableColumn id="6691" xr3:uid="{C4E2E13C-0060-4E8B-9F09-9CED54EBD074}" name="Column6691"/>
    <tableColumn id="6692" xr3:uid="{6777D021-E308-4E28-8108-B37E045F4CD3}" name="Column6692"/>
    <tableColumn id="6693" xr3:uid="{2E2144C3-383B-4BDA-81EE-20005044207E}" name="Column6693"/>
    <tableColumn id="6694" xr3:uid="{2213E822-C53D-4633-86D0-4F2885C15DA0}" name="Column6694"/>
    <tableColumn id="6695" xr3:uid="{88F64BBB-4F85-443F-BB15-35DF9EED23BD}" name="Column6695"/>
    <tableColumn id="6696" xr3:uid="{A8ECE1BB-886F-467D-95B8-7259A3B6FD44}" name="Column6696"/>
    <tableColumn id="6697" xr3:uid="{DA7A784A-557F-4991-B8EE-B1576B995215}" name="Column6697"/>
    <tableColumn id="6698" xr3:uid="{0D9903AA-77EB-4B07-93B0-AE1D9AD5EBFA}" name="Column6698"/>
    <tableColumn id="6699" xr3:uid="{7BC82093-15B4-4165-B163-5425A7D270FE}" name="Column6699"/>
    <tableColumn id="6700" xr3:uid="{52ABAE39-868C-4FC9-9C2B-BADE99992F97}" name="Column6700"/>
    <tableColumn id="6701" xr3:uid="{3AECCF48-6A4D-42BC-8E4E-19BD1527F084}" name="Column6701"/>
    <tableColumn id="6702" xr3:uid="{DD3BCF85-7744-4B7B-832C-90E9E1E1C9CE}" name="Column6702"/>
    <tableColumn id="6703" xr3:uid="{43B963D6-13AB-416E-A0E5-9B341FBB36C7}" name="Column6703"/>
    <tableColumn id="6704" xr3:uid="{E0759819-6EE8-40E7-B145-C52E586CD617}" name="Column6704"/>
    <tableColumn id="6705" xr3:uid="{4B20EF60-A707-43BB-AD90-CED570E0E8CF}" name="Column6705"/>
    <tableColumn id="6706" xr3:uid="{ACA453C5-BD39-4A9B-A5A0-730F440D82AF}" name="Column6706"/>
    <tableColumn id="6707" xr3:uid="{8F9C3121-706B-4524-9BE6-CBC7A208C23B}" name="Column6707"/>
    <tableColumn id="6708" xr3:uid="{34E3BD74-582A-4F36-929A-C832F88D08F4}" name="Column6708"/>
    <tableColumn id="6709" xr3:uid="{B972F30A-5605-477D-A87C-5D2F113AA674}" name="Column6709"/>
    <tableColumn id="6710" xr3:uid="{2067B7ED-D9D8-42CE-A194-61B908587E46}" name="Column6710"/>
    <tableColumn id="6711" xr3:uid="{BE7C9334-5986-42EC-812C-17609BE604DD}" name="Column6711"/>
    <tableColumn id="6712" xr3:uid="{07F5F31F-7774-41E4-B99C-EF6A58869841}" name="Column6712"/>
    <tableColumn id="6713" xr3:uid="{19960C88-2F50-46C9-AF8D-330C91628BEF}" name="Column6713"/>
    <tableColumn id="6714" xr3:uid="{46284FA7-99D4-4401-B3BB-23E381AFAB88}" name="Column6714"/>
    <tableColumn id="6715" xr3:uid="{015A8146-8771-4001-9F1E-67D5247DA32E}" name="Column6715"/>
    <tableColumn id="6716" xr3:uid="{22A298ED-2576-4CE8-A18E-85DD93C68E22}" name="Column6716"/>
    <tableColumn id="6717" xr3:uid="{9917912E-DF8A-408A-8248-F22FB3039A85}" name="Column6717"/>
    <tableColumn id="6718" xr3:uid="{4681FFFC-FF11-4215-B3CD-E28F41101B9E}" name="Column6718"/>
    <tableColumn id="6719" xr3:uid="{D9D815CA-99A9-4569-BEE0-9CF57EEC7A70}" name="Column6719"/>
    <tableColumn id="6720" xr3:uid="{9ECE075F-E293-4DF4-AB6A-E1C4E7118204}" name="Column6720"/>
    <tableColumn id="6721" xr3:uid="{FC861434-844A-42DC-9881-4ED7BDD6D4EF}" name="Column6721"/>
    <tableColumn id="6722" xr3:uid="{0BD15391-2286-41FE-B87B-E2E69E17AC49}" name="Column6722"/>
    <tableColumn id="6723" xr3:uid="{D84643C1-BACA-4BDE-A00B-0FA380C64158}" name="Column6723"/>
    <tableColumn id="6724" xr3:uid="{FD39C742-E043-45BF-93FE-4BF7F7C493FC}" name="Column6724"/>
    <tableColumn id="6725" xr3:uid="{365932A1-ED71-41F7-A0E3-75CE5A784AE7}" name="Column6725"/>
    <tableColumn id="6726" xr3:uid="{F01F1A0F-8864-4C61-9CB5-A699508C632A}" name="Column6726"/>
    <tableColumn id="6727" xr3:uid="{A6847E35-89D8-4E49-A768-140B21BBE2BB}" name="Column6727"/>
    <tableColumn id="6728" xr3:uid="{3ACEB5E5-FF7D-4FEC-A4FC-F43DFB0F42E9}" name="Column6728"/>
    <tableColumn id="6729" xr3:uid="{FF463871-0B75-4E95-AC96-288002E22195}" name="Column6729"/>
    <tableColumn id="6730" xr3:uid="{E030A842-3FB2-4D19-9E3E-D20C882054C2}" name="Column6730"/>
    <tableColumn id="6731" xr3:uid="{DC6CC44B-721B-4AAA-9FA6-F01F8FFEC0BE}" name="Column6731"/>
    <tableColumn id="6732" xr3:uid="{8C932121-AFAC-4FC5-9C28-7BAAABFB54D3}" name="Column6732"/>
    <tableColumn id="6733" xr3:uid="{6C289913-E953-4335-AE62-B779CEE58869}" name="Column6733"/>
    <tableColumn id="6734" xr3:uid="{77CE9668-5F4A-448C-839B-8AF727B0D2BD}" name="Column6734"/>
    <tableColumn id="6735" xr3:uid="{85C2CF07-4770-4D53-A1BB-BAB586DA0B1D}" name="Column6735"/>
    <tableColumn id="6736" xr3:uid="{071F50F5-1E23-4EE0-B72A-E1C9A5377EC0}" name="Column6736"/>
    <tableColumn id="6737" xr3:uid="{C4E8A167-7B3A-4233-852E-CBEC1961C2F3}" name="Column6737"/>
    <tableColumn id="6738" xr3:uid="{1F4B1E68-4849-453B-8EC3-804919759B78}" name="Column6738"/>
    <tableColumn id="6739" xr3:uid="{9B5ADB2B-2621-4E7C-8864-3F35AD54EE4B}" name="Column6739"/>
    <tableColumn id="6740" xr3:uid="{5EEA88AE-EF93-4C26-A163-9E30F6CB44C3}" name="Column6740"/>
    <tableColumn id="6741" xr3:uid="{A099E015-CEA2-44C2-8B25-8750ECADDDF3}" name="Column6741"/>
    <tableColumn id="6742" xr3:uid="{546BE9C2-12EF-4F00-B0A6-3434DA15A3D2}" name="Column6742"/>
    <tableColumn id="6743" xr3:uid="{F0C28B17-354B-4F90-927B-A759EA8DEE1B}" name="Column6743"/>
    <tableColumn id="6744" xr3:uid="{3ACC66CB-AED1-4F3B-826D-F6567511ACAB}" name="Column6744"/>
    <tableColumn id="6745" xr3:uid="{E062BF85-7F89-4775-A50C-46258B87AB55}" name="Column6745"/>
    <tableColumn id="6746" xr3:uid="{57798CB7-60C1-4737-A5EA-F4466AB6BD81}" name="Column6746"/>
    <tableColumn id="6747" xr3:uid="{80F710BB-BD3E-4C41-AD82-9E0FD339AD92}" name="Column6747"/>
    <tableColumn id="6748" xr3:uid="{C6EF437B-D9D3-4836-B6E3-0EF1D9CE117E}" name="Column6748"/>
    <tableColumn id="6749" xr3:uid="{1D3CFACB-193E-4785-9461-4C458378F930}" name="Column6749"/>
    <tableColumn id="6750" xr3:uid="{772EF47C-FE33-4219-9124-2753EF4F33DD}" name="Column6750"/>
    <tableColumn id="6751" xr3:uid="{DE917A26-89EA-4087-89F6-6DAAB64F9A0B}" name="Column6751"/>
    <tableColumn id="6752" xr3:uid="{6413FA1A-FFDC-4985-93F0-7A95307F59AE}" name="Column6752"/>
    <tableColumn id="6753" xr3:uid="{922CCE60-3F44-44D1-8F19-D5FD5B60DAA3}" name="Column6753"/>
    <tableColumn id="6754" xr3:uid="{89A74A6A-502B-4D4A-8565-8306E586D4A6}" name="Column6754"/>
    <tableColumn id="6755" xr3:uid="{0D1784D7-0389-4774-B50A-1B0EADE800A8}" name="Column6755"/>
    <tableColumn id="6756" xr3:uid="{A9EF55D6-D917-4CA9-9E08-ADB9EE85C549}" name="Column6756"/>
    <tableColumn id="6757" xr3:uid="{EE8B21CA-5D8F-4DA9-B193-AFFD57421ACA}" name="Column6757"/>
    <tableColumn id="6758" xr3:uid="{084B74B9-D19B-455E-A201-45B80D1789B4}" name="Column6758"/>
    <tableColumn id="6759" xr3:uid="{2D71F8CA-AB30-4E82-8FA6-6D917BE87BB1}" name="Column6759"/>
    <tableColumn id="6760" xr3:uid="{7D142E3A-FCC6-4DC7-83DA-9F7039E5F1DF}" name="Column6760"/>
    <tableColumn id="6761" xr3:uid="{9DBC97D9-00A4-4314-963C-048CFF6F00D2}" name="Column6761"/>
    <tableColumn id="6762" xr3:uid="{4E6C1782-5FBA-4C5B-BD4C-E2E651DC1B25}" name="Column6762"/>
    <tableColumn id="6763" xr3:uid="{FE341378-6266-4431-97E4-088B7F46946D}" name="Column6763"/>
    <tableColumn id="6764" xr3:uid="{7BF7C62F-540B-4F91-A393-49C1ACF77C7B}" name="Column6764"/>
    <tableColumn id="6765" xr3:uid="{369B955E-7BA5-409C-9098-EA831DA96D49}" name="Column6765"/>
    <tableColumn id="6766" xr3:uid="{3A98D876-8919-41EB-B95F-0CF985D7D0B0}" name="Column6766"/>
    <tableColumn id="6767" xr3:uid="{B681FDB9-FB89-4B4D-ADFD-7496FE295C35}" name="Column6767"/>
    <tableColumn id="6768" xr3:uid="{84F398FD-1E2B-4FCC-88E8-4AAEDBA071DB}" name="Column6768"/>
    <tableColumn id="6769" xr3:uid="{3B751939-3C20-471B-94AB-56C196393B4C}" name="Column6769"/>
    <tableColumn id="6770" xr3:uid="{F4FAE928-58F5-421C-8FE5-D168F202169E}" name="Column6770"/>
    <tableColumn id="6771" xr3:uid="{EF147570-99DD-46AC-802E-B4AB17C58AC6}" name="Column6771"/>
    <tableColumn id="6772" xr3:uid="{E1E836CE-C6AC-4617-9428-3D2ED334BC37}" name="Column6772"/>
    <tableColumn id="6773" xr3:uid="{0BD75851-2A61-45D4-B82C-9E4B935F35E0}" name="Column6773"/>
    <tableColumn id="6774" xr3:uid="{AB9EE983-24BA-4E85-9123-BDF79624D1CB}" name="Column6774"/>
    <tableColumn id="6775" xr3:uid="{11DAA088-6C6D-4D66-89D3-5EC25C2DE496}" name="Column6775"/>
    <tableColumn id="6776" xr3:uid="{F057EFEB-0640-4EDD-9E6B-CD0238E64CC4}" name="Column6776"/>
    <tableColumn id="6777" xr3:uid="{7183751C-3897-4AD9-A907-011DB984270A}" name="Column6777"/>
    <tableColumn id="6778" xr3:uid="{F2FC11AA-7D45-489A-B58B-418E17A62D78}" name="Column6778"/>
    <tableColumn id="6779" xr3:uid="{C1A1F83C-2C2E-4BFA-B5BE-FB188403ACBC}" name="Column6779"/>
    <tableColumn id="6780" xr3:uid="{388E8730-BE6C-42D4-AF21-1317B350B873}" name="Column6780"/>
    <tableColumn id="6781" xr3:uid="{4B72EBDE-6A16-4646-8254-5C51D7F82957}" name="Column6781"/>
    <tableColumn id="6782" xr3:uid="{2FCB2D1A-515A-41BB-A90A-8FB536566AE4}" name="Column6782"/>
    <tableColumn id="6783" xr3:uid="{27E8BC1E-C1FE-46E5-8F23-D7480102CFD7}" name="Column6783"/>
    <tableColumn id="6784" xr3:uid="{63FE9039-1340-4882-8549-571C83390A45}" name="Column6784"/>
    <tableColumn id="6785" xr3:uid="{5EFE11BA-9229-475C-A36E-F612C4590D19}" name="Column6785"/>
    <tableColumn id="6786" xr3:uid="{7B6A935B-DE2D-416F-A07D-AEAC2844202F}" name="Column6786"/>
    <tableColumn id="6787" xr3:uid="{64BE7302-CD4E-4771-8F76-2B469CA7A9FB}" name="Column6787"/>
    <tableColumn id="6788" xr3:uid="{24405282-E1EC-4086-A277-2AE06EB2FAB7}" name="Column6788"/>
    <tableColumn id="6789" xr3:uid="{09B4B73A-1221-4BFE-B8EF-522DC53F00B3}" name="Column6789"/>
    <tableColumn id="6790" xr3:uid="{2E8A10EF-2435-4C18-89CD-BB8927F2BBE9}" name="Column6790"/>
    <tableColumn id="6791" xr3:uid="{5B52825D-906D-4014-89E3-233DFFB94FAF}" name="Column6791"/>
    <tableColumn id="6792" xr3:uid="{E3FA42EC-A1FE-4703-A6CF-6DBA28C4C356}" name="Column6792"/>
    <tableColumn id="6793" xr3:uid="{F137D39D-FD36-4617-9FEF-1B5F40124B90}" name="Column6793"/>
    <tableColumn id="6794" xr3:uid="{A5237172-3BAA-4EDD-8C84-36200D2B010F}" name="Column6794"/>
    <tableColumn id="6795" xr3:uid="{886E7C58-C7AB-4244-BBEB-AE3E6A5BCD8F}" name="Column6795"/>
    <tableColumn id="6796" xr3:uid="{1D43D0E6-5FC0-4955-9BC5-A8832D9A9019}" name="Column6796"/>
    <tableColumn id="6797" xr3:uid="{39851E92-02D3-4D76-BBAE-E8BE53559766}" name="Column6797"/>
    <tableColumn id="6798" xr3:uid="{E51CA89C-17EC-4500-A3BB-0CB18FD466F2}" name="Column6798"/>
    <tableColumn id="6799" xr3:uid="{235EA8A5-FC62-4F26-95BD-4E64B87E207F}" name="Column6799"/>
    <tableColumn id="6800" xr3:uid="{A47E9061-8853-443B-AA89-9CAF83B70D32}" name="Column6800"/>
    <tableColumn id="6801" xr3:uid="{B07762FA-71B6-4A58-8C3A-DB1B1DB0FC61}" name="Column6801"/>
    <tableColumn id="6802" xr3:uid="{18FA3BF8-B0D4-4A9B-8FAC-11817ED551A1}" name="Column6802"/>
    <tableColumn id="6803" xr3:uid="{B030756E-C142-4A19-85DB-ED9C21027AA2}" name="Column6803"/>
    <tableColumn id="6804" xr3:uid="{4C48424F-324C-4DB9-9F0D-67F536E037D6}" name="Column6804"/>
    <tableColumn id="6805" xr3:uid="{14B7C1D6-952B-469C-8830-E60E298E25F9}" name="Column6805"/>
    <tableColumn id="6806" xr3:uid="{0E66CF14-8EF7-4BB4-A8C2-0175BF903F36}" name="Column6806"/>
    <tableColumn id="6807" xr3:uid="{2C8DF1B6-6D76-4198-B95D-B846BF62B790}" name="Column6807"/>
    <tableColumn id="6808" xr3:uid="{ED78E55D-22DF-42C1-B8B8-8BA7BF78F246}" name="Column6808"/>
    <tableColumn id="6809" xr3:uid="{CA9496B9-857A-444A-AA32-ECD91745FA8E}" name="Column6809"/>
    <tableColumn id="6810" xr3:uid="{2D69D34F-57B2-4253-A424-C9D5FD4DFAA3}" name="Column6810"/>
    <tableColumn id="6811" xr3:uid="{8E397121-CD7B-47F6-B511-5F806FABF97A}" name="Column6811"/>
    <tableColumn id="6812" xr3:uid="{900009B1-C666-4632-82E1-DB7D175AE6D7}" name="Column6812"/>
    <tableColumn id="6813" xr3:uid="{710C2BF0-72CD-44C6-BC7D-CBF5FE387D8C}" name="Column6813"/>
    <tableColumn id="6814" xr3:uid="{C0545E78-6378-4538-8E9E-A46632630942}" name="Column6814"/>
    <tableColumn id="6815" xr3:uid="{9329216F-8B23-4B70-8316-1C10A9DA60E7}" name="Column6815"/>
    <tableColumn id="6816" xr3:uid="{EB270F59-EFD5-4B24-863C-CBCEFF4FA56B}" name="Column6816"/>
    <tableColumn id="6817" xr3:uid="{0A980F6A-F55F-4F5F-A2F4-77519A739C1B}" name="Column6817"/>
    <tableColumn id="6818" xr3:uid="{49F9EEF0-48CC-4DFA-82AD-7B3537D60C39}" name="Column6818"/>
    <tableColumn id="6819" xr3:uid="{F5AB32AA-F3B2-4FC6-836C-0E07A3661502}" name="Column6819"/>
    <tableColumn id="6820" xr3:uid="{815F9F0C-3CD1-4DF8-96E4-1619C878B3F7}" name="Column6820"/>
    <tableColumn id="6821" xr3:uid="{341F6B61-C28F-42B1-B1CA-FD096CA8C071}" name="Column6821"/>
    <tableColumn id="6822" xr3:uid="{13EAFB60-77DA-4A75-8342-58D4C56A85C5}" name="Column6822"/>
    <tableColumn id="6823" xr3:uid="{D51246ED-8733-410A-B501-A7063ED0D74E}" name="Column6823"/>
    <tableColumn id="6824" xr3:uid="{693406A3-4CED-4B8C-BA51-B815E6D57112}" name="Column6824"/>
    <tableColumn id="6825" xr3:uid="{01143165-CC99-4026-B493-0D743DE92A35}" name="Column6825"/>
    <tableColumn id="6826" xr3:uid="{3B2E2179-AF65-40A9-9686-9293C378DFEC}" name="Column6826"/>
    <tableColumn id="6827" xr3:uid="{5838AAB1-8FF7-4847-A47C-A3B4F4A70E03}" name="Column6827"/>
    <tableColumn id="6828" xr3:uid="{BB5A4412-2F1A-4B89-BC45-DEDBEC2416CE}" name="Column6828"/>
    <tableColumn id="6829" xr3:uid="{69641FEF-B1C0-4E38-A231-9D0E208FD106}" name="Column6829"/>
    <tableColumn id="6830" xr3:uid="{89573B63-6368-47C6-BFF3-F8845408A404}" name="Column6830"/>
    <tableColumn id="6831" xr3:uid="{94126697-A543-40FC-8C0C-28CADE24C543}" name="Column6831"/>
    <tableColumn id="6832" xr3:uid="{EAEB71E2-B39C-47BA-A817-D666DD5FC518}" name="Column6832"/>
    <tableColumn id="6833" xr3:uid="{AE6AE338-9EF2-40DE-8939-859A782AC8A5}" name="Column6833"/>
    <tableColumn id="6834" xr3:uid="{74780062-0318-46FF-B6B7-3DFD749DFB85}" name="Column6834"/>
    <tableColumn id="6835" xr3:uid="{C1BEB0F1-217F-4818-B855-97D238CD5FA9}" name="Column6835"/>
    <tableColumn id="6836" xr3:uid="{141A5FF0-B3B0-4076-93E6-4622C6821E08}" name="Column6836"/>
    <tableColumn id="6837" xr3:uid="{FF5A4D61-47B8-4968-A1BB-0B64448B6402}" name="Column6837"/>
    <tableColumn id="6838" xr3:uid="{F12AD378-194E-4FBC-915F-0AE68BCDA408}" name="Column6838"/>
    <tableColumn id="6839" xr3:uid="{B44BC9E0-FD8B-46AC-83B7-47216B828C96}" name="Column6839"/>
    <tableColumn id="6840" xr3:uid="{16229C8B-03E5-438F-B56D-752C8B4BC14B}" name="Column6840"/>
    <tableColumn id="6841" xr3:uid="{135906B7-04B3-4AAD-A31B-B5BFC0B8FB90}" name="Column6841"/>
    <tableColumn id="6842" xr3:uid="{672076C1-BAE8-4067-B0DF-C263CE1F298C}" name="Column6842"/>
    <tableColumn id="6843" xr3:uid="{055ADD96-9A54-4A60-B68D-DB8DB37BD9E7}" name="Column6843"/>
    <tableColumn id="6844" xr3:uid="{213E4B98-A8EE-43AF-82A4-4DCB85466A97}" name="Column6844"/>
    <tableColumn id="6845" xr3:uid="{193A2FF8-4E9B-4B74-A139-CBE2893C59F9}" name="Column6845"/>
    <tableColumn id="6846" xr3:uid="{57C88657-1A3F-4810-9961-2A31A851DDF6}" name="Column6846"/>
    <tableColumn id="6847" xr3:uid="{B53426E1-F1ED-47FE-B1C8-6C81BE69AE2C}" name="Column6847"/>
    <tableColumn id="6848" xr3:uid="{0E299707-8659-4C9C-9443-3348E7C572EB}" name="Column6848"/>
    <tableColumn id="6849" xr3:uid="{2995AED0-F78F-428E-9F68-9CE54B4FFF6B}" name="Column6849"/>
    <tableColumn id="6850" xr3:uid="{AFB91D79-2BCA-4A49-8C4E-DF53AEF6AE0A}" name="Column6850"/>
    <tableColumn id="6851" xr3:uid="{258B7771-E833-4890-AA3A-73303E78652A}" name="Column6851"/>
    <tableColumn id="6852" xr3:uid="{E4B48734-ABEE-4EB1-BDD0-1069EE6717F2}" name="Column6852"/>
    <tableColumn id="6853" xr3:uid="{FF0E96E3-22F8-4DCA-A7B4-9E763E4AF258}" name="Column6853"/>
    <tableColumn id="6854" xr3:uid="{195B8EA5-13FB-47D8-BD58-47B790593560}" name="Column6854"/>
    <tableColumn id="6855" xr3:uid="{17BA14E8-E1A7-4609-B776-4A108CFA6915}" name="Column6855"/>
    <tableColumn id="6856" xr3:uid="{7DE3D845-0930-4460-A699-C187A1A9E8F3}" name="Column6856"/>
    <tableColumn id="6857" xr3:uid="{5E275911-6D6A-4A68-BE4F-1DBC2E3D4AA0}" name="Column6857"/>
    <tableColumn id="6858" xr3:uid="{6052A5D9-2E86-4A86-8A00-8A50AE9799AD}" name="Column6858"/>
    <tableColumn id="6859" xr3:uid="{8A9B6BBA-9B1E-49B7-A899-B2793FAE67F9}" name="Column6859"/>
    <tableColumn id="6860" xr3:uid="{61539E58-40A6-4775-9F1E-62251013AEF2}" name="Column6860"/>
    <tableColumn id="6861" xr3:uid="{9A9B5B03-CEAE-4FF3-A43E-98C8772BB08F}" name="Column6861"/>
    <tableColumn id="6862" xr3:uid="{5F06D8BD-463C-46E5-8816-C61D3EE06980}" name="Column6862"/>
    <tableColumn id="6863" xr3:uid="{1A8ACA85-4F98-4CCC-A6A7-8D8DE7BFA949}" name="Column6863"/>
    <tableColumn id="6864" xr3:uid="{091EB247-101F-4ECF-9E93-96A1802FADBB}" name="Column6864"/>
    <tableColumn id="6865" xr3:uid="{5437B5A6-7ACA-4DE8-ABA4-E4C48E04587A}" name="Column6865"/>
    <tableColumn id="6866" xr3:uid="{A31EC87D-57FF-4284-B120-E18CAB8DC5E5}" name="Column6866"/>
    <tableColumn id="6867" xr3:uid="{A6F938CD-48DF-4ED1-9C54-1F11F2858599}" name="Column6867"/>
    <tableColumn id="6868" xr3:uid="{173604C2-5BFC-4699-9BC9-9FF3FE812785}" name="Column6868"/>
    <tableColumn id="6869" xr3:uid="{8F2C96F5-7948-4434-B4F3-9FA94B85D0A6}" name="Column6869"/>
    <tableColumn id="6870" xr3:uid="{6813FE71-64A1-4063-A3C8-4BBB3B62EBB0}" name="Column6870"/>
    <tableColumn id="6871" xr3:uid="{3AAE4502-0C97-43BD-A4F8-0538245B44B3}" name="Column6871"/>
    <tableColumn id="6872" xr3:uid="{F29343D4-612D-4009-93F2-5D77E91AF108}" name="Column6872"/>
    <tableColumn id="6873" xr3:uid="{49D04450-311F-4F37-B849-7CDCF1CC1923}" name="Column6873"/>
    <tableColumn id="6874" xr3:uid="{7C9C855E-52AA-448C-9FC3-FCE52DFAD795}" name="Column6874"/>
    <tableColumn id="6875" xr3:uid="{7BD9E339-47D9-42F4-A39E-2C88C86DD699}" name="Column6875"/>
    <tableColumn id="6876" xr3:uid="{D0ED3B9A-B72F-412E-9CAB-908FBCCE5BE0}" name="Column6876"/>
    <tableColumn id="6877" xr3:uid="{E3F62DE3-3574-4848-A009-D867AA00ACF2}" name="Column6877"/>
    <tableColumn id="6878" xr3:uid="{E6727363-D259-49E3-80AE-8FF00531BB9B}" name="Column6878"/>
    <tableColumn id="6879" xr3:uid="{5F41DB01-86A8-44F1-970D-39258B24D3DA}" name="Column6879"/>
    <tableColumn id="6880" xr3:uid="{875CD9C9-A9DE-48EF-92A7-FEFAA72AF031}" name="Column6880"/>
    <tableColumn id="6881" xr3:uid="{C63CF7F9-2B20-4F64-B67A-70816628247A}" name="Column6881"/>
    <tableColumn id="6882" xr3:uid="{479615AB-0774-44DB-8537-584DFAC6B082}" name="Column6882"/>
    <tableColumn id="6883" xr3:uid="{4F641481-C565-48ED-AF49-8B4A2B4697A2}" name="Column6883"/>
    <tableColumn id="6884" xr3:uid="{BDBFFD04-5272-48DB-BA74-6B6710082A80}" name="Column6884"/>
    <tableColumn id="6885" xr3:uid="{93F2B713-1EC9-45B1-BEE9-1CBE1CE7659C}" name="Column6885"/>
    <tableColumn id="6886" xr3:uid="{25D888DB-AEED-470D-978C-414F8B28B9BC}" name="Column6886"/>
    <tableColumn id="6887" xr3:uid="{E1A4C7EB-0720-4FE4-9342-EFDA44E7C27C}" name="Column6887"/>
    <tableColumn id="6888" xr3:uid="{858405E6-F6CA-4B4F-B48E-0A2E2C0C274A}" name="Column6888"/>
    <tableColumn id="6889" xr3:uid="{063CE5B6-6AFF-4E75-881F-0EA9B021B78D}" name="Column6889"/>
    <tableColumn id="6890" xr3:uid="{D42B2E79-1211-4385-B936-56EE2607F159}" name="Column6890"/>
    <tableColumn id="6891" xr3:uid="{1B55AF26-D973-4271-959E-D79953ED9732}" name="Column6891"/>
    <tableColumn id="6892" xr3:uid="{7F1EA02E-9FD2-4BA6-A036-21BADA9C8014}" name="Column6892"/>
    <tableColumn id="6893" xr3:uid="{A681F72C-37AB-4D25-B0C8-B87FEDB0438B}" name="Column6893"/>
    <tableColumn id="6894" xr3:uid="{86ECA3DB-043F-4DE6-8B2E-4E99B2E48F76}" name="Column6894"/>
    <tableColumn id="6895" xr3:uid="{35D05B0C-5ECA-4667-870B-74109EAF2832}" name="Column6895"/>
    <tableColumn id="6896" xr3:uid="{E16D1FE5-81A8-47F1-8D1C-3AE831F9124D}" name="Column6896"/>
    <tableColumn id="6897" xr3:uid="{F0552FE7-3CA7-424B-AA32-AFD0EA91814B}" name="Column6897"/>
    <tableColumn id="6898" xr3:uid="{303141F2-5D3E-4317-AEA1-28D47ABEBC97}" name="Column6898"/>
    <tableColumn id="6899" xr3:uid="{5AF74763-3162-43A4-B300-58AB05A34C8A}" name="Column6899"/>
    <tableColumn id="6900" xr3:uid="{792194AC-352A-4669-967C-9EE67E39BA82}" name="Column6900"/>
    <tableColumn id="6901" xr3:uid="{DDE4FC9A-C22D-4AC6-AE61-93CC106ACF87}" name="Column6901"/>
    <tableColumn id="6902" xr3:uid="{DA73138C-B6F5-4EBC-A082-9AB6955FC00F}" name="Column6902"/>
    <tableColumn id="6903" xr3:uid="{795653E9-495C-4AC1-9326-33DC33211A7B}" name="Column6903"/>
    <tableColumn id="6904" xr3:uid="{26EE7E92-57E2-4FD2-BBBF-DAA95EA6C2F5}" name="Column6904"/>
    <tableColumn id="6905" xr3:uid="{2B763F44-604F-406C-8309-C160B2CD9665}" name="Column6905"/>
    <tableColumn id="6906" xr3:uid="{51703AD1-73CA-4E8C-8FCD-56B327F93FFC}" name="Column6906"/>
    <tableColumn id="6907" xr3:uid="{346819DB-1409-472C-BAAF-84AF54204FBC}" name="Column6907"/>
    <tableColumn id="6908" xr3:uid="{B0D833D8-D145-48A8-9FDE-89B113F8C057}" name="Column6908"/>
    <tableColumn id="6909" xr3:uid="{9FDCCB8A-209C-4DE3-BD8E-8085AA333755}" name="Column6909"/>
    <tableColumn id="6910" xr3:uid="{2592445A-D34A-4C34-BB80-6A600DFFED80}" name="Column6910"/>
    <tableColumn id="6911" xr3:uid="{9758413D-B78F-4FE9-8143-34D9CC4B9953}" name="Column6911"/>
    <tableColumn id="6912" xr3:uid="{CC0BA688-CB0A-4B55-8560-1CAB11AF974C}" name="Column6912"/>
    <tableColumn id="6913" xr3:uid="{78FA767D-715A-4D83-8C26-634B15EE5CCC}" name="Column6913"/>
    <tableColumn id="6914" xr3:uid="{6318ED5E-16F9-42E6-88B8-86BA8473858D}" name="Column6914"/>
    <tableColumn id="6915" xr3:uid="{07EFBF5E-ACE0-4261-B14E-D6C78D231897}" name="Column6915"/>
    <tableColumn id="6916" xr3:uid="{4B6ADDB3-3E34-456D-AB8A-3AA64F3CDA6B}" name="Column6916"/>
    <tableColumn id="6917" xr3:uid="{4B382748-FD3F-4075-BF2C-D065B0B24734}" name="Column6917"/>
    <tableColumn id="6918" xr3:uid="{B534DDF4-AA86-46B2-AF72-FBA9982A78DE}" name="Column6918"/>
    <tableColumn id="6919" xr3:uid="{12747FF7-A92E-4BBA-91A4-F59BA67D46A7}" name="Column6919"/>
    <tableColumn id="6920" xr3:uid="{1E4A70D9-EFCF-4BB0-9BCA-732736797421}" name="Column6920"/>
    <tableColumn id="6921" xr3:uid="{4484B64B-4284-44D4-B19A-4FCE581E0E11}" name="Column6921"/>
    <tableColumn id="6922" xr3:uid="{386590D4-2679-4A7E-9A0A-F2D06BB80936}" name="Column6922"/>
    <tableColumn id="6923" xr3:uid="{0DAAD57E-1849-4388-969F-AA838B79F86A}" name="Column6923"/>
    <tableColumn id="6924" xr3:uid="{ADBF948A-7319-48A2-972F-E794BE567AE2}" name="Column6924"/>
    <tableColumn id="6925" xr3:uid="{E584C72E-173C-43DF-8FEE-7926A804EA1A}" name="Column6925"/>
    <tableColumn id="6926" xr3:uid="{47BE1C83-B498-4C6E-AF43-216CB5A47E3C}" name="Column6926"/>
    <tableColumn id="6927" xr3:uid="{A2410D6E-547C-4547-BD0F-AACD9B6A175C}" name="Column6927"/>
    <tableColumn id="6928" xr3:uid="{39099101-1061-4319-B497-65C67E30AD0A}" name="Column6928"/>
    <tableColumn id="6929" xr3:uid="{96B05907-F5ED-440C-830B-B7BACD34D59F}" name="Column6929"/>
    <tableColumn id="6930" xr3:uid="{76D0662E-EC36-4DB6-974A-9726DE19B6A7}" name="Column6930"/>
    <tableColumn id="6931" xr3:uid="{1679DDF1-CBDB-44D1-82AF-97232AD185F5}" name="Column6931"/>
    <tableColumn id="6932" xr3:uid="{D804C7B8-696B-42F0-A244-5931DCF1C22D}" name="Column6932"/>
    <tableColumn id="6933" xr3:uid="{C88D6BDD-F577-4FC8-8027-9CC83E7B793E}" name="Column6933"/>
    <tableColumn id="6934" xr3:uid="{530D0F4A-9722-43D4-B3BE-A43D50C3D260}" name="Column6934"/>
    <tableColumn id="6935" xr3:uid="{5008EBDB-D76A-44FB-A690-0C3B10B9CBB0}" name="Column6935"/>
    <tableColumn id="6936" xr3:uid="{A33D27DD-3308-44E2-9346-2FE28515B5B9}" name="Column6936"/>
    <tableColumn id="6937" xr3:uid="{39EA6DB9-D5A2-416B-82DE-59F977B74F86}" name="Column6937"/>
    <tableColumn id="6938" xr3:uid="{0145D6B4-AE24-422A-BC6A-8FD19947F21B}" name="Column6938"/>
    <tableColumn id="6939" xr3:uid="{3DC77BBB-3A23-4A07-BCB0-FED117CFCC29}" name="Column6939"/>
    <tableColumn id="6940" xr3:uid="{F98973A8-EC72-44C8-8073-60301B5D020A}" name="Column6940"/>
    <tableColumn id="6941" xr3:uid="{2E4F3B5C-71C8-4D27-98C0-FD1D6B8A85DE}" name="Column6941"/>
    <tableColumn id="6942" xr3:uid="{9CF9546A-FC72-488F-A2B8-E55965A7591D}" name="Column6942"/>
    <tableColumn id="6943" xr3:uid="{F248FE99-1984-4357-8F44-0BCE36CE999E}" name="Column6943"/>
    <tableColumn id="6944" xr3:uid="{EBEDCD51-3CD9-4A76-B8B2-94ADF60A643D}" name="Column6944"/>
    <tableColumn id="6945" xr3:uid="{1A5667AC-E847-4B8B-9DC9-BA4AE8EF8207}" name="Column6945"/>
    <tableColumn id="6946" xr3:uid="{47E91630-9A30-4612-BDDD-C7A4D1B7B35D}" name="Column6946"/>
    <tableColumn id="6947" xr3:uid="{82792C9F-AAF9-4A0F-9963-25A28A1B0219}" name="Column6947"/>
    <tableColumn id="6948" xr3:uid="{06898181-4CE1-40FE-A008-058B626A904C}" name="Column6948"/>
    <tableColumn id="6949" xr3:uid="{D850458B-6637-4A28-B536-32C4E1BE0A71}" name="Column6949"/>
    <tableColumn id="6950" xr3:uid="{67C12F40-B0C0-4634-B1DF-09DF6FC882D0}" name="Column6950"/>
    <tableColumn id="6951" xr3:uid="{237B66F3-A084-4070-967E-4379F0A40A62}" name="Column6951"/>
    <tableColumn id="6952" xr3:uid="{E5498C10-83FD-4F00-B458-E853A1C8E165}" name="Column6952"/>
    <tableColumn id="6953" xr3:uid="{9212170A-D04A-4BCA-B894-35450BB6AA0F}" name="Column6953"/>
    <tableColumn id="6954" xr3:uid="{B090415F-FFBF-43AC-B8F0-B1EC539D81E6}" name="Column6954"/>
    <tableColumn id="6955" xr3:uid="{7CC81464-1192-4821-9C39-2296D8F30EC5}" name="Column6955"/>
    <tableColumn id="6956" xr3:uid="{97CF2E04-5553-43E5-A0E6-321471FA0749}" name="Column6956"/>
    <tableColumn id="6957" xr3:uid="{98481A56-EFD1-4A0B-BA21-DADB68B9AB44}" name="Column6957"/>
    <tableColumn id="6958" xr3:uid="{58910A7F-D147-4F15-A0F2-ABE05771290A}" name="Column6958"/>
    <tableColumn id="6959" xr3:uid="{54EAAFF3-4B2C-435E-96DC-9F54E147CF51}" name="Column6959"/>
    <tableColumn id="6960" xr3:uid="{E1F1E75A-0C0A-4D35-9142-EE5B52A5D8E1}" name="Column6960"/>
    <tableColumn id="6961" xr3:uid="{A3961553-A400-456B-9BBE-8DC007E58D4B}" name="Column6961"/>
    <tableColumn id="6962" xr3:uid="{6447223F-471B-4793-AF9A-0BB5F96C45CA}" name="Column6962"/>
    <tableColumn id="6963" xr3:uid="{A2361955-140C-4991-A73C-984EB0E220CC}" name="Column6963"/>
    <tableColumn id="6964" xr3:uid="{C1798A29-4BA4-4092-88DF-8C6FBEB4F2D0}" name="Column6964"/>
    <tableColumn id="6965" xr3:uid="{CE2102A8-5297-4F3F-94FF-FEE0EAF9633F}" name="Column6965"/>
    <tableColumn id="6966" xr3:uid="{727F10FE-A48D-4145-BA61-E4BABC3B4C20}" name="Column6966"/>
    <tableColumn id="6967" xr3:uid="{BCF20478-CE4E-4423-9000-10C9580A7193}" name="Column6967"/>
    <tableColumn id="6968" xr3:uid="{C80122E9-CC49-46AE-A39F-D85EC4230074}" name="Column6968"/>
    <tableColumn id="6969" xr3:uid="{9E5F5510-76D4-4916-AF2E-0BBFE1AB89B0}" name="Column6969"/>
    <tableColumn id="6970" xr3:uid="{1611F989-A7C4-499D-9CBC-541F037E920B}" name="Column6970"/>
    <tableColumn id="6971" xr3:uid="{2E2D2716-0B67-4B34-BEE5-7AB767DCB0B7}" name="Column6971"/>
    <tableColumn id="6972" xr3:uid="{0DBD3476-CD27-423F-A63E-76DBCD0024F2}" name="Column6972"/>
    <tableColumn id="6973" xr3:uid="{15645A08-7220-4C0E-B923-6DEAAD66BE1A}" name="Column6973"/>
    <tableColumn id="6974" xr3:uid="{4144AEED-D635-4F38-AA1E-22BD4AAE075E}" name="Column6974"/>
    <tableColumn id="6975" xr3:uid="{6D89B1D6-B914-4BAF-883D-242F69376032}" name="Column6975"/>
    <tableColumn id="6976" xr3:uid="{E9F4AA81-D68B-4EEC-9579-84C15697C244}" name="Column6976"/>
    <tableColumn id="6977" xr3:uid="{35B8FF2B-28BD-448F-88D8-7C2987F0D980}" name="Column6977"/>
    <tableColumn id="6978" xr3:uid="{3C99EA49-EDA1-4B1F-81E2-7B20582E9D4C}" name="Column6978"/>
    <tableColumn id="6979" xr3:uid="{E25A5A3E-1405-4963-AE4F-DD215DB85B71}" name="Column6979"/>
    <tableColumn id="6980" xr3:uid="{E47E1BB1-FE11-4162-B6A0-BC3EF4BAEC09}" name="Column6980"/>
    <tableColumn id="6981" xr3:uid="{D5C88749-8923-4C7A-90A6-B8731CCB8A26}" name="Column6981"/>
    <tableColumn id="6982" xr3:uid="{B2C923E0-AE6A-4923-8DB9-C4BD851AC59A}" name="Column6982"/>
    <tableColumn id="6983" xr3:uid="{81F5C590-FD7D-4C59-A2E8-DB7D58C738BB}" name="Column6983"/>
    <tableColumn id="6984" xr3:uid="{39D557C8-B25D-4E4C-A472-C0C68A8453BB}" name="Column6984"/>
    <tableColumn id="6985" xr3:uid="{7A632487-FC32-4B53-8B9B-615B63FA5DC9}" name="Column6985"/>
    <tableColumn id="6986" xr3:uid="{6BF28B99-3407-44F3-B4F4-CB2A349CFAB6}" name="Column6986"/>
    <tableColumn id="6987" xr3:uid="{3D367D3A-36F2-4965-873F-6A70F58458FE}" name="Column6987"/>
    <tableColumn id="6988" xr3:uid="{10B80CAD-B761-4F87-902A-BFA5CFDC39EF}" name="Column6988"/>
    <tableColumn id="6989" xr3:uid="{0FAFFA0F-C954-424E-BA84-1C7698C2F4A3}" name="Column6989"/>
    <tableColumn id="6990" xr3:uid="{D30EE98A-8130-4325-9B83-7CFD09CCFEAD}" name="Column6990"/>
    <tableColumn id="6991" xr3:uid="{35CEADD4-155C-41B3-8FA0-B4FC08E3DE79}" name="Column6991"/>
    <tableColumn id="6992" xr3:uid="{F3455373-F7CF-4E26-AC68-05A147235ABF}" name="Column6992"/>
    <tableColumn id="6993" xr3:uid="{E21A4392-BB35-4C24-A249-217121C9AF68}" name="Column6993"/>
    <tableColumn id="6994" xr3:uid="{1422DB03-2F63-4A2E-8E13-F479BDC846AB}" name="Column6994"/>
    <tableColumn id="6995" xr3:uid="{487B9228-53A6-4644-B74F-98BDC76B175A}" name="Column6995"/>
    <tableColumn id="6996" xr3:uid="{DB2105E5-B038-41E6-89C3-08914E083C07}" name="Column6996"/>
    <tableColumn id="6997" xr3:uid="{6F2DF842-BD05-4273-9435-01A25F418433}" name="Column6997"/>
    <tableColumn id="6998" xr3:uid="{6B39B83B-513F-4474-8954-E7738D836360}" name="Column6998"/>
    <tableColumn id="6999" xr3:uid="{79C9CC1C-BEBC-446D-9E5F-94C890ACCE45}" name="Column6999"/>
    <tableColumn id="7000" xr3:uid="{E2E0048D-596C-4206-BF71-CDB03DF66564}" name="Column7000"/>
    <tableColumn id="7001" xr3:uid="{C8205F5A-4622-4DC6-8E0B-18F479B2C33C}" name="Column7001"/>
    <tableColumn id="7002" xr3:uid="{BE340927-9F57-4988-A1EB-0E67D0E6FF31}" name="Column7002"/>
    <tableColumn id="7003" xr3:uid="{27C9A637-0CEE-4FC0-8323-2EA6CF6A49F7}" name="Column7003"/>
    <tableColumn id="7004" xr3:uid="{4391933A-E434-4B38-930A-48D7E938B860}" name="Column7004"/>
    <tableColumn id="7005" xr3:uid="{E5019F0D-A3B0-426C-A849-E47D42292CF6}" name="Column7005"/>
    <tableColumn id="7006" xr3:uid="{A37B5258-BE2C-43A8-8796-91896388469F}" name="Column7006"/>
    <tableColumn id="7007" xr3:uid="{56070748-5EA3-498E-B8EA-BA91CB1460BB}" name="Column7007"/>
    <tableColumn id="7008" xr3:uid="{D2EAC59E-4485-4959-9FB8-89834E6DBBAD}" name="Column7008"/>
    <tableColumn id="7009" xr3:uid="{8A7BD411-5D31-4BA8-9D59-796E5A226800}" name="Column7009"/>
    <tableColumn id="7010" xr3:uid="{3A24148B-57B3-4C6F-9B09-38CE65565178}" name="Column7010"/>
    <tableColumn id="7011" xr3:uid="{0DA1B0C5-867D-47BE-9CBC-0EBC24D50C69}" name="Column7011"/>
    <tableColumn id="7012" xr3:uid="{B37801CE-861E-44E2-A1EF-4526972AECD4}" name="Column7012"/>
    <tableColumn id="7013" xr3:uid="{E43EFFFF-8D31-484C-BE74-0F627708EB36}" name="Column7013"/>
    <tableColumn id="7014" xr3:uid="{472DB0AD-60C2-4880-BDFD-9EB0B05C9413}" name="Column7014"/>
    <tableColumn id="7015" xr3:uid="{8734131F-E7B7-494D-9F02-FA322EA643A4}" name="Column7015"/>
    <tableColumn id="7016" xr3:uid="{19A5DC65-A90C-41F0-BA5B-BC57BF4A68AA}" name="Column7016"/>
    <tableColumn id="7017" xr3:uid="{FC31270D-5E85-449D-B0ED-098BB5543207}" name="Column7017"/>
    <tableColumn id="7018" xr3:uid="{17DB796F-DAB9-43CF-90B5-7BF76E9A3C71}" name="Column7018"/>
    <tableColumn id="7019" xr3:uid="{3F0FC5C8-DFAA-45EE-B752-505DE5C3603A}" name="Column7019"/>
    <tableColumn id="7020" xr3:uid="{46403BCB-2089-420E-9879-EA69C390E460}" name="Column7020"/>
    <tableColumn id="7021" xr3:uid="{30AA818C-C815-4D6C-963E-4DCEEF162758}" name="Column7021"/>
    <tableColumn id="7022" xr3:uid="{AAFCD84E-8082-4763-9626-94D9BEA80D40}" name="Column7022"/>
    <tableColumn id="7023" xr3:uid="{1973943C-A845-45D8-AEAF-7002FD8569E1}" name="Column7023"/>
    <tableColumn id="7024" xr3:uid="{B5E8C8C9-CBFE-4A1F-9FD0-FD20A7414EC7}" name="Column7024"/>
    <tableColumn id="7025" xr3:uid="{9CCB74EF-4E9E-4E71-BC30-FE7B31A9F484}" name="Column7025"/>
    <tableColumn id="7026" xr3:uid="{B2A37D66-17AE-4FA7-B073-7EE6F5A613A5}" name="Column7026"/>
    <tableColumn id="7027" xr3:uid="{84FF7C28-E322-4EBD-9C54-FEAE58E93C62}" name="Column7027"/>
    <tableColumn id="7028" xr3:uid="{E46BE691-A40E-4974-B993-0ECA22D96568}" name="Column7028"/>
    <tableColumn id="7029" xr3:uid="{B5C82AD9-6396-4B71-8200-3FA4359869DC}" name="Column7029"/>
    <tableColumn id="7030" xr3:uid="{7D76CD0A-67B2-4321-BAA1-C9F4EB1BFAE6}" name="Column7030"/>
    <tableColumn id="7031" xr3:uid="{8E41466B-7B9F-4B00-A88D-024675230039}" name="Column7031"/>
    <tableColumn id="7032" xr3:uid="{EDBDE92F-7680-4CDD-814F-8690431FD7A6}" name="Column7032"/>
    <tableColumn id="7033" xr3:uid="{CF3EA73A-1B10-4CE0-82A8-A1908836F6A5}" name="Column7033"/>
    <tableColumn id="7034" xr3:uid="{B9FFC649-BE5A-410B-9B7C-CC20250157E0}" name="Column7034"/>
    <tableColumn id="7035" xr3:uid="{F315E0A8-08D8-44DF-A059-CDAD9C8CB264}" name="Column7035"/>
    <tableColumn id="7036" xr3:uid="{2FC0A8C0-2461-48EC-A2E3-9AC9251202C9}" name="Column7036"/>
    <tableColumn id="7037" xr3:uid="{0E4549E7-64B8-4619-9146-DCE468DC0EB0}" name="Column7037"/>
    <tableColumn id="7038" xr3:uid="{046195CF-2D9A-4CDC-804B-90C17B78A91B}" name="Column7038"/>
    <tableColumn id="7039" xr3:uid="{D1879E8E-1DB5-471D-A964-2502706ACC87}" name="Column7039"/>
    <tableColumn id="7040" xr3:uid="{0697FB45-D8F1-4E09-87DD-BEFE1E117C1D}" name="Column7040"/>
    <tableColumn id="7041" xr3:uid="{65368CB9-E425-4650-A641-5D7B22D72B7B}" name="Column7041"/>
    <tableColumn id="7042" xr3:uid="{E3650772-4966-4364-900B-C74CE7DB6910}" name="Column7042"/>
    <tableColumn id="7043" xr3:uid="{0B3CFA9B-FC27-4FB6-9D02-CD8C104B3EC9}" name="Column7043"/>
    <tableColumn id="7044" xr3:uid="{EE257C8D-0B08-4E44-B824-A0E623191EEF}" name="Column7044"/>
    <tableColumn id="7045" xr3:uid="{093E9A63-1008-4E42-B4A5-DB1F252ABA96}" name="Column7045"/>
    <tableColumn id="7046" xr3:uid="{6677B9A3-B250-4195-BC80-038CAC79333B}" name="Column7046"/>
    <tableColumn id="7047" xr3:uid="{ABB14657-681C-4840-BFA2-CF785C03172C}" name="Column7047"/>
    <tableColumn id="7048" xr3:uid="{F9653D50-4EF4-4141-9B33-0B7B7D5D1A21}" name="Column7048"/>
    <tableColumn id="7049" xr3:uid="{26093781-347C-4CCD-9665-4D78A9964C62}" name="Column7049"/>
    <tableColumn id="7050" xr3:uid="{E4A27E04-EEBA-4FC9-8127-AF8AE646716A}" name="Column7050"/>
    <tableColumn id="7051" xr3:uid="{4C48A63A-5218-4EAF-864B-65750CAB670F}" name="Column7051"/>
    <tableColumn id="7052" xr3:uid="{7F6A554D-D211-4A31-B005-CA949D32D020}" name="Column7052"/>
    <tableColumn id="7053" xr3:uid="{7C54A163-F452-4873-9604-2D2DF9FB98FD}" name="Column7053"/>
    <tableColumn id="7054" xr3:uid="{E737BD03-7D64-487D-95A5-06915E394C05}" name="Column7054"/>
    <tableColumn id="7055" xr3:uid="{B4CAFD5F-6193-4BA9-9E59-494A19743A22}" name="Column7055"/>
    <tableColumn id="7056" xr3:uid="{C9D3CBB8-A9C7-4A28-B176-28DADEC940E0}" name="Column7056"/>
    <tableColumn id="7057" xr3:uid="{F9A54DD9-4668-44E8-938E-B8F9CC55E573}" name="Column7057"/>
    <tableColumn id="7058" xr3:uid="{3D9BDA0C-AB96-4B75-B6CD-9BE7C73A29E6}" name="Column7058"/>
    <tableColumn id="7059" xr3:uid="{EE47FD2C-6AA0-4A88-A016-D66EEA8141DB}" name="Column7059"/>
    <tableColumn id="7060" xr3:uid="{1C1FAA44-6E7B-41D6-8F4E-9925BB362BA1}" name="Column7060"/>
    <tableColumn id="7061" xr3:uid="{D78F23CC-5014-4CE9-9EA8-DBF2D9637499}" name="Column7061"/>
    <tableColumn id="7062" xr3:uid="{17DCDE74-7401-4F13-A0A0-356F45228D9B}" name="Column7062"/>
    <tableColumn id="7063" xr3:uid="{64EAEC8B-CEC1-4C71-8E23-D5C7C1372325}" name="Column7063"/>
    <tableColumn id="7064" xr3:uid="{6A8B22C7-9C46-4E4A-B731-0D895BF109F3}" name="Column7064"/>
    <tableColumn id="7065" xr3:uid="{E8C55DB9-DDE3-4D18-B8EB-CE5BC1DCF19D}" name="Column7065"/>
    <tableColumn id="7066" xr3:uid="{D54660E9-6639-44DF-802F-6EFAD2C70431}" name="Column7066"/>
    <tableColumn id="7067" xr3:uid="{2C30151B-6B7C-4A11-8DEC-CF9BDD3BA213}" name="Column7067"/>
    <tableColumn id="7068" xr3:uid="{7D2E85DD-6F67-4021-9E36-C2F1D61A0634}" name="Column7068"/>
    <tableColumn id="7069" xr3:uid="{B859021D-1DD1-491B-AA97-E23FDEE1F01A}" name="Column7069"/>
    <tableColumn id="7070" xr3:uid="{989EEE89-EF02-488C-ABD9-1CF58EB8A9EB}" name="Column7070"/>
    <tableColumn id="7071" xr3:uid="{87720302-941F-4052-8814-0A2D816CD553}" name="Column7071"/>
    <tableColumn id="7072" xr3:uid="{8D0F121A-8128-4D1C-BF3F-4EAD9D355ED9}" name="Column7072"/>
    <tableColumn id="7073" xr3:uid="{E3F3C780-20A6-4E5E-B157-3840D071D393}" name="Column7073"/>
    <tableColumn id="7074" xr3:uid="{6C014FE9-A7D8-48A5-AEF5-9AA6335468BF}" name="Column7074"/>
    <tableColumn id="7075" xr3:uid="{C7E30B5B-9C83-47CB-BEBA-27CC7C3CF6EB}" name="Column7075"/>
    <tableColumn id="7076" xr3:uid="{57318F14-FDF7-4510-8E3C-E0ED2C09EF00}" name="Column7076"/>
    <tableColumn id="7077" xr3:uid="{26C8B906-E0D6-41C2-A3AF-31DDB0B00A3C}" name="Column7077"/>
    <tableColumn id="7078" xr3:uid="{763DAC52-D197-4AF0-A21D-3859E1714CFA}" name="Column7078"/>
    <tableColumn id="7079" xr3:uid="{E3915405-5E74-4872-8802-31177580B4C2}" name="Column7079"/>
    <tableColumn id="7080" xr3:uid="{65C53126-FFEA-44D4-B736-A42B0178FE96}" name="Column7080"/>
    <tableColumn id="7081" xr3:uid="{F9A35B3C-853E-46C8-95B4-143251AB43AF}" name="Column7081"/>
    <tableColumn id="7082" xr3:uid="{4CC58C77-6899-4CCA-B9F9-4E7F456C8733}" name="Column7082"/>
    <tableColumn id="7083" xr3:uid="{67A6379A-49A4-4C37-8BE6-2DEA5FDCE8CE}" name="Column7083"/>
    <tableColumn id="7084" xr3:uid="{D3CCD28B-622F-4216-AEB0-999D2F89463B}" name="Column7084"/>
    <tableColumn id="7085" xr3:uid="{02A6EC20-4BC4-44F3-83DA-6C62AE26EF26}" name="Column7085"/>
    <tableColumn id="7086" xr3:uid="{3696727D-E467-4896-984C-EA41B8386EAB}" name="Column7086"/>
    <tableColumn id="7087" xr3:uid="{A34267F4-4CB3-49EC-B755-0C135D642C8E}" name="Column7087"/>
    <tableColumn id="7088" xr3:uid="{EC15D8F6-78AF-4733-8E76-EAF0B83D5D60}" name="Column7088"/>
    <tableColumn id="7089" xr3:uid="{397DD32A-2AC7-46EE-B3C3-DFFD50660AC0}" name="Column7089"/>
    <tableColumn id="7090" xr3:uid="{FE0EAC07-166E-484D-B45F-84F33D7F7B10}" name="Column7090"/>
    <tableColumn id="7091" xr3:uid="{CE1D4FBD-3C0F-4E7D-BF96-3779D9BED660}" name="Column7091"/>
    <tableColumn id="7092" xr3:uid="{0E767065-14B9-42A4-8956-3CCB306FB9D1}" name="Column7092"/>
    <tableColumn id="7093" xr3:uid="{76A5436C-D7C5-4794-BE9F-09C1CC3A6C81}" name="Column7093"/>
    <tableColumn id="7094" xr3:uid="{E7D4F76B-BA44-475C-AF2E-625269EB5D81}" name="Column7094"/>
    <tableColumn id="7095" xr3:uid="{FEDEC6AF-D9A3-42DA-B9DA-C4C433A07C2B}" name="Column7095"/>
    <tableColumn id="7096" xr3:uid="{CD16CF92-5EDE-4315-89C3-998A52160D56}" name="Column7096"/>
    <tableColumn id="7097" xr3:uid="{B21E6C0F-0D0D-43DA-AC14-2E947668C270}" name="Column7097"/>
    <tableColumn id="7098" xr3:uid="{E2609999-3F77-44F0-8939-07146E8E2D72}" name="Column7098"/>
    <tableColumn id="7099" xr3:uid="{5AAFC10F-BD3D-4282-B6A2-CAEF1FC16369}" name="Column7099"/>
    <tableColumn id="7100" xr3:uid="{2BDF226A-5736-44EF-BA1C-BD6107F47C81}" name="Column7100"/>
    <tableColumn id="7101" xr3:uid="{7611C079-BA42-43B0-809F-426FAD287333}" name="Column7101"/>
    <tableColumn id="7102" xr3:uid="{65A037CF-1BA7-40B8-9D32-3C1AE6AD2E07}" name="Column7102"/>
    <tableColumn id="7103" xr3:uid="{8669B2CE-544D-4777-A93D-4B8A9DC0A8BB}" name="Column7103"/>
    <tableColumn id="7104" xr3:uid="{C63BBF46-E743-4E2B-87EC-C33718ECBB9F}" name="Column7104"/>
    <tableColumn id="7105" xr3:uid="{6B4BD95D-3CE2-4C85-B453-95AFC7FB2D15}" name="Column7105"/>
    <tableColumn id="7106" xr3:uid="{B1C6C13F-4461-424D-842A-CEDCA93CB2C0}" name="Column7106"/>
    <tableColumn id="7107" xr3:uid="{8566B665-E1C7-40C3-8C55-7B5820973F59}" name="Column7107"/>
    <tableColumn id="7108" xr3:uid="{DAE5EFEE-7577-4021-B44B-54C2C010A4F6}" name="Column7108"/>
    <tableColumn id="7109" xr3:uid="{B2EBED7D-880D-4949-ADE7-6361882745EE}" name="Column7109"/>
    <tableColumn id="7110" xr3:uid="{A718C1D1-16FB-460E-9729-74F077B97015}" name="Column7110"/>
    <tableColumn id="7111" xr3:uid="{2F5DFC41-684D-4AF1-A536-55CDEB5FBCE1}" name="Column7111"/>
    <tableColumn id="7112" xr3:uid="{9F6386D5-5E3D-4485-A6B2-348B776E9596}" name="Column7112"/>
    <tableColumn id="7113" xr3:uid="{5EBF4ACE-D542-4E7F-8E6B-73F811C7D394}" name="Column7113"/>
    <tableColumn id="7114" xr3:uid="{42DCE614-E30E-468A-AC3C-9C96BF238AC1}" name="Column7114"/>
    <tableColumn id="7115" xr3:uid="{1565BBBD-7421-4D41-ADC1-3EA8B49259B3}" name="Column7115"/>
    <tableColumn id="7116" xr3:uid="{76B0F888-3928-4296-A311-3431D8ACC215}" name="Column7116"/>
    <tableColumn id="7117" xr3:uid="{E4DCA610-B69D-40C6-A184-DCA504861197}" name="Column7117"/>
    <tableColumn id="7118" xr3:uid="{9E1FAD85-78ED-4F77-B6AE-3587D4769687}" name="Column7118"/>
    <tableColumn id="7119" xr3:uid="{408F4394-FBFB-4589-AC50-125C3E6ED0FE}" name="Column7119"/>
    <tableColumn id="7120" xr3:uid="{095E89B4-2F01-426F-9290-CA96673B3DDA}" name="Column7120"/>
    <tableColumn id="7121" xr3:uid="{E878100B-1430-4E49-9FFD-D3319BEB6439}" name="Column7121"/>
    <tableColumn id="7122" xr3:uid="{CC06BCD1-0B27-48DD-8B68-82931A673244}" name="Column7122"/>
    <tableColumn id="7123" xr3:uid="{772CE4BF-1D87-4BC9-971B-1EDE7C7D4650}" name="Column7123"/>
    <tableColumn id="7124" xr3:uid="{E6E20AC0-C213-4CC1-BBE8-D75E443FDC26}" name="Column7124"/>
    <tableColumn id="7125" xr3:uid="{70B5720B-BA68-4048-8869-6D6AF01D4F8F}" name="Column7125"/>
    <tableColumn id="7126" xr3:uid="{595E7139-8530-4B81-83A6-4DB1C949C223}" name="Column7126"/>
    <tableColumn id="7127" xr3:uid="{B6EEAE16-3919-412C-A806-7AF5EE7BDF41}" name="Column7127"/>
    <tableColumn id="7128" xr3:uid="{ECED9572-AAE5-460E-83C3-0FB2AA0B73A1}" name="Column7128"/>
    <tableColumn id="7129" xr3:uid="{C461ED1A-1DAA-4AB8-9346-19E1206F6682}" name="Column7129"/>
    <tableColumn id="7130" xr3:uid="{6218A834-85E2-4AB2-975A-C953AABD5CA3}" name="Column7130"/>
    <tableColumn id="7131" xr3:uid="{8EF529BA-EE65-4329-A052-ABF916A142F1}" name="Column7131"/>
    <tableColumn id="7132" xr3:uid="{A4BF9CBD-B622-442F-8451-3714BA7532E1}" name="Column7132"/>
    <tableColumn id="7133" xr3:uid="{DFE64316-791A-494D-BA5E-A0B145E370C3}" name="Column7133"/>
    <tableColumn id="7134" xr3:uid="{D56EA262-7873-4A6E-BACA-259D192A0002}" name="Column7134"/>
    <tableColumn id="7135" xr3:uid="{A56DE673-9EB4-4952-8BCE-27490464273F}" name="Column7135"/>
    <tableColumn id="7136" xr3:uid="{6A58FB01-87A8-4A24-8224-976F17A577B3}" name="Column7136"/>
    <tableColumn id="7137" xr3:uid="{712C5E9A-93BE-4568-9090-E57C13C44E1E}" name="Column7137"/>
    <tableColumn id="7138" xr3:uid="{5C67B3D3-98F4-4C73-8603-2E468569A32A}" name="Column7138"/>
    <tableColumn id="7139" xr3:uid="{C884B9B5-D4AB-4493-8695-DDEE9E0F548C}" name="Column7139"/>
    <tableColumn id="7140" xr3:uid="{568CB2FB-CADA-4233-802C-82C8B9F8CB8D}" name="Column7140"/>
    <tableColumn id="7141" xr3:uid="{9EBB0B60-9FC5-460D-81C3-F4C23FC28B7C}" name="Column7141"/>
    <tableColumn id="7142" xr3:uid="{4C661E00-04EE-4316-82FF-10E9033ABB05}" name="Column7142"/>
    <tableColumn id="7143" xr3:uid="{FE2A73C3-89AD-4A4B-AD59-8B85402F8413}" name="Column7143"/>
    <tableColumn id="7144" xr3:uid="{3FA8F48F-8077-4671-AFD9-E0334C2A531B}" name="Column7144"/>
    <tableColumn id="7145" xr3:uid="{5F577F9D-3E15-42E7-AAA7-E68FCA037543}" name="Column7145"/>
    <tableColumn id="7146" xr3:uid="{03C45561-CE95-4A91-A7AC-5266BAEF7487}" name="Column7146"/>
    <tableColumn id="7147" xr3:uid="{AEF3A8D6-4ABB-4A9B-818E-FADAA16C61FB}" name="Column7147"/>
    <tableColumn id="7148" xr3:uid="{07D397D4-B4A0-49ED-BBB1-92BF354A2FB0}" name="Column7148"/>
    <tableColumn id="7149" xr3:uid="{F5D06D0F-86ED-4E16-930E-C098F73CCF9C}" name="Column7149"/>
    <tableColumn id="7150" xr3:uid="{2EDDE3C1-63FF-48C4-9671-056BD6F0103A}" name="Column7150"/>
    <tableColumn id="7151" xr3:uid="{508BA2E2-20DD-4CA9-9F87-5A04C707CD76}" name="Column7151"/>
    <tableColumn id="7152" xr3:uid="{B66AC456-23FB-43C2-8B88-020BC93C00FF}" name="Column7152"/>
    <tableColumn id="7153" xr3:uid="{E6E6F489-B763-4D2E-8AC8-4A564377FDC3}" name="Column7153"/>
    <tableColumn id="7154" xr3:uid="{B35C55B0-DEBF-4231-8E8A-61C9929A2B78}" name="Column7154"/>
    <tableColumn id="7155" xr3:uid="{CF3D3781-B1CB-4549-AFC6-F45D0BA9674C}" name="Column7155"/>
    <tableColumn id="7156" xr3:uid="{CC982C76-C809-475B-B44A-8B57A6C28039}" name="Column7156"/>
    <tableColumn id="7157" xr3:uid="{2A7EB326-CF82-43F2-9718-A0390738374F}" name="Column7157"/>
    <tableColumn id="7158" xr3:uid="{CFDC84E7-71B3-4BE2-A3C8-7FE773E9CF12}" name="Column7158"/>
    <tableColumn id="7159" xr3:uid="{C9E08F8B-53E1-4C95-880C-4DFB6D7C85EF}" name="Column7159"/>
    <tableColumn id="7160" xr3:uid="{CFF07D1C-7B69-4FBC-9C09-4D2D971E09C6}" name="Column7160"/>
    <tableColumn id="7161" xr3:uid="{FE7A2562-5B3B-4FB6-A741-3BF924CB0EDE}" name="Column7161"/>
    <tableColumn id="7162" xr3:uid="{D4805872-EBF5-4957-BA2E-D1BEAC1C43E1}" name="Column7162"/>
    <tableColumn id="7163" xr3:uid="{315C037F-FDD3-47FA-84D2-9E8519197D0A}" name="Column7163"/>
    <tableColumn id="7164" xr3:uid="{BE046ED0-77DC-4162-88A7-E290CBDF4374}" name="Column7164"/>
    <tableColumn id="7165" xr3:uid="{AF4C6A49-A911-4D12-9B37-667817C76935}" name="Column7165"/>
    <tableColumn id="7166" xr3:uid="{7CE9B726-AEF1-44DC-976C-19F64A9F7B18}" name="Column7166"/>
    <tableColumn id="7167" xr3:uid="{46EDC68A-A3EE-450C-AC59-1A4958A37B48}" name="Column7167"/>
    <tableColumn id="7168" xr3:uid="{F57A2356-5A8F-4EF2-938D-0B250FC4EECA}" name="Column7168"/>
    <tableColumn id="7169" xr3:uid="{CCAF0117-89E3-4605-AC85-6F97D9F8BB3A}" name="Column7169"/>
    <tableColumn id="7170" xr3:uid="{21C1CA07-F72E-4271-A557-A4ED76E5D66A}" name="Column7170"/>
    <tableColumn id="7171" xr3:uid="{D37501DB-C5AE-4520-ACBF-E5A6D4B3B1F1}" name="Column7171"/>
    <tableColumn id="7172" xr3:uid="{4455249A-6785-48A9-BC3F-3177A46D130E}" name="Column7172"/>
    <tableColumn id="7173" xr3:uid="{033D9A59-75D9-4C0A-A8E4-55C5D1154C79}" name="Column7173"/>
    <tableColumn id="7174" xr3:uid="{BCE2CC0F-B36C-475D-9549-33991CB09A50}" name="Column7174"/>
    <tableColumn id="7175" xr3:uid="{7F93769E-DF9E-4EDB-8F9A-8FB5C31E1943}" name="Column7175"/>
    <tableColumn id="7176" xr3:uid="{4F350A79-1A70-4069-AF72-EE79DCA78948}" name="Column7176"/>
    <tableColumn id="7177" xr3:uid="{DC865B01-A63B-4534-8734-6DD1C5BE3215}" name="Column7177"/>
    <tableColumn id="7178" xr3:uid="{D90B76A1-9DEB-460A-B3DB-EB0D2E2257AB}" name="Column7178"/>
    <tableColumn id="7179" xr3:uid="{1ED14040-0C2D-40A4-BE9E-F37774121653}" name="Column7179"/>
    <tableColumn id="7180" xr3:uid="{4930E3AE-0C74-4441-B477-6A8DAF985DC5}" name="Column7180"/>
    <tableColumn id="7181" xr3:uid="{5ADD0C04-3252-4269-A4DA-FEF28FF7949B}" name="Column7181"/>
    <tableColumn id="7182" xr3:uid="{5DB0D862-E52F-4690-A5BC-C0C95D2F0539}" name="Column7182"/>
    <tableColumn id="7183" xr3:uid="{BCAE07B2-84A6-4E0D-9F7B-9CE5583C15BD}" name="Column7183"/>
    <tableColumn id="7184" xr3:uid="{AFF1BCA9-3BA0-4508-A5FC-AC8BF6A5E446}" name="Column7184"/>
    <tableColumn id="7185" xr3:uid="{320B7755-C6AC-455B-967A-8364A5FA933F}" name="Column7185"/>
    <tableColumn id="7186" xr3:uid="{41D9FA74-226C-4A6E-AFD2-76966CB611A0}" name="Column7186"/>
    <tableColumn id="7187" xr3:uid="{90E72ED2-9C85-4B04-AC69-E27411836A5D}" name="Column7187"/>
    <tableColumn id="7188" xr3:uid="{A4C8E0F1-116A-4EEA-AE9A-47060B9D8CEF}" name="Column7188"/>
    <tableColumn id="7189" xr3:uid="{ACD40579-B357-4D05-83C8-A6F149E399E8}" name="Column7189"/>
    <tableColumn id="7190" xr3:uid="{A118059F-218C-47C4-A652-43E2CF452B28}" name="Column7190"/>
    <tableColumn id="7191" xr3:uid="{4F5060C1-5EE3-4774-8AB3-9FBF6447BED6}" name="Column7191"/>
    <tableColumn id="7192" xr3:uid="{67E54E01-5FFC-46C4-B57E-34AF9AA47EC6}" name="Column7192"/>
    <tableColumn id="7193" xr3:uid="{D9B0B501-29BD-4554-8BBB-E6E54025C5AC}" name="Column7193"/>
    <tableColumn id="7194" xr3:uid="{92C0F314-81EE-4A7C-B17B-734066469A7F}" name="Column7194"/>
    <tableColumn id="7195" xr3:uid="{B649F29F-52B0-4B86-AD9E-42F39FFC9EBA}" name="Column7195"/>
    <tableColumn id="7196" xr3:uid="{1EBAB229-24CF-4B68-B028-B81A129C738B}" name="Column7196"/>
    <tableColumn id="7197" xr3:uid="{F66C42B7-BFCE-4E49-9939-C729B963062B}" name="Column7197"/>
    <tableColumn id="7198" xr3:uid="{C3E44243-6090-494A-9BD5-130005002C8B}" name="Column7198"/>
    <tableColumn id="7199" xr3:uid="{F71F2440-5FCB-4847-86F0-485EA8D25EDB}" name="Column7199"/>
    <tableColumn id="7200" xr3:uid="{77637F71-2BCF-40B6-9973-9AFDF8CE715F}" name="Column7200"/>
    <tableColumn id="7201" xr3:uid="{A906D9C1-927E-4CA1-9DCD-F8CA40C67E92}" name="Column7201"/>
    <tableColumn id="7202" xr3:uid="{8F89EEAC-0244-445C-B584-56CC8413B2D0}" name="Column7202"/>
    <tableColumn id="7203" xr3:uid="{BFF69C53-0900-44EB-93C7-A0187B85FC11}" name="Column7203"/>
    <tableColumn id="7204" xr3:uid="{BC8F5375-229D-4E4B-B4A2-AB2A89659E01}" name="Column7204"/>
    <tableColumn id="7205" xr3:uid="{0A8DABBC-937A-4EB8-941A-60CACEA156F5}" name="Column7205"/>
    <tableColumn id="7206" xr3:uid="{FB60C7A0-CB36-4779-9E97-278C628ECCC7}" name="Column7206"/>
    <tableColumn id="7207" xr3:uid="{3EFE22E8-44A5-4FBA-AEB4-8F15A2755BC3}" name="Column7207"/>
    <tableColumn id="7208" xr3:uid="{7C324F48-E96D-44E5-B06E-A363314D2B4D}" name="Column7208"/>
    <tableColumn id="7209" xr3:uid="{7259450F-177C-4478-8CCB-16D393224497}" name="Column7209"/>
    <tableColumn id="7210" xr3:uid="{77F63A2B-5C39-46A3-ADBB-0C17FFF68C9D}" name="Column7210"/>
    <tableColumn id="7211" xr3:uid="{7966BDA8-BE8B-4336-AF15-D91C34A6B824}" name="Column7211"/>
    <tableColumn id="7212" xr3:uid="{635F36E1-D564-44A3-B9DA-104EE2E35556}" name="Column7212"/>
    <tableColumn id="7213" xr3:uid="{C59E2288-8797-493F-879F-377CEE374BCF}" name="Column7213"/>
    <tableColumn id="7214" xr3:uid="{8EB18EC2-C7A9-4224-9BB7-2C0633EF2A4D}" name="Column7214"/>
    <tableColumn id="7215" xr3:uid="{063396AC-EFE4-43EB-93DE-038A809581E9}" name="Column7215"/>
    <tableColumn id="7216" xr3:uid="{61C0AE69-6F57-4FD0-B40B-6069C3A4014F}" name="Column7216"/>
    <tableColumn id="7217" xr3:uid="{3921CF01-38CD-4AFA-BB3D-CFEA0578571D}" name="Column7217"/>
    <tableColumn id="7218" xr3:uid="{1CDD8F68-3825-4FF0-BDA0-D0646EAB0B7A}" name="Column7218"/>
    <tableColumn id="7219" xr3:uid="{AD6C8783-A905-4691-B1D5-7929EC3B2940}" name="Column7219"/>
    <tableColumn id="7220" xr3:uid="{EFE42B32-3DD8-48B7-B052-E638037503ED}" name="Column7220"/>
    <tableColumn id="7221" xr3:uid="{073AAADA-5EA5-46CC-A7EB-128AA69BD271}" name="Column7221"/>
    <tableColumn id="7222" xr3:uid="{196D890B-DDA2-4893-96B4-F8EC450F31DA}" name="Column7222"/>
    <tableColumn id="7223" xr3:uid="{50AB309F-C7AF-457F-8CD1-84A5B903367F}" name="Column7223"/>
    <tableColumn id="7224" xr3:uid="{BE17F6FB-E8CC-4EAC-93F0-50EBBFBCFD6F}" name="Column7224"/>
    <tableColumn id="7225" xr3:uid="{81F110E2-E3F5-4C1A-8442-45282CB45248}" name="Column7225"/>
    <tableColumn id="7226" xr3:uid="{15BCF226-A86A-4AEE-A47E-20F412C1EA83}" name="Column7226"/>
    <tableColumn id="7227" xr3:uid="{A0C3B21E-6282-4728-B229-0D9605758BB9}" name="Column7227"/>
    <tableColumn id="7228" xr3:uid="{39918F91-42D9-46BF-8CEF-A1FC3C30ED17}" name="Column7228"/>
    <tableColumn id="7229" xr3:uid="{3CE7A89F-6324-4293-AE5D-C33BC503B65F}" name="Column7229"/>
    <tableColumn id="7230" xr3:uid="{39A8F3AA-7731-460F-9762-A91968123B0D}" name="Column7230"/>
    <tableColumn id="7231" xr3:uid="{5C278A69-BA3D-4B22-A58B-38C8E5F596D1}" name="Column7231"/>
    <tableColumn id="7232" xr3:uid="{DD82F6CF-BD92-4FBC-831D-3977F9599771}" name="Column7232"/>
    <tableColumn id="7233" xr3:uid="{58252C89-F0CE-4712-9486-BE0E338D2E6D}" name="Column7233"/>
    <tableColumn id="7234" xr3:uid="{705791C4-D86B-4655-A3E3-10CFD0EFACAB}" name="Column7234"/>
    <tableColumn id="7235" xr3:uid="{D4E223A8-D59E-4D68-8DA6-BADFD8B901AF}" name="Column7235"/>
    <tableColumn id="7236" xr3:uid="{9C5864AB-F0D2-4D7A-9B83-C10985C93E9F}" name="Column7236"/>
    <tableColumn id="7237" xr3:uid="{88E8207A-1439-4874-8310-A16F08D33114}" name="Column7237"/>
    <tableColumn id="7238" xr3:uid="{4E0B3972-6A5B-4652-9B90-3596CF7570A2}" name="Column7238"/>
    <tableColumn id="7239" xr3:uid="{93668F0E-E1B5-4C74-9903-563C5EF3BF5A}" name="Column7239"/>
    <tableColumn id="7240" xr3:uid="{2575145B-773E-4E59-8CB6-69BFEC1041EB}" name="Column7240"/>
    <tableColumn id="7241" xr3:uid="{752600FA-23E4-4FDF-A198-FCAE2B24A5EC}" name="Column7241"/>
    <tableColumn id="7242" xr3:uid="{D73FB587-9D9F-408D-A59F-FF7B54FFA802}" name="Column7242"/>
    <tableColumn id="7243" xr3:uid="{90DDB398-B327-4862-B158-AEB79A48CEFD}" name="Column7243"/>
    <tableColumn id="7244" xr3:uid="{36D1EFE6-E246-4B9C-99C3-DA6C1BD0694D}" name="Column7244"/>
    <tableColumn id="7245" xr3:uid="{6807CBBC-8D1A-4A2D-A6AE-8A6D0F470625}" name="Column7245"/>
    <tableColumn id="7246" xr3:uid="{419B50AC-B500-44F3-B082-15041075A94A}" name="Column7246"/>
    <tableColumn id="7247" xr3:uid="{912DA08A-A4DB-42CC-8863-1904032F9EC4}" name="Column7247"/>
    <tableColumn id="7248" xr3:uid="{E6F56A14-1D28-42E9-A460-47CFC6434B50}" name="Column7248"/>
    <tableColumn id="7249" xr3:uid="{D58A9D22-7D41-4BBD-A11F-64B1DB8FFE20}" name="Column7249"/>
    <tableColumn id="7250" xr3:uid="{CC89C4A9-F803-4710-A2D3-106AF65B5422}" name="Column7250"/>
    <tableColumn id="7251" xr3:uid="{CCFC966C-FB52-4F86-AE9A-7B6EB8B15988}" name="Column7251"/>
    <tableColumn id="7252" xr3:uid="{EC153C49-363A-43E4-94F4-F71413688AA8}" name="Column7252"/>
    <tableColumn id="7253" xr3:uid="{9976BDB8-7D21-4687-84DE-7DC7BA7083DE}" name="Column7253"/>
    <tableColumn id="7254" xr3:uid="{4BAD1B81-6852-43BB-8656-8D4815D8C293}" name="Column7254"/>
    <tableColumn id="7255" xr3:uid="{F7F5E79C-645F-45B3-AA4C-4EBFE912C9B6}" name="Column7255"/>
    <tableColumn id="7256" xr3:uid="{2959892C-B238-4257-9865-5EB3558F264E}" name="Column7256"/>
    <tableColumn id="7257" xr3:uid="{66C70BD4-5414-4EFE-8998-4457F2106DEA}" name="Column7257"/>
    <tableColumn id="7258" xr3:uid="{CAC61A45-3825-4365-8C00-13E9C4896900}" name="Column7258"/>
    <tableColumn id="7259" xr3:uid="{08974E28-0646-4BBC-8A21-6CF1018A3B20}" name="Column7259"/>
    <tableColumn id="7260" xr3:uid="{012A54BE-753C-4DAA-B7D1-3DE3B728708E}" name="Column7260"/>
    <tableColumn id="7261" xr3:uid="{A3B88C6B-BAAA-4DA9-81A6-F6F7CC304CB7}" name="Column7261"/>
    <tableColumn id="7262" xr3:uid="{2002E17A-DFE2-42A5-A1EF-F020229C7AD1}" name="Column7262"/>
    <tableColumn id="7263" xr3:uid="{F3BD8EF5-C835-4CC6-8030-B9D03F0302E9}" name="Column7263"/>
    <tableColumn id="7264" xr3:uid="{827A934C-1BEE-4150-B6AE-D6158FE32827}" name="Column7264"/>
    <tableColumn id="7265" xr3:uid="{33FA05F5-26BF-4CFC-8988-D4428D6F9B54}" name="Column7265"/>
    <tableColumn id="7266" xr3:uid="{5F9C086C-E5BE-4295-BDC9-E7E5C9BB3359}" name="Column7266"/>
    <tableColumn id="7267" xr3:uid="{173A4D05-E97E-472F-A61A-72358599856E}" name="Column7267"/>
    <tableColumn id="7268" xr3:uid="{824B745D-2770-43A5-9959-604616FFD406}" name="Column7268"/>
    <tableColumn id="7269" xr3:uid="{C41B69E3-725F-47E5-B7F3-F7E95D21AF53}" name="Column7269"/>
    <tableColumn id="7270" xr3:uid="{48C43178-0E4C-4405-AEC2-90C2F6C55812}" name="Column7270"/>
    <tableColumn id="7271" xr3:uid="{42217054-AE02-40BB-8E11-6A632A45093C}" name="Column7271"/>
    <tableColumn id="7272" xr3:uid="{3A8415FB-8F19-406F-8AE6-0EA7EA127DC4}" name="Column7272"/>
    <tableColumn id="7273" xr3:uid="{83C64441-22A1-4EA2-9FFA-019153A2DADE}" name="Column7273"/>
    <tableColumn id="7274" xr3:uid="{599CB8F3-EDB6-4F58-B5DA-F08BE3A5AA4B}" name="Column7274"/>
    <tableColumn id="7275" xr3:uid="{EB3F1E89-AE05-40C8-8E6E-7A48E1B1B7C6}" name="Column7275"/>
    <tableColumn id="7276" xr3:uid="{92B9F28E-7C4A-4927-A2A3-66B094EE127E}" name="Column7276"/>
    <tableColumn id="7277" xr3:uid="{1C927238-7703-43E6-B528-4E54586E6305}" name="Column7277"/>
    <tableColumn id="7278" xr3:uid="{CFAD2640-F93F-495C-ABEE-10584B9C348C}" name="Column7278"/>
    <tableColumn id="7279" xr3:uid="{35AA3982-674D-4EE6-A6AE-9EC14F510B2B}" name="Column7279"/>
    <tableColumn id="7280" xr3:uid="{5BC43503-852E-4B38-B3C8-FB345CF847C4}" name="Column7280"/>
    <tableColumn id="7281" xr3:uid="{8665E07D-1ECA-4C22-9ECD-CF21DB508236}" name="Column7281"/>
    <tableColumn id="7282" xr3:uid="{44E3367B-280E-4F3B-8931-B816B5C551FE}" name="Column7282"/>
    <tableColumn id="7283" xr3:uid="{384ED66F-5645-4E40-A809-1FCC0D8C605C}" name="Column7283"/>
    <tableColumn id="7284" xr3:uid="{128D8510-7F8D-42A5-B0D4-33C54318791D}" name="Column7284"/>
    <tableColumn id="7285" xr3:uid="{1289212A-AB3C-4365-B541-D3C8455573AB}" name="Column7285"/>
    <tableColumn id="7286" xr3:uid="{B2FA6C76-920C-4786-A225-C4C1B2139227}" name="Column7286"/>
    <tableColumn id="7287" xr3:uid="{F67AF00A-8AEB-4D44-9895-DB5B86ABBD16}" name="Column7287"/>
    <tableColumn id="7288" xr3:uid="{4D2C0FEF-C272-44BB-B6DD-FEAAF0CD5A92}" name="Column7288"/>
    <tableColumn id="7289" xr3:uid="{3D9691C8-02FB-4888-9B4F-8189BD1A0A33}" name="Column7289"/>
    <tableColumn id="7290" xr3:uid="{A0D8AC4C-D06A-48C0-86F2-2541D11DD694}" name="Column7290"/>
    <tableColumn id="7291" xr3:uid="{30537DAD-A2EA-4125-B4E9-91F4D55B9A64}" name="Column7291"/>
    <tableColumn id="7292" xr3:uid="{F340D1C4-4BA7-4757-9655-896E46C77F35}" name="Column7292"/>
    <tableColumn id="7293" xr3:uid="{7DEAF9E7-C60C-4097-B264-1901E5932B47}" name="Column7293"/>
    <tableColumn id="7294" xr3:uid="{747A7914-7A72-46DA-88E9-CFBA7F0E8B6D}" name="Column7294"/>
    <tableColumn id="7295" xr3:uid="{B2FC8046-BF64-40D7-BC72-F92D77DE479D}" name="Column7295"/>
    <tableColumn id="7296" xr3:uid="{8752285D-66F9-44B6-98CD-4ABF4047C4B9}" name="Column7296"/>
    <tableColumn id="7297" xr3:uid="{584E85D9-CF3E-41E8-82E1-C55D809391DD}" name="Column7297"/>
    <tableColumn id="7298" xr3:uid="{B2370FAA-4458-45F8-BA19-82C4B7FE2894}" name="Column7298"/>
    <tableColumn id="7299" xr3:uid="{E57CBB17-5819-4F34-8FDC-99F120B51EE2}" name="Column7299"/>
    <tableColumn id="7300" xr3:uid="{A72BAA22-9EB8-4B11-AD78-F592B7106F29}" name="Column7300"/>
    <tableColumn id="7301" xr3:uid="{A99E2B56-0981-4C3B-B9B4-0DAADAF9A9AB}" name="Column7301"/>
    <tableColumn id="7302" xr3:uid="{1E0C8C94-C01D-4D75-90B7-76C60BDA6152}" name="Column7302"/>
    <tableColumn id="7303" xr3:uid="{C387D92B-4252-4B90-9200-EA5DAEBE29F4}" name="Column7303"/>
    <tableColumn id="7304" xr3:uid="{9FF61745-5286-421A-AD98-69587342A6B8}" name="Column7304"/>
    <tableColumn id="7305" xr3:uid="{770C20AE-5F38-48E4-875B-B8E1D527C340}" name="Column7305"/>
    <tableColumn id="7306" xr3:uid="{D8ADF27A-C34E-4DAB-8662-9FA6F5764523}" name="Column7306"/>
    <tableColumn id="7307" xr3:uid="{2AA9FD17-7C84-42B9-9DD2-32F1EB75328B}" name="Column7307"/>
    <tableColumn id="7308" xr3:uid="{A34322B5-4DC4-487E-B0D3-97498AC1FA1E}" name="Column7308"/>
    <tableColumn id="7309" xr3:uid="{6D53F223-1ED9-4FE3-8EEF-5C0C1677CA25}" name="Column7309"/>
    <tableColumn id="7310" xr3:uid="{171C9593-1744-4090-B726-BCB69D2679B7}" name="Column7310"/>
    <tableColumn id="7311" xr3:uid="{08D078FF-0D37-4631-B269-B90D9F4ED160}" name="Column7311"/>
    <tableColumn id="7312" xr3:uid="{6778C85A-5217-43DD-B829-09242FC200B5}" name="Column7312"/>
    <tableColumn id="7313" xr3:uid="{15F610C2-3CEB-4602-951C-7D63E08D1843}" name="Column7313"/>
    <tableColumn id="7314" xr3:uid="{2CB96BCA-3423-4A46-8CCE-734C700F648A}" name="Column7314"/>
    <tableColumn id="7315" xr3:uid="{C86A83E7-EA30-495C-BAD9-E347C5FECF65}" name="Column7315"/>
    <tableColumn id="7316" xr3:uid="{3D6D0C3A-3CCA-404E-98F0-578AA4568F67}" name="Column7316"/>
    <tableColumn id="7317" xr3:uid="{5F1FCA37-3E39-45E7-8A81-EE7283E658D9}" name="Column7317"/>
    <tableColumn id="7318" xr3:uid="{819900AF-F1AA-4371-9BFB-72E3156091E4}" name="Column7318"/>
    <tableColumn id="7319" xr3:uid="{A590F748-A6AB-4251-A874-263257DC39BF}" name="Column7319"/>
    <tableColumn id="7320" xr3:uid="{91B9F821-9D06-4BC2-A673-09BA4889C37D}" name="Column7320"/>
    <tableColumn id="7321" xr3:uid="{EEBDFA87-84FD-460B-A209-18788150C00A}" name="Column7321"/>
    <tableColumn id="7322" xr3:uid="{B2B35EE1-1F64-4B1E-9826-5983665D9286}" name="Column7322"/>
    <tableColumn id="7323" xr3:uid="{E31D6534-8571-4797-BA0B-FE6B9DBBC8B6}" name="Column7323"/>
    <tableColumn id="7324" xr3:uid="{116BB99E-897B-41BF-81C1-1FB3D4ED9C75}" name="Column7324"/>
    <tableColumn id="7325" xr3:uid="{AEE28F28-2083-404A-B50F-918CAF4F27BE}" name="Column7325"/>
    <tableColumn id="7326" xr3:uid="{10F37622-3F8F-4A02-A170-FB32CEF9672C}" name="Column7326"/>
    <tableColumn id="7327" xr3:uid="{938FFC15-5503-49BB-A300-5403EDCE1999}" name="Column7327"/>
    <tableColumn id="7328" xr3:uid="{5AD48F3D-4D78-4492-A71D-46C4EC909AF3}" name="Column7328"/>
    <tableColumn id="7329" xr3:uid="{70BB3D02-6E4B-4CED-B594-70F85D4B8940}" name="Column7329"/>
    <tableColumn id="7330" xr3:uid="{519DCB5C-FC5A-4999-B955-C3BAB69B1BF9}" name="Column7330"/>
    <tableColumn id="7331" xr3:uid="{CAA2E8AA-AB00-4FB0-AC03-9397C4DE915A}" name="Column7331"/>
    <tableColumn id="7332" xr3:uid="{482FA624-D015-4317-BA08-FBDE5785D1D1}" name="Column7332"/>
    <tableColumn id="7333" xr3:uid="{4469A922-CFEB-4395-BA43-63536CC5645D}" name="Column7333"/>
    <tableColumn id="7334" xr3:uid="{D144428A-0B26-4C24-95CC-FFDBF920A575}" name="Column7334"/>
    <tableColumn id="7335" xr3:uid="{A682446B-FE4D-4F5E-83EE-B877131DC328}" name="Column7335"/>
    <tableColumn id="7336" xr3:uid="{92C6889D-D9C7-4857-B940-3EEC93D6D463}" name="Column7336"/>
    <tableColumn id="7337" xr3:uid="{D71A332E-BA89-40F3-870D-A9AD253476EC}" name="Column7337"/>
    <tableColumn id="7338" xr3:uid="{FFDAE5CC-FAF4-42D8-910A-472D18394892}" name="Column7338"/>
    <tableColumn id="7339" xr3:uid="{4BC661EE-2B99-4E3F-BF3E-5766BB617F63}" name="Column7339"/>
    <tableColumn id="7340" xr3:uid="{EE994330-6A89-460B-BEDD-6BBD89BE606E}" name="Column7340"/>
    <tableColumn id="7341" xr3:uid="{6CEB1860-A494-435F-A3CC-F192410B5FF0}" name="Column7341"/>
    <tableColumn id="7342" xr3:uid="{4DDD34FD-315A-49F2-AD77-F4B62AC77B2D}" name="Column7342"/>
    <tableColumn id="7343" xr3:uid="{22F6A76E-1184-4845-86ED-A1BEBA489E8E}" name="Column7343"/>
    <tableColumn id="7344" xr3:uid="{066FA50E-D5FD-4439-B5F9-A41959897F50}" name="Column7344"/>
    <tableColumn id="7345" xr3:uid="{E2354F54-272B-4174-9E14-80ED69F6268B}" name="Column7345"/>
    <tableColumn id="7346" xr3:uid="{EACB2283-632E-48BF-8C62-2179F8BDE69A}" name="Column7346"/>
    <tableColumn id="7347" xr3:uid="{7802C0A2-1FE8-4675-9E3F-31123D5E10DA}" name="Column7347"/>
    <tableColumn id="7348" xr3:uid="{7880CCD3-3EE4-4C33-B7FF-A302F331268C}" name="Column7348"/>
    <tableColumn id="7349" xr3:uid="{1F608F24-25DC-4844-A298-C993252AF1D9}" name="Column7349"/>
    <tableColumn id="7350" xr3:uid="{457EC57A-FBFB-4918-9971-9CE26397F25B}" name="Column7350"/>
    <tableColumn id="7351" xr3:uid="{63872D46-C16D-4A89-A6D0-0A3AB28C02CE}" name="Column7351"/>
    <tableColumn id="7352" xr3:uid="{9FA1631C-915F-487F-9987-94C0EE5A3853}" name="Column7352"/>
    <tableColumn id="7353" xr3:uid="{DB51FEFE-C3A8-46FF-9E7A-013BB3ED34FB}" name="Column7353"/>
    <tableColumn id="7354" xr3:uid="{65E2FEB8-4CC6-4B58-9F83-828C39CA66B0}" name="Column7354"/>
    <tableColumn id="7355" xr3:uid="{827E38B1-AB95-461E-B518-BC8BC149B390}" name="Column7355"/>
    <tableColumn id="7356" xr3:uid="{A8BCD3D5-6BAD-4417-A080-ACA658246DA3}" name="Column7356"/>
    <tableColumn id="7357" xr3:uid="{4DB3E518-C23A-4DBA-80E6-8C3BFA47CFC6}" name="Column7357"/>
    <tableColumn id="7358" xr3:uid="{C5A76B62-062A-4F0F-B553-5D1388319B73}" name="Column7358"/>
    <tableColumn id="7359" xr3:uid="{C0CFDFF7-47B7-43C1-8B3A-4919DB6DE9CE}" name="Column7359"/>
    <tableColumn id="7360" xr3:uid="{CDAB3F28-943A-4590-8AED-D7849683EA5A}" name="Column7360"/>
    <tableColumn id="7361" xr3:uid="{E8E62BAB-4907-4AE6-B947-87E70E44CA7F}" name="Column7361"/>
    <tableColumn id="7362" xr3:uid="{F07A5889-2268-49AB-839B-C2A2C4580991}" name="Column7362"/>
    <tableColumn id="7363" xr3:uid="{22AF5093-ACAC-4EC9-A8CE-F6CCD174CEC0}" name="Column7363"/>
    <tableColumn id="7364" xr3:uid="{6BFA8729-00BC-46E1-B9BB-7B8153ABAB34}" name="Column7364"/>
    <tableColumn id="7365" xr3:uid="{D3D70F20-DF62-40F0-A82A-159161A1B59A}" name="Column7365"/>
    <tableColumn id="7366" xr3:uid="{1C4F553C-2ED7-4809-939A-84453007314E}" name="Column7366"/>
    <tableColumn id="7367" xr3:uid="{1C284EA4-4A80-4EEA-B7F2-089484FD5CDE}" name="Column7367"/>
    <tableColumn id="7368" xr3:uid="{9D92AB7F-09CC-4144-BD6D-D2AAC6F6C361}" name="Column7368"/>
    <tableColumn id="7369" xr3:uid="{4201C126-4C10-4047-9EB5-8FC608B5A49E}" name="Column7369"/>
    <tableColumn id="7370" xr3:uid="{FAC9A140-1EF6-46A0-802A-279883CFAB2B}" name="Column7370"/>
    <tableColumn id="7371" xr3:uid="{48198120-32A3-4610-88D3-C7DC30679971}" name="Column7371"/>
    <tableColumn id="7372" xr3:uid="{D748B2B3-0683-4728-B204-F67AA3F99627}" name="Column7372"/>
    <tableColumn id="7373" xr3:uid="{EF8F3DD3-60F9-460B-B2EA-1744B1557F2F}" name="Column7373"/>
    <tableColumn id="7374" xr3:uid="{787586BC-5024-4157-89C3-D490A5EFC427}" name="Column7374"/>
    <tableColumn id="7375" xr3:uid="{2915F0D6-0F42-4D57-8F15-53AAA8FFEA50}" name="Column7375"/>
    <tableColumn id="7376" xr3:uid="{3B5710EE-56AF-4B08-A5D7-17F673A2A3BB}" name="Column7376"/>
    <tableColumn id="7377" xr3:uid="{02B0C6A5-94ED-4F66-8502-D071CB2DAAFC}" name="Column7377"/>
    <tableColumn id="7378" xr3:uid="{F8C1C47B-41C7-4348-8A0D-6C6E83E82421}" name="Column7378"/>
    <tableColumn id="7379" xr3:uid="{B873FF51-5E84-41CE-8E4B-C641D897991E}" name="Column7379"/>
    <tableColumn id="7380" xr3:uid="{D026D2B3-6C6F-464C-8CF0-CD57FC386405}" name="Column7380"/>
    <tableColumn id="7381" xr3:uid="{D91B1D43-CC3D-4BD8-BCE8-AC6C477433F3}" name="Column7381"/>
    <tableColumn id="7382" xr3:uid="{F39C1598-9EEF-4EE5-8788-6A02C641B8BC}" name="Column7382"/>
    <tableColumn id="7383" xr3:uid="{F5423184-426D-464D-A2B4-DBBD87D1CBCF}" name="Column7383"/>
    <tableColumn id="7384" xr3:uid="{21767B7A-9D7B-4692-9950-D0931872D743}" name="Column7384"/>
    <tableColumn id="7385" xr3:uid="{C1041CF2-B86C-4FDF-9F87-EBF476217547}" name="Column7385"/>
    <tableColumn id="7386" xr3:uid="{9977008E-7A50-4DDC-BB09-42A1804C6593}" name="Column7386"/>
    <tableColumn id="7387" xr3:uid="{2AFCD919-6EDA-410F-A66A-A762EDCA6080}" name="Column7387"/>
    <tableColumn id="7388" xr3:uid="{70170CD6-41BD-4ED5-A081-FCC288760188}" name="Column7388"/>
    <tableColumn id="7389" xr3:uid="{D3ED7DE3-82CB-42EA-BEE1-6BCE16B1C4E7}" name="Column7389"/>
    <tableColumn id="7390" xr3:uid="{4DAD69B8-6D87-41B7-B307-236253C34169}" name="Column7390"/>
    <tableColumn id="7391" xr3:uid="{E84D8FCB-6C93-426A-BAAD-DD8B5946D09F}" name="Column7391"/>
    <tableColumn id="7392" xr3:uid="{05173AC3-3201-4494-A0D2-1702B004F6DA}" name="Column7392"/>
    <tableColumn id="7393" xr3:uid="{76D8FC5E-7E47-447B-B3B6-9C14945A78B9}" name="Column7393"/>
    <tableColumn id="7394" xr3:uid="{690F5F59-0C0D-4265-A9B3-3E79A8B6BB1B}" name="Column7394"/>
    <tableColumn id="7395" xr3:uid="{622DC0F4-B4F9-4C0B-B632-3E9C52D0771A}" name="Column7395"/>
    <tableColumn id="7396" xr3:uid="{6F1E6D0F-4A15-40CD-9160-84ADA7E30032}" name="Column7396"/>
    <tableColumn id="7397" xr3:uid="{96B65010-C890-4CF1-B2C0-04C0E38451F2}" name="Column7397"/>
    <tableColumn id="7398" xr3:uid="{E84A1FD4-9168-44D5-ABF3-A0751B741DD3}" name="Column7398"/>
    <tableColumn id="7399" xr3:uid="{6442D17F-6E20-43B2-86A5-9289511BF61F}" name="Column7399"/>
    <tableColumn id="7400" xr3:uid="{658E5191-C94A-43D1-A9CB-FFC4756FF8EC}" name="Column7400"/>
    <tableColumn id="7401" xr3:uid="{ACFD59FA-27C9-4893-9263-0ED73E5200EE}" name="Column7401"/>
    <tableColumn id="7402" xr3:uid="{CF900951-C3A4-4A37-844E-41337CF9C1A6}" name="Column7402"/>
    <tableColumn id="7403" xr3:uid="{EF7A2201-625C-4B02-B31A-1396C36E157E}" name="Column7403"/>
    <tableColumn id="7404" xr3:uid="{97F1832A-0F0D-47EF-A983-3C02A872DC39}" name="Column7404"/>
    <tableColumn id="7405" xr3:uid="{DFDEBB6A-74B8-4372-B962-37B681435679}" name="Column7405"/>
    <tableColumn id="7406" xr3:uid="{93629ACF-76DD-4216-A051-81733B4FB6D8}" name="Column7406"/>
    <tableColumn id="7407" xr3:uid="{019D8DD1-103B-4752-B815-5A1A21BFD791}" name="Column7407"/>
    <tableColumn id="7408" xr3:uid="{DED15BE6-1F65-4615-BB8E-2A2BCEAC9AB3}" name="Column7408"/>
    <tableColumn id="7409" xr3:uid="{BA22EB8C-07D1-47A9-9C03-CE5389E33F49}" name="Column7409"/>
    <tableColumn id="7410" xr3:uid="{3648A1E4-E3FA-4C8F-8AD3-7EFAA4E90EDC}" name="Column7410"/>
    <tableColumn id="7411" xr3:uid="{1C824D80-E911-4B05-923D-2B251E3A7A29}" name="Column7411"/>
    <tableColumn id="7412" xr3:uid="{87EAF30A-D66C-4324-8601-BD96F1CFA613}" name="Column7412"/>
    <tableColumn id="7413" xr3:uid="{9082DCA7-B2DA-421D-925D-5BFA8A98CC6C}" name="Column7413"/>
    <tableColumn id="7414" xr3:uid="{146F67FE-B1A5-4EE2-A1AE-0A234BB1FB5F}" name="Column7414"/>
    <tableColumn id="7415" xr3:uid="{19FACE42-1328-43FB-A083-1A6CA43BA524}" name="Column7415"/>
    <tableColumn id="7416" xr3:uid="{DD787324-C0E7-4996-B6D6-4ABFC8ADA329}" name="Column7416"/>
    <tableColumn id="7417" xr3:uid="{1E281EB9-0FAB-438B-A647-A82A12A3A041}" name="Column7417"/>
    <tableColumn id="7418" xr3:uid="{16D16DF3-73DB-4C4D-B8B4-035A9AED1BC6}" name="Column7418"/>
    <tableColumn id="7419" xr3:uid="{1A8296EB-5F46-4778-B4FE-0795C793161B}" name="Column7419"/>
    <tableColumn id="7420" xr3:uid="{36134236-2A7D-48AA-8855-C00AE1A5ED63}" name="Column7420"/>
    <tableColumn id="7421" xr3:uid="{C7BAD72E-9024-4DD3-AB90-FD04E27D79B7}" name="Column7421"/>
    <tableColumn id="7422" xr3:uid="{7B3107ED-A970-46FD-B929-BF2EEEE6D4FC}" name="Column7422"/>
    <tableColumn id="7423" xr3:uid="{5FBE3E90-6B43-45CD-B1E9-9FED96FCFBE6}" name="Column7423"/>
    <tableColumn id="7424" xr3:uid="{CFB00A20-3202-49F8-B598-FD9F14257E1B}" name="Column7424"/>
    <tableColumn id="7425" xr3:uid="{E401E37A-A170-4223-910D-DD162671DCE5}" name="Column7425"/>
    <tableColumn id="7426" xr3:uid="{DEFF9699-14B3-474C-8EE8-98E4A068D531}" name="Column7426"/>
    <tableColumn id="7427" xr3:uid="{A52FEB94-CECB-4518-82FD-2B92F956C1C5}" name="Column7427"/>
    <tableColumn id="7428" xr3:uid="{2C33AFD6-F5BB-4591-AEE6-F99B0CF175C1}" name="Column7428"/>
    <tableColumn id="7429" xr3:uid="{B9EFED16-5CB4-46C5-9CA4-6077ACA1BAA9}" name="Column7429"/>
    <tableColumn id="7430" xr3:uid="{0CDCC062-4F3E-4EFC-9B27-7E13E4BC2C08}" name="Column7430"/>
    <tableColumn id="7431" xr3:uid="{119D14D0-FB03-4397-B66C-C38D85C7B517}" name="Column7431"/>
    <tableColumn id="7432" xr3:uid="{A6FE150E-CD18-4D68-A8D5-EA9ADF832107}" name="Column7432"/>
    <tableColumn id="7433" xr3:uid="{A6B4FFFD-F3D2-4C35-B4E2-E396F57B08AA}" name="Column7433"/>
    <tableColumn id="7434" xr3:uid="{E2805AE9-2B93-46B8-96F7-E339BF622729}" name="Column7434"/>
    <tableColumn id="7435" xr3:uid="{C3A3B2E0-C1A3-4FEF-987A-A37B5EB0AA02}" name="Column7435"/>
    <tableColumn id="7436" xr3:uid="{1C8196F3-15CA-4643-8B8A-B9FCC43EB9F8}" name="Column7436"/>
    <tableColumn id="7437" xr3:uid="{4DB64A84-143B-4A83-986A-012B8F49B98E}" name="Column7437"/>
    <tableColumn id="7438" xr3:uid="{BF3CD3C2-A9D1-4839-8BA4-D793302EA280}" name="Column7438"/>
    <tableColumn id="7439" xr3:uid="{CB66EF6B-20F4-47FF-9A94-AEDA0B7F3245}" name="Column7439"/>
    <tableColumn id="7440" xr3:uid="{AC4A2C3C-E63D-462D-A479-FDAA04598068}" name="Column7440"/>
    <tableColumn id="7441" xr3:uid="{716978C5-888B-4B68-974B-80F825529FE7}" name="Column7441"/>
    <tableColumn id="7442" xr3:uid="{7B57420D-A5CE-4EF5-893E-80615F74604C}" name="Column7442"/>
    <tableColumn id="7443" xr3:uid="{553F83EE-D610-4527-BCDF-3C52AE4DD1D4}" name="Column7443"/>
    <tableColumn id="7444" xr3:uid="{C9E0FEBF-7C6C-4A0B-868C-50226328A351}" name="Column7444"/>
    <tableColumn id="7445" xr3:uid="{FB17459D-C7C7-450C-92F6-27735E7F0B02}" name="Column7445"/>
    <tableColumn id="7446" xr3:uid="{13E19B93-2D4A-48FD-AB27-AD25C3B4C416}" name="Column7446"/>
    <tableColumn id="7447" xr3:uid="{2D370D76-C5F3-460F-B888-6E68BD680D92}" name="Column7447"/>
    <tableColumn id="7448" xr3:uid="{632BFCBA-59B6-488F-8AE8-3AE9B41FAFA0}" name="Column7448"/>
    <tableColumn id="7449" xr3:uid="{ACC09B43-51C7-42EB-820B-4D06D848EEB9}" name="Column7449"/>
    <tableColumn id="7450" xr3:uid="{87B70ED0-0A5C-4BCD-A3B6-8CBA8FC82ADD}" name="Column7450"/>
    <tableColumn id="7451" xr3:uid="{CA2320D9-F4A7-472F-8910-1F41252C8848}" name="Column7451"/>
    <tableColumn id="7452" xr3:uid="{A6965550-6E12-4669-A58D-E28FDF3DCA4D}" name="Column7452"/>
    <tableColumn id="7453" xr3:uid="{A54CDC89-D4EA-4786-B2DC-E67CBA5CB29E}" name="Column7453"/>
    <tableColumn id="7454" xr3:uid="{65D5279D-DD58-4F0C-A3D1-C1EBCF846DC0}" name="Column7454"/>
    <tableColumn id="7455" xr3:uid="{3C9E5435-3B74-4835-9F67-71C37A7BEE67}" name="Column7455"/>
    <tableColumn id="7456" xr3:uid="{D2A1D237-5871-4395-861E-60F1503A2CED}" name="Column7456"/>
    <tableColumn id="7457" xr3:uid="{D03464B4-141E-4234-9710-63DFF91B16A5}" name="Column7457"/>
    <tableColumn id="7458" xr3:uid="{B893173F-CBE6-4D2F-BD29-9EA52A35AFFA}" name="Column7458"/>
    <tableColumn id="7459" xr3:uid="{0D9A0BCD-3B79-451B-B59C-2BF55599DBF6}" name="Column7459"/>
    <tableColumn id="7460" xr3:uid="{35C38317-9D3C-4D24-A05F-92354DDC8D55}" name="Column7460"/>
    <tableColumn id="7461" xr3:uid="{F25FA20A-68EC-4CBF-950B-8EFE5B12AB8F}" name="Column7461"/>
    <tableColumn id="7462" xr3:uid="{18A065AB-E56D-473A-8E1C-B862FF131229}" name="Column7462"/>
    <tableColumn id="7463" xr3:uid="{C30880D7-60AD-4E9A-A1A3-8BE5DF6441AF}" name="Column7463"/>
    <tableColumn id="7464" xr3:uid="{14C3FE5E-791D-4561-8ACD-C34F3851EDA2}" name="Column7464"/>
    <tableColumn id="7465" xr3:uid="{D1967C7F-2500-4C9C-BA1A-FCC994C69B8C}" name="Column7465"/>
    <tableColumn id="7466" xr3:uid="{40942B38-261D-4D9F-AA41-34F6134CECFF}" name="Column7466"/>
    <tableColumn id="7467" xr3:uid="{6F041EE7-36EA-46EE-8505-85C13EEB27A9}" name="Column7467"/>
    <tableColumn id="7468" xr3:uid="{79FAD7A1-CE9A-47AE-BF97-8B4EED437544}" name="Column7468"/>
    <tableColumn id="7469" xr3:uid="{B3A3C832-9AFB-454B-83DD-E1FB374C8960}" name="Column7469"/>
    <tableColumn id="7470" xr3:uid="{E9720ABB-734D-47DD-BED5-F1D5B9DF3C42}" name="Column7470"/>
    <tableColumn id="7471" xr3:uid="{C65EC6D7-23BE-4D97-B3DD-02C999E67C61}" name="Column7471"/>
    <tableColumn id="7472" xr3:uid="{E75F6373-22A8-4641-90DA-98D1108B63AD}" name="Column7472"/>
    <tableColumn id="7473" xr3:uid="{0503FDCA-5699-4A7A-A76D-E16492CCEC20}" name="Column7473"/>
    <tableColumn id="7474" xr3:uid="{CA17B396-EA19-4541-8A97-6317E504AB61}" name="Column7474"/>
    <tableColumn id="7475" xr3:uid="{BDF34C31-D20F-498F-87D6-49840CCB7590}" name="Column7475"/>
    <tableColumn id="7476" xr3:uid="{1800798D-4587-4A43-9242-22EAE165D44E}" name="Column7476"/>
    <tableColumn id="7477" xr3:uid="{ADCD1D21-EB46-43CC-AECA-2D3278D95B6C}" name="Column7477"/>
    <tableColumn id="7478" xr3:uid="{51DD5223-C3DE-40B5-8620-AB82BEF3BF23}" name="Column7478"/>
    <tableColumn id="7479" xr3:uid="{E838E97C-C297-40B8-BB25-ED9488573320}" name="Column7479"/>
    <tableColumn id="7480" xr3:uid="{85789B99-D638-446D-A4FC-A16B2E5A36D1}" name="Column7480"/>
    <tableColumn id="7481" xr3:uid="{50F0499E-32B2-4C2F-82F9-C880EB16A929}" name="Column7481"/>
    <tableColumn id="7482" xr3:uid="{F8BE82BD-40E0-41E7-9FB1-1888E76444FD}" name="Column7482"/>
    <tableColumn id="7483" xr3:uid="{28F4A208-7900-45A6-B9D8-B7979B2C87FC}" name="Column7483"/>
    <tableColumn id="7484" xr3:uid="{17BEBF90-4318-424D-8AAD-FE5E2A406CD3}" name="Column7484"/>
    <tableColumn id="7485" xr3:uid="{496CBD89-3F64-40E5-99AC-C3A4ADE02E7E}" name="Column7485"/>
    <tableColumn id="7486" xr3:uid="{77F036AB-0C6B-4359-83AC-8A12D6B7AB03}" name="Column7486"/>
    <tableColumn id="7487" xr3:uid="{83FB64FB-2F81-47E1-8F0C-87F460448959}" name="Column7487"/>
    <tableColumn id="7488" xr3:uid="{7D462470-520D-46FD-823C-10714601BD14}" name="Column7488"/>
    <tableColumn id="7489" xr3:uid="{ED354F88-8F6C-4EA0-8D76-EBEE957EB958}" name="Column7489"/>
    <tableColumn id="7490" xr3:uid="{6D794C73-3567-459F-A6BE-30F34AD120D1}" name="Column7490"/>
    <tableColumn id="7491" xr3:uid="{03E4794B-8B93-4BBC-95F9-5458B5094E01}" name="Column7491"/>
    <tableColumn id="7492" xr3:uid="{049C1601-9FFB-4307-A855-6ECB36C0788F}" name="Column7492"/>
    <tableColumn id="7493" xr3:uid="{6B447702-201A-4271-8AAA-F85DF0808A09}" name="Column7493"/>
    <tableColumn id="7494" xr3:uid="{3C811731-F478-4745-9313-5E183866A0B5}" name="Column7494"/>
    <tableColumn id="7495" xr3:uid="{ABA349CD-6C20-4921-84B4-42272AD16A11}" name="Column7495"/>
    <tableColumn id="7496" xr3:uid="{AFAB5722-F08C-473F-9332-3CAEFF026AE5}" name="Column7496"/>
    <tableColumn id="7497" xr3:uid="{05A34EF1-E433-4A48-BAB2-415A5B116076}" name="Column7497"/>
    <tableColumn id="7498" xr3:uid="{DC8E6ABD-BD5C-4476-9B65-F9BF3C044D31}" name="Column7498"/>
    <tableColumn id="7499" xr3:uid="{653C70F2-A2C2-49EE-96D9-9DF9E3B63428}" name="Column7499"/>
    <tableColumn id="7500" xr3:uid="{EE4ADDFE-9E64-478B-9E78-08D150ACFA8F}" name="Column7500"/>
    <tableColumn id="7501" xr3:uid="{419BA6E9-1EC4-430A-9BDF-21182284CC8C}" name="Column7501"/>
    <tableColumn id="7502" xr3:uid="{96FC04BC-795B-4172-9552-F7A69B3623BA}" name="Column7502"/>
    <tableColumn id="7503" xr3:uid="{6B223429-164D-4F7E-AC2F-132A61A1B41A}" name="Column7503"/>
    <tableColumn id="7504" xr3:uid="{85CAF21A-7C94-493D-9799-04DBEC2FF47B}" name="Column7504"/>
    <tableColumn id="7505" xr3:uid="{F64A734D-82B0-4548-B2B8-0576E8EC235C}" name="Column7505"/>
    <tableColumn id="7506" xr3:uid="{FBA91141-7619-437F-B7D0-37D7359022AA}" name="Column7506"/>
    <tableColumn id="7507" xr3:uid="{A080213E-7CDD-493C-98C9-D2627ACBA7AF}" name="Column7507"/>
    <tableColumn id="7508" xr3:uid="{CF0B5BF9-0F07-4216-9252-D9345BAD4A7B}" name="Column7508"/>
    <tableColumn id="7509" xr3:uid="{6BD6D6C8-2D13-409A-8EE1-9A811B3AE89A}" name="Column7509"/>
    <tableColumn id="7510" xr3:uid="{26668FCC-CE8B-48F3-9D27-CAE3CC06FF41}" name="Column7510"/>
    <tableColumn id="7511" xr3:uid="{3052D324-8863-4B08-845B-1D27F424213A}" name="Column7511"/>
    <tableColumn id="7512" xr3:uid="{3054A2DD-52A6-4C6D-9988-63E331890E42}" name="Column7512"/>
    <tableColumn id="7513" xr3:uid="{8861BAEE-E527-4788-BBA1-8A6F70AE50E3}" name="Column7513"/>
    <tableColumn id="7514" xr3:uid="{B94CFA3F-036B-4164-AB9E-78AA3D457772}" name="Column7514"/>
    <tableColumn id="7515" xr3:uid="{910C077C-A5B0-4964-9178-FC8DEFBDF2CF}" name="Column7515"/>
    <tableColumn id="7516" xr3:uid="{F248AE6A-4ACE-4CFD-BB08-532461D517DD}" name="Column7516"/>
    <tableColumn id="7517" xr3:uid="{45EB5D8F-D4FE-4482-ADAC-86434A05DD2B}" name="Column7517"/>
    <tableColumn id="7518" xr3:uid="{15A13C90-EFE9-48A6-A7DF-5F8B8DE380D8}" name="Column7518"/>
    <tableColumn id="7519" xr3:uid="{E8370564-DB09-4D27-95DA-33E880C7EA4C}" name="Column7519"/>
    <tableColumn id="7520" xr3:uid="{C1C06CEC-E803-4D75-9847-82029FA10485}" name="Column7520"/>
    <tableColumn id="7521" xr3:uid="{A3D2CF02-BF97-4A82-AAF2-712A561308BD}" name="Column7521"/>
    <tableColumn id="7522" xr3:uid="{1FED9D12-60FA-4670-83DC-7DA2132EC4B5}" name="Column7522"/>
    <tableColumn id="7523" xr3:uid="{805C1D4B-85AA-4D3F-BD28-5C65415574A8}" name="Column7523"/>
    <tableColumn id="7524" xr3:uid="{BB5F3E00-4636-4D55-826B-F77FDA8300D5}" name="Column7524"/>
    <tableColumn id="7525" xr3:uid="{52B1C91E-B21C-4D6C-8D4E-15AAF6875FD3}" name="Column7525"/>
    <tableColumn id="7526" xr3:uid="{53EA274D-7D7B-4097-A868-E80FDC5CEB53}" name="Column7526"/>
    <tableColumn id="7527" xr3:uid="{5DF5B413-B828-43B8-ADFD-C6DF651B51DF}" name="Column7527"/>
    <tableColumn id="7528" xr3:uid="{1CBF0990-96AB-44EB-9E63-BB41F94EB77B}" name="Column7528"/>
    <tableColumn id="7529" xr3:uid="{B656B756-AAEB-4E85-91EB-B6205234C082}" name="Column7529"/>
    <tableColumn id="7530" xr3:uid="{A961E8E1-4EAA-451E-9E44-51753E1DE57E}" name="Column7530"/>
    <tableColumn id="7531" xr3:uid="{A1977726-EA78-45F5-B006-2BCD9D804C7D}" name="Column7531"/>
    <tableColumn id="7532" xr3:uid="{3A35183D-B1B1-4B06-976C-0296D44C9F28}" name="Column7532"/>
    <tableColumn id="7533" xr3:uid="{85BD879E-B914-42C7-A362-FDF098A74453}" name="Column7533"/>
    <tableColumn id="7534" xr3:uid="{054E9665-D45B-49B4-B58A-5B1B970CB816}" name="Column7534"/>
    <tableColumn id="7535" xr3:uid="{E90FD374-A0FB-4B56-9A16-08ACA4642D92}" name="Column7535"/>
    <tableColumn id="7536" xr3:uid="{83B021CA-71C4-49B4-8730-88BE7ADD63C3}" name="Column7536"/>
    <tableColumn id="7537" xr3:uid="{1814D07D-F5FB-4389-98BF-5FCA7AFAAD21}" name="Column7537"/>
    <tableColumn id="7538" xr3:uid="{3C17CFEE-4F9F-432C-94A4-76F382DED053}" name="Column7538"/>
    <tableColumn id="7539" xr3:uid="{BC16D542-191A-418E-A088-39CD6FFFCDB2}" name="Column7539"/>
    <tableColumn id="7540" xr3:uid="{9F69961A-DA2E-41FE-A601-CBCE3F6DB37F}" name="Column7540"/>
    <tableColumn id="7541" xr3:uid="{AB2207C1-3C47-441C-BDB0-571FEF82DF12}" name="Column7541"/>
    <tableColumn id="7542" xr3:uid="{8C0BAFAD-BB79-438A-BA2E-59DDB3308DA4}" name="Column7542"/>
    <tableColumn id="7543" xr3:uid="{9A294EF2-85AC-4CA4-92A9-0D2B13E0A1B0}" name="Column7543"/>
    <tableColumn id="7544" xr3:uid="{3E486112-8549-4C3C-BE87-8CF88B6A92C7}" name="Column7544"/>
    <tableColumn id="7545" xr3:uid="{EDC77322-F73E-4880-8850-DD79FDF7F000}" name="Column7545"/>
    <tableColumn id="7546" xr3:uid="{010CB5D8-A773-4534-9569-3F49EE6B35D6}" name="Column7546"/>
    <tableColumn id="7547" xr3:uid="{A6C1E19E-E7E9-418A-B2DD-BB138C7CC8BF}" name="Column7547"/>
    <tableColumn id="7548" xr3:uid="{BA1DC947-4175-4C33-91E2-CA19A518DFEF}" name="Column7548"/>
    <tableColumn id="7549" xr3:uid="{889EE6CC-1C28-423C-B576-5B5FA7DD8EF0}" name="Column7549"/>
    <tableColumn id="7550" xr3:uid="{26C51741-883A-46B1-9EFC-C373128AA487}" name="Column7550"/>
    <tableColumn id="7551" xr3:uid="{A0C4EDB9-7B6F-472F-9406-4F73FD8F76FC}" name="Column7551"/>
    <tableColumn id="7552" xr3:uid="{18C495E3-AE6D-4E43-821F-EE4D6709E4F1}" name="Column7552"/>
    <tableColumn id="7553" xr3:uid="{4DD38F3A-5DB9-4B76-8434-7174D5B2D159}" name="Column7553"/>
    <tableColumn id="7554" xr3:uid="{75C7A403-EF72-4E9C-8A61-057F853AC414}" name="Column7554"/>
    <tableColumn id="7555" xr3:uid="{C5CFF5F6-2839-4A8B-89D4-2FA264D554E3}" name="Column7555"/>
    <tableColumn id="7556" xr3:uid="{30D9A919-DD54-4A68-BDF8-69D46ADCE19E}" name="Column7556"/>
    <tableColumn id="7557" xr3:uid="{3142772C-5797-43CD-93C0-22F7FBA11622}" name="Column7557"/>
    <tableColumn id="7558" xr3:uid="{B0DA0684-4597-498B-B90A-B5A47E79445B}" name="Column7558"/>
    <tableColumn id="7559" xr3:uid="{60E92E5A-A5DD-4BF8-BB38-82181427C0D4}" name="Column7559"/>
    <tableColumn id="7560" xr3:uid="{963E9043-8E51-47C3-A9AC-6F2A1450C3DE}" name="Column7560"/>
    <tableColumn id="7561" xr3:uid="{3A8B0521-413A-4F96-B8A3-EAC187F7A717}" name="Column7561"/>
    <tableColumn id="7562" xr3:uid="{1FF94FA3-D046-4B86-9809-C9F141309728}" name="Column7562"/>
    <tableColumn id="7563" xr3:uid="{AF85AB5B-5648-46C0-96DF-DC652967F100}" name="Column7563"/>
    <tableColumn id="7564" xr3:uid="{6939C226-A215-4CD4-BACD-450CFBDFFE01}" name="Column7564"/>
    <tableColumn id="7565" xr3:uid="{E1916D79-0BE1-4A87-9A33-DF3632FA48DE}" name="Column7565"/>
    <tableColumn id="7566" xr3:uid="{E0BFBFEB-69AB-4E46-8C23-CFD655685C61}" name="Column7566"/>
    <tableColumn id="7567" xr3:uid="{6956B103-BECF-421C-92CE-D5A6A3C4B785}" name="Column7567"/>
    <tableColumn id="7568" xr3:uid="{5C0BAD19-3C16-4B7F-B56F-71A150B30D41}" name="Column7568"/>
    <tableColumn id="7569" xr3:uid="{ED45B081-011A-401D-8CD2-0505D39DABD7}" name="Column7569"/>
    <tableColumn id="7570" xr3:uid="{4A045968-81F5-461D-A6DB-A3205AA2AB43}" name="Column7570"/>
    <tableColumn id="7571" xr3:uid="{771A67DA-28E4-44AF-B54F-00B0108B5613}" name="Column7571"/>
    <tableColumn id="7572" xr3:uid="{C4C0CDE4-6CDF-419F-881D-4EDBD1C5249C}" name="Column7572"/>
    <tableColumn id="7573" xr3:uid="{96AA367F-180B-410C-BF21-62B3C67F8E6A}" name="Column7573"/>
    <tableColumn id="7574" xr3:uid="{98E9443C-1B40-4FA5-A94F-E7E6C8D6CF23}" name="Column7574"/>
    <tableColumn id="7575" xr3:uid="{8A977317-FB21-4CE4-B0E3-D19197A814EE}" name="Column7575"/>
    <tableColumn id="7576" xr3:uid="{941A6AE8-7C6B-42E6-B5F8-510FFA6A7285}" name="Column7576"/>
    <tableColumn id="7577" xr3:uid="{689D398E-4788-479B-8CF5-42F69613152E}" name="Column7577"/>
    <tableColumn id="7578" xr3:uid="{AA721D8E-19F0-4E5F-951A-553B65ADE703}" name="Column7578"/>
    <tableColumn id="7579" xr3:uid="{28AC8F02-BFE0-43D3-ADF6-448FDA45BAC9}" name="Column7579"/>
    <tableColumn id="7580" xr3:uid="{EB1DFD36-062E-4FCA-B569-B21551857A45}" name="Column7580"/>
    <tableColumn id="7581" xr3:uid="{AC68D9E3-46F1-47A8-AFD0-2BB3F3F02FB1}" name="Column7581"/>
    <tableColumn id="7582" xr3:uid="{0F3C6CA2-E511-45E9-B345-56DBD78E7E57}" name="Column7582"/>
    <tableColumn id="7583" xr3:uid="{56421C90-DD5E-4C25-9733-031E10BEE478}" name="Column7583"/>
    <tableColumn id="7584" xr3:uid="{17F85C66-2B01-4D83-8827-A94B439BA0C3}" name="Column7584"/>
    <tableColumn id="7585" xr3:uid="{B512C170-FE2C-4047-BF3B-21B7FECE16E3}" name="Column7585"/>
    <tableColumn id="7586" xr3:uid="{079BABD4-D4C7-4EA9-8BD9-BF5AF8509E43}" name="Column7586"/>
    <tableColumn id="7587" xr3:uid="{428FF555-49B9-491E-9637-A03D48C3BD13}" name="Column7587"/>
    <tableColumn id="7588" xr3:uid="{B51DF0F2-1FD4-4085-95DD-20667252848D}" name="Column7588"/>
    <tableColumn id="7589" xr3:uid="{BCD4A75F-1FBE-40C0-AED3-0ACA3BE91CCF}" name="Column7589"/>
    <tableColumn id="7590" xr3:uid="{E7540E21-9BB7-4DAA-987A-9DB389A263DC}" name="Column7590"/>
    <tableColumn id="7591" xr3:uid="{3C684C0E-CEF6-4F5A-B034-73D9B4BCD446}" name="Column7591"/>
    <tableColumn id="7592" xr3:uid="{1FE82E30-A33D-4AB5-8801-EF74CCFEC890}" name="Column7592"/>
    <tableColumn id="7593" xr3:uid="{CB51F2A6-0C43-4214-A955-F73A0B66485D}" name="Column7593"/>
    <tableColumn id="7594" xr3:uid="{84DAF1F6-2225-47E4-BE42-2AD2FEE8B997}" name="Column7594"/>
    <tableColumn id="7595" xr3:uid="{E43572E4-CEA2-4CD9-801A-CDDB4C80D95A}" name="Column7595"/>
    <tableColumn id="7596" xr3:uid="{74384C06-94A9-46EF-BD93-7E808CC35D6C}" name="Column7596"/>
    <tableColumn id="7597" xr3:uid="{1E150822-6093-4A90-B19D-AED685F455B9}" name="Column7597"/>
    <tableColumn id="7598" xr3:uid="{5AC5AF0F-9357-4AC5-85EF-CC9575A2E6D0}" name="Column7598"/>
    <tableColumn id="7599" xr3:uid="{A2334557-1336-4202-8297-FFEC60E9C250}" name="Column7599"/>
    <tableColumn id="7600" xr3:uid="{0294663F-B88D-44FA-87A6-ADDDBE31A049}" name="Column7600"/>
    <tableColumn id="7601" xr3:uid="{9C2FB7FC-8663-411F-BAF5-6A2DEA5F2B33}" name="Column7601"/>
    <tableColumn id="7602" xr3:uid="{FC5E97F3-4B41-4D9E-BC22-CF2EB595F2CD}" name="Column7602"/>
    <tableColumn id="7603" xr3:uid="{190412E8-7CA3-484E-8DB5-50E10EA8D3DA}" name="Column7603"/>
    <tableColumn id="7604" xr3:uid="{2672F176-C73B-4023-BA23-A04F27E67BCE}" name="Column7604"/>
    <tableColumn id="7605" xr3:uid="{8EDCFBAA-D5A2-4DB3-B52C-99D0CC243273}" name="Column7605"/>
    <tableColumn id="7606" xr3:uid="{F83B2404-937D-482E-B635-A441FBFF44B1}" name="Column7606"/>
    <tableColumn id="7607" xr3:uid="{6A35CF58-B316-426F-8397-20EE73DB353D}" name="Column7607"/>
    <tableColumn id="7608" xr3:uid="{443F1617-C47F-4DC5-99C7-9CAD2B309E26}" name="Column7608"/>
    <tableColumn id="7609" xr3:uid="{D579CCA3-81F9-40F5-A39D-0A7F37F4CD42}" name="Column7609"/>
    <tableColumn id="7610" xr3:uid="{F55EDD77-DBC9-4606-9BA0-DD686BFFB790}" name="Column7610"/>
    <tableColumn id="7611" xr3:uid="{FFD99186-5596-4B98-A412-C5B002F122F4}" name="Column7611"/>
    <tableColumn id="7612" xr3:uid="{75B7D2F7-E5CB-4640-B5EA-6D0D7CB5B9F4}" name="Column7612"/>
    <tableColumn id="7613" xr3:uid="{2626A99C-54AE-462D-BD31-1FC315088350}" name="Column7613"/>
    <tableColumn id="7614" xr3:uid="{CC9854E7-8B85-4D06-B6D6-1C29EA773FF8}" name="Column7614"/>
    <tableColumn id="7615" xr3:uid="{D3BB6559-BC64-42D3-ABF1-844D4F7FB800}" name="Column7615"/>
    <tableColumn id="7616" xr3:uid="{44D5D6F3-588A-4715-A189-96823323DEBA}" name="Column7616"/>
    <tableColumn id="7617" xr3:uid="{0E52FBDA-F2A4-4ADB-9C0A-FC04DA0E9CCC}" name="Column7617"/>
    <tableColumn id="7618" xr3:uid="{7393F5C2-6B7E-4FCB-8B54-54081B1842FC}" name="Column7618"/>
    <tableColumn id="7619" xr3:uid="{B6D8FCA1-F2ED-4823-89CB-EC31963ACD87}" name="Column7619"/>
    <tableColumn id="7620" xr3:uid="{E002C8B3-7340-479F-8E23-6467BCCAC94C}" name="Column7620"/>
    <tableColumn id="7621" xr3:uid="{01E0FA85-30DF-4D64-BBCC-1DAF461DD4F5}" name="Column7621"/>
    <tableColumn id="7622" xr3:uid="{70CBA653-0951-40FA-A639-F00C41B5D244}" name="Column7622"/>
    <tableColumn id="7623" xr3:uid="{1BA6C541-967E-4122-A83B-B2537607F816}" name="Column7623"/>
    <tableColumn id="7624" xr3:uid="{CA554757-9EA4-4BE3-87A5-27C6C757AF94}" name="Column7624"/>
    <tableColumn id="7625" xr3:uid="{4625B25D-8508-4E5D-9ABE-24D1A577CCAB}" name="Column7625"/>
    <tableColumn id="7626" xr3:uid="{8A23DFB4-5597-4127-9391-808BDF4917A5}" name="Column7626"/>
    <tableColumn id="7627" xr3:uid="{47A62338-EB71-4988-A375-8345D25F7CD0}" name="Column7627"/>
    <tableColumn id="7628" xr3:uid="{2B3C8DB0-B3B8-4144-A45C-DBBEE74C349C}" name="Column7628"/>
    <tableColumn id="7629" xr3:uid="{D3354085-5154-4F1F-9899-4AD782AF5202}" name="Column7629"/>
    <tableColumn id="7630" xr3:uid="{454E24A0-3BC9-472A-B9C0-FB6B7F55ED04}" name="Column7630"/>
    <tableColumn id="7631" xr3:uid="{44DED1F3-2F91-45C6-9E38-70B1231D4B05}" name="Column7631"/>
    <tableColumn id="7632" xr3:uid="{84734BCA-7D84-482D-9F68-5C028208EEA0}" name="Column7632"/>
    <tableColumn id="7633" xr3:uid="{8BAB3CFF-DC49-45E1-9828-3334A9017092}" name="Column7633"/>
    <tableColumn id="7634" xr3:uid="{39BC25D4-EE92-4B81-AA6A-B2F44E69BD07}" name="Column7634"/>
    <tableColumn id="7635" xr3:uid="{C0452FAC-0777-4382-9FD5-0255AAD7D90A}" name="Column7635"/>
    <tableColumn id="7636" xr3:uid="{5D6B7920-80CD-48FB-9AEE-52A648F86E5E}" name="Column7636"/>
    <tableColumn id="7637" xr3:uid="{AFAB960D-5219-4DA2-93C0-3A0C1022A1B7}" name="Column7637"/>
    <tableColumn id="7638" xr3:uid="{F6F47C29-BF5D-4C74-B642-2DD1DD0A9DF8}" name="Column7638"/>
    <tableColumn id="7639" xr3:uid="{1A927B40-D2FF-41E2-AE80-6B6C95705FCD}" name="Column7639"/>
    <tableColumn id="7640" xr3:uid="{0A0EB635-F0D4-44DE-9FB0-0A3F03F4C7C7}" name="Column7640"/>
    <tableColumn id="7641" xr3:uid="{6EEF23E0-6BA8-434B-8FA2-76C380553B39}" name="Column7641"/>
    <tableColumn id="7642" xr3:uid="{B6D5FB9B-35F4-4FA2-A2E5-702B1D83C4B9}" name="Column7642"/>
    <tableColumn id="7643" xr3:uid="{CD14C6FD-AF1D-41A3-A040-33875ABADEB4}" name="Column7643"/>
    <tableColumn id="7644" xr3:uid="{5E6C8AE0-EEE5-4CC3-BFA1-71B90F5ED659}" name="Column7644"/>
    <tableColumn id="7645" xr3:uid="{39889A86-B041-46AC-887A-662717DC51BA}" name="Column7645"/>
    <tableColumn id="7646" xr3:uid="{FF319156-44AD-40DF-B5F9-86972EE706B5}" name="Column7646"/>
    <tableColumn id="7647" xr3:uid="{0646C573-24C0-4ECF-AF81-DA691E794E82}" name="Column7647"/>
    <tableColumn id="7648" xr3:uid="{3F86E382-BB6A-4EB9-9C36-98072449A39E}" name="Column7648"/>
    <tableColumn id="7649" xr3:uid="{11844796-F0BD-458F-A48A-1F48C051DDD0}" name="Column7649"/>
    <tableColumn id="7650" xr3:uid="{DE16134A-94E2-4E1B-80C5-C75D3F8D57AB}" name="Column7650"/>
    <tableColumn id="7651" xr3:uid="{FC7A09AB-5BAE-404F-A29F-1634654B13D6}" name="Column7651"/>
    <tableColumn id="7652" xr3:uid="{3ACA4EEC-1F84-4F45-836E-A1DC186A7120}" name="Column7652"/>
    <tableColumn id="7653" xr3:uid="{CB68827A-9EF8-4414-BF59-6A82297BB6E3}" name="Column7653"/>
    <tableColumn id="7654" xr3:uid="{F3D76599-3518-461A-851D-4CC20E957E3F}" name="Column7654"/>
    <tableColumn id="7655" xr3:uid="{732E3711-8585-48F6-A1CB-543337A9F173}" name="Column7655"/>
    <tableColumn id="7656" xr3:uid="{6142FB0E-E2F2-4856-A318-00F9C4762997}" name="Column7656"/>
    <tableColumn id="7657" xr3:uid="{848A7481-808B-43B3-877B-A212FC1B5FE1}" name="Column7657"/>
    <tableColumn id="7658" xr3:uid="{06E43AB7-6E79-442A-9865-469177BFB208}" name="Column7658"/>
    <tableColumn id="7659" xr3:uid="{E996970C-3914-4720-B9BD-8F0244EA7A92}" name="Column7659"/>
    <tableColumn id="7660" xr3:uid="{B5CD0D24-2146-4027-AAA0-42EA89CB3B7F}" name="Column7660"/>
    <tableColumn id="7661" xr3:uid="{1C016A84-B151-4176-876B-AFFD79B02E62}" name="Column7661"/>
    <tableColumn id="7662" xr3:uid="{1BD63672-0830-4CCE-97C4-173BFD59854F}" name="Column7662"/>
    <tableColumn id="7663" xr3:uid="{A5BD6E7B-49EB-449C-97A0-7F1082F3547B}" name="Column7663"/>
    <tableColumn id="7664" xr3:uid="{540E3539-3EAB-40BD-A9D7-D26AA3E6F6A4}" name="Column7664"/>
    <tableColumn id="7665" xr3:uid="{B6841B83-2E43-4B30-B3A9-0497B2B767A5}" name="Column7665"/>
    <tableColumn id="7666" xr3:uid="{6FF01881-A0F2-40E7-A4BA-3525A503653E}" name="Column7666"/>
    <tableColumn id="7667" xr3:uid="{633D35DC-F14C-4AA7-B732-2527B4B55C37}" name="Column7667"/>
    <tableColumn id="7668" xr3:uid="{C633A15D-B851-40BF-BAA5-D783A2BD1EC6}" name="Column7668"/>
    <tableColumn id="7669" xr3:uid="{484755D5-E678-4B0D-B5DD-61F0113590CB}" name="Column7669"/>
    <tableColumn id="7670" xr3:uid="{B7F5C0BC-95EB-47D2-9C2F-0DAABDE14FFC}" name="Column7670"/>
    <tableColumn id="7671" xr3:uid="{A2303521-9334-45AF-94BA-1A8D1247CF78}" name="Column7671"/>
    <tableColumn id="7672" xr3:uid="{DDDC455A-6423-46BD-BEF1-A06106B4962A}" name="Column7672"/>
    <tableColumn id="7673" xr3:uid="{B0752536-4FA6-4659-8D6B-1C9EE5D3D390}" name="Column7673"/>
    <tableColumn id="7674" xr3:uid="{2A490402-27CA-41A7-B160-2B4F76E53B9B}" name="Column7674"/>
    <tableColumn id="7675" xr3:uid="{AE05C272-4169-4B68-BCC5-3D96C50D8505}" name="Column7675"/>
    <tableColumn id="7676" xr3:uid="{41FC3969-9FB2-4102-BE7F-027FBA08E097}" name="Column7676"/>
    <tableColumn id="7677" xr3:uid="{D5C0352F-BCFC-4AA3-B202-9D30D3A8CC7C}" name="Column7677"/>
    <tableColumn id="7678" xr3:uid="{8780C5B5-03F3-43C1-A270-23315258FFAA}" name="Column7678"/>
    <tableColumn id="7679" xr3:uid="{3746525C-C60A-4A08-9376-D69AD2EDB400}" name="Column7679"/>
    <tableColumn id="7680" xr3:uid="{0C5FE197-3584-4B80-94E6-C7A4C9F9FDF0}" name="Column7680"/>
    <tableColumn id="7681" xr3:uid="{86E8906D-AB55-4682-B81E-AFF12C5FD5C5}" name="Column7681"/>
    <tableColumn id="7682" xr3:uid="{957E286A-BBB2-4AE7-B564-A5F24E401574}" name="Column7682"/>
    <tableColumn id="7683" xr3:uid="{E62A7EAB-592C-43A6-A32D-8000B4610C2B}" name="Column7683"/>
    <tableColumn id="7684" xr3:uid="{3F60FA3D-BB94-46BB-A508-68FC6379F060}" name="Column7684"/>
    <tableColumn id="7685" xr3:uid="{C61F5598-9139-42A2-A01E-AB8CACF4ECB6}" name="Column7685"/>
    <tableColumn id="7686" xr3:uid="{65566FCC-E8E1-4A4A-9237-C0099ECE4248}" name="Column7686"/>
    <tableColumn id="7687" xr3:uid="{1172C5B4-0597-40A1-B0BC-DC0DEEB8C8EC}" name="Column7687"/>
    <tableColumn id="7688" xr3:uid="{3C40B289-B8E3-43BD-8019-146AEE49812E}" name="Column7688"/>
    <tableColumn id="7689" xr3:uid="{246CA4CE-D953-4816-80F4-B8E91B904C7C}" name="Column7689"/>
    <tableColumn id="7690" xr3:uid="{D9FBFC82-43C4-46E9-8B30-01ED12887740}" name="Column7690"/>
    <tableColumn id="7691" xr3:uid="{E52C7115-F2A4-4FF5-AB78-744A3C3EF115}" name="Column7691"/>
    <tableColumn id="7692" xr3:uid="{D4856731-98CF-48E0-884F-7528E38E3834}" name="Column7692"/>
    <tableColumn id="7693" xr3:uid="{CBFF5766-9A5B-4006-9423-FCD341DEB063}" name="Column7693"/>
    <tableColumn id="7694" xr3:uid="{71E8F24D-3524-42B7-90A2-10D666BD8B74}" name="Column7694"/>
    <tableColumn id="7695" xr3:uid="{94496184-6568-4BD9-B263-BFCCA535BCBC}" name="Column7695"/>
    <tableColumn id="7696" xr3:uid="{30DA4DFA-D81C-460A-AE40-617C3F7FA381}" name="Column7696"/>
    <tableColumn id="7697" xr3:uid="{6491C86A-12EC-4F88-B7A2-0B3A12D949B7}" name="Column7697"/>
    <tableColumn id="7698" xr3:uid="{6BEED1F8-44E9-4A32-8F82-819F75B4FA6A}" name="Column7698"/>
    <tableColumn id="7699" xr3:uid="{7976A9A4-1F26-4C0A-88B1-45BF3D54CAD2}" name="Column7699"/>
    <tableColumn id="7700" xr3:uid="{10F82CB5-3674-4992-A09E-39F3D38895D7}" name="Column7700"/>
    <tableColumn id="7701" xr3:uid="{C4481611-F5C1-4203-B3C7-EB9A63BE3440}" name="Column7701"/>
    <tableColumn id="7702" xr3:uid="{2B018A98-08B4-435C-AAB0-D09AA89F67C5}" name="Column7702"/>
    <tableColumn id="7703" xr3:uid="{52BCAAC9-567D-49BE-8D8C-6CD42F49DBF6}" name="Column7703"/>
    <tableColumn id="7704" xr3:uid="{0151FB0D-433C-4BC7-8E24-EADE4F41510A}" name="Column7704"/>
    <tableColumn id="7705" xr3:uid="{ED5C6568-266C-4A74-B0D4-9B3D9A81009E}" name="Column7705"/>
    <tableColumn id="7706" xr3:uid="{AF210BE1-E5E3-4731-A761-2ABAB4FB78BF}" name="Column7706"/>
    <tableColumn id="7707" xr3:uid="{CE0936E1-5906-454D-9547-74390F95FD42}" name="Column7707"/>
    <tableColumn id="7708" xr3:uid="{A1ADCEBC-A1E2-4197-BFCF-223A63548F8A}" name="Column7708"/>
    <tableColumn id="7709" xr3:uid="{B414AD87-7975-49DC-89ED-DC9BE55C0DFA}" name="Column7709"/>
    <tableColumn id="7710" xr3:uid="{43033D51-EC43-4214-BAAD-B46B26D8104B}" name="Column7710"/>
    <tableColumn id="7711" xr3:uid="{2E62481C-3D22-4B60-88FE-46F6FE422535}" name="Column7711"/>
    <tableColumn id="7712" xr3:uid="{83A9E39F-A15A-4BBB-9AEB-2176760E1784}" name="Column7712"/>
    <tableColumn id="7713" xr3:uid="{B8B34F92-6034-402F-B664-AB1FC0937725}" name="Column7713"/>
    <tableColumn id="7714" xr3:uid="{59F21ABF-6323-44F7-AAF7-A3C5281670DC}" name="Column7714"/>
    <tableColumn id="7715" xr3:uid="{E0BB6F6C-7495-4840-B972-13CD68B51291}" name="Column7715"/>
    <tableColumn id="7716" xr3:uid="{D8F15636-BEC7-4E44-A1E7-EFAF22E1634B}" name="Column7716"/>
    <tableColumn id="7717" xr3:uid="{3819385C-D5F9-4E17-8CB7-90ECC1F628DF}" name="Column7717"/>
    <tableColumn id="7718" xr3:uid="{E8B86DE7-4FEB-4A60-820B-72FAD893F0A5}" name="Column7718"/>
    <tableColumn id="7719" xr3:uid="{2326E290-03CA-49C8-B8F8-CBE2F9492706}" name="Column7719"/>
    <tableColumn id="7720" xr3:uid="{3DE5F094-073F-42D0-B272-793112357AAC}" name="Column7720"/>
    <tableColumn id="7721" xr3:uid="{AB31BB9E-97DD-401B-967C-6CD47171491B}" name="Column7721"/>
    <tableColumn id="7722" xr3:uid="{9F4D9468-0F98-41ED-BA1A-EB394A4E8F64}" name="Column7722"/>
    <tableColumn id="7723" xr3:uid="{9B9BBD4A-6C0D-47CA-A93C-BD169DCEB83C}" name="Column7723"/>
    <tableColumn id="7724" xr3:uid="{EC7AA63A-8589-4611-9E25-6C017566613A}" name="Column7724"/>
    <tableColumn id="7725" xr3:uid="{C051D024-D262-48B1-AB7A-3D1222C4D5D7}" name="Column7725"/>
    <tableColumn id="7726" xr3:uid="{BA01533A-8BF5-4E0D-BB09-53EFBEA70048}" name="Column7726"/>
    <tableColumn id="7727" xr3:uid="{04180DE7-6D2B-4CEA-9A53-A34EAB434C11}" name="Column7727"/>
    <tableColumn id="7728" xr3:uid="{FBF55167-9FFF-4D46-A489-00D941A1CEB1}" name="Column7728"/>
    <tableColumn id="7729" xr3:uid="{6227E9A1-0D1E-4035-961E-C9B44398DFBD}" name="Column7729"/>
    <tableColumn id="7730" xr3:uid="{E9A16E1A-ED69-4A5D-92D0-0E255DF08E2D}" name="Column7730"/>
    <tableColumn id="7731" xr3:uid="{180F635B-CA24-4523-B604-5B3898D1D3CA}" name="Column7731"/>
    <tableColumn id="7732" xr3:uid="{1A1AA664-2761-43EF-828C-68B9B72E3B4F}" name="Column7732"/>
    <tableColumn id="7733" xr3:uid="{7159D978-29A4-4A24-8E85-91DCAD29BA09}" name="Column7733"/>
    <tableColumn id="7734" xr3:uid="{827A74A1-C864-4E29-80C5-55026E071718}" name="Column7734"/>
    <tableColumn id="7735" xr3:uid="{1D454526-1853-41AA-A424-EEF82527AC6A}" name="Column7735"/>
    <tableColumn id="7736" xr3:uid="{94F2636E-637A-4CC2-83D8-0222585802CC}" name="Column7736"/>
    <tableColumn id="7737" xr3:uid="{AC433DF2-D847-42FA-9C1D-C16D76A29000}" name="Column7737"/>
    <tableColumn id="7738" xr3:uid="{85FA0786-9D04-4FD0-9DDC-F0A4C744BD88}" name="Column7738"/>
    <tableColumn id="7739" xr3:uid="{3AFA5CA6-AB34-42DA-BD83-A0B385FBDC59}" name="Column7739"/>
    <tableColumn id="7740" xr3:uid="{C37E46EF-1229-4E5E-857D-741C76633A10}" name="Column7740"/>
    <tableColumn id="7741" xr3:uid="{B53CA8A6-4324-435E-8AE5-EF85CA6A672F}" name="Column7741"/>
    <tableColumn id="7742" xr3:uid="{55D9B6B7-AEAC-44C3-98C7-7CC667CCECD7}" name="Column7742"/>
    <tableColumn id="7743" xr3:uid="{7DB16F02-3346-4B02-982D-E18F94BF463B}" name="Column7743"/>
    <tableColumn id="7744" xr3:uid="{57456E47-DDFC-451E-8A29-2CF562832485}" name="Column7744"/>
    <tableColumn id="7745" xr3:uid="{A28DF756-2A88-4E96-90AC-33686587A3B4}" name="Column7745"/>
    <tableColumn id="7746" xr3:uid="{3A347ED7-F970-44C9-94B4-B67BAF54DBB0}" name="Column7746"/>
    <tableColumn id="7747" xr3:uid="{89278C05-2E96-48DC-8DFE-A4E05310CA58}" name="Column7747"/>
    <tableColumn id="7748" xr3:uid="{EBE5FAC5-5EF5-4AFD-A90A-781678C6F2C0}" name="Column7748"/>
    <tableColumn id="7749" xr3:uid="{AD071BD3-4AAD-408A-B01F-76B27EF4CB86}" name="Column7749"/>
    <tableColumn id="7750" xr3:uid="{482F442A-97AC-4562-A6F6-C728EDFE2D9A}" name="Column7750"/>
    <tableColumn id="7751" xr3:uid="{7D4EE9A2-8327-44CE-BE8B-71C476ACBDCD}" name="Column7751"/>
    <tableColumn id="7752" xr3:uid="{1BB3A122-7E32-42DF-88D7-CC6F8287C573}" name="Column7752"/>
    <tableColumn id="7753" xr3:uid="{E272D044-3B82-4C4C-982B-41F2962CB816}" name="Column7753"/>
    <tableColumn id="7754" xr3:uid="{04119263-99DB-4D27-BBE9-E5991BDBE6F0}" name="Column7754"/>
    <tableColumn id="7755" xr3:uid="{D8EB0683-6FDA-4305-96AB-503087B7AA1B}" name="Column7755"/>
    <tableColumn id="7756" xr3:uid="{B21FDC1C-502B-4AAC-A3F6-DF4F182C014F}" name="Column7756"/>
    <tableColumn id="7757" xr3:uid="{411A0A2C-10F0-40DB-95CA-0FD151ADEB90}" name="Column7757"/>
    <tableColumn id="7758" xr3:uid="{9C55B35E-66EF-4317-BAD4-645BF32438FB}" name="Column7758"/>
    <tableColumn id="7759" xr3:uid="{84A17471-F0B8-43A3-9051-214736F3943D}" name="Column7759"/>
    <tableColumn id="7760" xr3:uid="{E8B9E3E2-2477-4C31-A077-2D7376B3A553}" name="Column7760"/>
    <tableColumn id="7761" xr3:uid="{658F2AD1-98D8-47B3-B0F6-38F462E446B8}" name="Column7761"/>
    <tableColumn id="7762" xr3:uid="{6A7CC351-8690-45C8-B324-142E4284E850}" name="Column7762"/>
    <tableColumn id="7763" xr3:uid="{702F1D7D-BE6D-485A-A77B-8094C4546575}" name="Column7763"/>
    <tableColumn id="7764" xr3:uid="{985CAAD7-B4DE-419A-A313-354C8E7726C1}" name="Column7764"/>
    <tableColumn id="7765" xr3:uid="{0A29546B-5DE7-49F3-9DAA-672DDB76E0E9}" name="Column7765"/>
    <tableColumn id="7766" xr3:uid="{3FCD85C5-1661-4E90-AE06-034DD70DD6EA}" name="Column7766"/>
    <tableColumn id="7767" xr3:uid="{056D9413-0475-4D75-81C5-AC58A4D601E9}" name="Column7767"/>
    <tableColumn id="7768" xr3:uid="{816DDAE6-6AB8-4487-A3CB-B81F10B90BC7}" name="Column7768"/>
    <tableColumn id="7769" xr3:uid="{EDDE2B84-AF72-4A66-B0B2-C9DCC1ABA39C}" name="Column7769"/>
    <tableColumn id="7770" xr3:uid="{4C1FC074-F350-4B16-9AC4-BD2BD9269DF9}" name="Column7770"/>
    <tableColumn id="7771" xr3:uid="{28A87A25-696E-4B46-9CD8-AC54457BA2EB}" name="Column7771"/>
    <tableColumn id="7772" xr3:uid="{4F828D46-3AE1-45E1-965F-A9CD405FF884}" name="Column7772"/>
    <tableColumn id="7773" xr3:uid="{81069DAC-FF0D-41A4-97EA-01D836E38BEF}" name="Column7773"/>
    <tableColumn id="7774" xr3:uid="{D66574EA-ED75-436A-9CFA-DEB6D13410B0}" name="Column7774"/>
    <tableColumn id="7775" xr3:uid="{E20FD14D-F866-4B44-94F0-55E07EB717CF}" name="Column7775"/>
    <tableColumn id="7776" xr3:uid="{B26F6E13-F36E-465B-9889-560A7D422F40}" name="Column7776"/>
    <tableColumn id="7777" xr3:uid="{B1D94072-ED5F-4692-B384-F0FB317E191C}" name="Column7777"/>
    <tableColumn id="7778" xr3:uid="{0F91AFE0-D448-4FCC-907D-462B526A3C29}" name="Column7778"/>
    <tableColumn id="7779" xr3:uid="{662F81F2-3D6C-47E8-A184-5F8785CABC32}" name="Column7779"/>
    <tableColumn id="7780" xr3:uid="{9ED0295C-BEC2-4D1F-B482-27C9FCD98F36}" name="Column7780"/>
    <tableColumn id="7781" xr3:uid="{E40710E7-3A88-4D9E-968D-1E86B751F839}" name="Column7781"/>
    <tableColumn id="7782" xr3:uid="{9FD73D4F-BB57-47B9-B127-BA754C317C8C}" name="Column7782"/>
    <tableColumn id="7783" xr3:uid="{E4A2B32E-58B4-4BA5-A8FF-860B695E6635}" name="Column7783"/>
    <tableColumn id="7784" xr3:uid="{3C94B7FF-88EF-49A4-ABD4-741511140D11}" name="Column7784"/>
    <tableColumn id="7785" xr3:uid="{591DAB96-7D62-4229-AE45-C725FD8B3CAF}" name="Column7785"/>
    <tableColumn id="7786" xr3:uid="{3A7DC162-DA9D-4031-B0F9-719E2DB8F8B9}" name="Column7786"/>
    <tableColumn id="7787" xr3:uid="{E8C5E86E-868C-4146-98A7-76A97E4910B3}" name="Column7787"/>
    <tableColumn id="7788" xr3:uid="{DE9C3C75-0256-42D2-8EE6-DA5D47E4E893}" name="Column7788"/>
    <tableColumn id="7789" xr3:uid="{F014A76A-7CEA-4554-8393-3C532BB4CBF1}" name="Column7789"/>
    <tableColumn id="7790" xr3:uid="{EE6CF361-8B8E-4093-8E27-4A286B99CC51}" name="Column7790"/>
    <tableColumn id="7791" xr3:uid="{3D0610FA-F125-42E3-B4C1-75EEAAD9AB97}" name="Column7791"/>
    <tableColumn id="7792" xr3:uid="{667274E1-26B7-4280-9F39-718914FCCACB}" name="Column7792"/>
    <tableColumn id="7793" xr3:uid="{92684C3F-FB52-4C7E-B7A7-A662BF78D724}" name="Column7793"/>
    <tableColumn id="7794" xr3:uid="{4063D172-45F6-43E0-B0D7-5BE280DCCFF6}" name="Column7794"/>
    <tableColumn id="7795" xr3:uid="{28BBDE2E-7AFA-4206-984E-2E750CEAF895}" name="Column7795"/>
    <tableColumn id="7796" xr3:uid="{83BDD062-FE2E-449F-A283-12FF034ADC12}" name="Column7796"/>
    <tableColumn id="7797" xr3:uid="{FB734E2C-9410-4D79-8EFC-C08252AC4DCE}" name="Column7797"/>
    <tableColumn id="7798" xr3:uid="{47FBF907-AC6C-4A60-8C8B-550FCC02C294}" name="Column7798"/>
    <tableColumn id="7799" xr3:uid="{E7E8AC59-7471-492B-A464-35D08F71C7B7}" name="Column7799"/>
    <tableColumn id="7800" xr3:uid="{1F8C2F97-C0B2-4562-A9C4-3D85AEE002E9}" name="Column7800"/>
    <tableColumn id="7801" xr3:uid="{DBC77DAD-DA5F-4EF2-9195-B48E8BA1968E}" name="Column7801"/>
    <tableColumn id="7802" xr3:uid="{BAADC6D9-DE86-4AD0-B16F-CFBBBF4CF999}" name="Column7802"/>
    <tableColumn id="7803" xr3:uid="{9029B767-AE4A-4845-9BB3-2220E7FC6CC1}" name="Column7803"/>
    <tableColumn id="7804" xr3:uid="{B36DBF84-F621-44EE-8165-947A03DA056A}" name="Column7804"/>
    <tableColumn id="7805" xr3:uid="{C5F118D0-9065-4B01-B35E-30378EB377D7}" name="Column7805"/>
    <tableColumn id="7806" xr3:uid="{440BBD0A-01E1-45B4-8939-A39E5F3C96C0}" name="Column7806"/>
    <tableColumn id="7807" xr3:uid="{201A4F66-5058-4510-8A4D-99E2EA154A35}" name="Column7807"/>
    <tableColumn id="7808" xr3:uid="{EC103A5D-7BE2-4DAF-AB71-32BA1353CB57}" name="Column7808"/>
    <tableColumn id="7809" xr3:uid="{6AFB6930-B6DE-44AF-8199-75E5AAB89653}" name="Column7809"/>
    <tableColumn id="7810" xr3:uid="{A06C5595-C0C7-46A9-AE3A-4EC89AADF5D8}" name="Column7810"/>
    <tableColumn id="7811" xr3:uid="{4A2F09F8-5BF0-4F6D-99EB-2C9ED1DCFD7D}" name="Column7811"/>
    <tableColumn id="7812" xr3:uid="{A44E1D08-6E67-47EA-9E92-811B166A39D7}" name="Column7812"/>
    <tableColumn id="7813" xr3:uid="{055C22C9-9C12-4022-8CFB-77CAEB059B99}" name="Column7813"/>
    <tableColumn id="7814" xr3:uid="{704B0F5C-75AF-4A18-B0BD-E5FD004DADF1}" name="Column7814"/>
    <tableColumn id="7815" xr3:uid="{2AF07264-D7C0-4358-8FE6-622095A77254}" name="Column7815"/>
    <tableColumn id="7816" xr3:uid="{F4FAFBEE-86D1-43F7-95F4-F6894E232431}" name="Column7816"/>
    <tableColumn id="7817" xr3:uid="{F28B7D1F-5E6E-4C29-8354-F1D6A057CA8E}" name="Column7817"/>
    <tableColumn id="7818" xr3:uid="{74286005-45BD-47B8-B27C-07E62DACBD33}" name="Column7818"/>
    <tableColumn id="7819" xr3:uid="{57AA8457-2E14-4A4F-B23E-533F62875EF3}" name="Column7819"/>
    <tableColumn id="7820" xr3:uid="{4579943B-94B6-40B9-8100-3151ACAC98E2}" name="Column7820"/>
    <tableColumn id="7821" xr3:uid="{AA5248A7-2851-4FA9-9827-2FE04E07F202}" name="Column7821"/>
    <tableColumn id="7822" xr3:uid="{9975F892-ACF9-4D1A-AB68-5F7A4B5D2E7D}" name="Column7822"/>
    <tableColumn id="7823" xr3:uid="{1A444420-59BD-4214-B7D7-C0A4E8365E69}" name="Column7823"/>
    <tableColumn id="7824" xr3:uid="{F5D67CF5-7EC9-4107-838D-B729E9890893}" name="Column7824"/>
    <tableColumn id="7825" xr3:uid="{5266787A-5CF7-4A0C-8F82-A14BC1D02D93}" name="Column7825"/>
    <tableColumn id="7826" xr3:uid="{05FE2D73-CA8C-4B39-8B5B-3AFED6684E1D}" name="Column7826"/>
    <tableColumn id="7827" xr3:uid="{69488F32-86F2-4094-AAC9-CE8DE61017F7}" name="Column7827"/>
    <tableColumn id="7828" xr3:uid="{0C29BDBD-83BF-4244-A6C0-CC0D4FCFDDFB}" name="Column7828"/>
    <tableColumn id="7829" xr3:uid="{26B49CF2-CED9-4E65-9084-CA28EE2F5B35}" name="Column7829"/>
    <tableColumn id="7830" xr3:uid="{A1375868-226F-4F1D-B6F2-C174A5CB0A9C}" name="Column7830"/>
    <tableColumn id="7831" xr3:uid="{7C7F8131-C4BC-46C0-B1F9-BBBED44EBC29}" name="Column7831"/>
    <tableColumn id="7832" xr3:uid="{EFAAFF5A-74B8-48F2-9161-832063AC72C8}" name="Column7832"/>
    <tableColumn id="7833" xr3:uid="{87607643-5F17-4D55-AEA0-8643936612E4}" name="Column7833"/>
    <tableColumn id="7834" xr3:uid="{B12BE712-D517-45A7-9C7D-572978F84E58}" name="Column7834"/>
    <tableColumn id="7835" xr3:uid="{624804A1-4BBB-45B5-A5BD-324EB702BCCF}" name="Column7835"/>
    <tableColumn id="7836" xr3:uid="{AA070A93-5F3E-4664-A351-056B32804A43}" name="Column7836"/>
    <tableColumn id="7837" xr3:uid="{2ED7462A-5FAB-4279-861E-0DA82C3BD9F8}" name="Column7837"/>
    <tableColumn id="7838" xr3:uid="{9B3E7D39-01E3-45A3-B78D-C32B2E2A5938}" name="Column7838"/>
    <tableColumn id="7839" xr3:uid="{6DC8CC04-F39A-4A41-BDF5-69D33AFA9FE3}" name="Column7839"/>
    <tableColumn id="7840" xr3:uid="{BB9187DC-2FEE-4F34-A93B-570DA1A501EA}" name="Column7840"/>
    <tableColumn id="7841" xr3:uid="{B9BBC11E-FAF7-4A26-AE32-E89569913F25}" name="Column7841"/>
    <tableColumn id="7842" xr3:uid="{77E611FB-A374-4504-815D-BB9F0D6528F8}" name="Column7842"/>
    <tableColumn id="7843" xr3:uid="{4A006DBA-F36B-4A08-9750-76E3E55E10EA}" name="Column7843"/>
    <tableColumn id="7844" xr3:uid="{9116A347-9B61-4323-8652-AE35945F2E2C}" name="Column7844"/>
    <tableColumn id="7845" xr3:uid="{FAE4E16F-F42E-4E57-8324-0906FBE8C6CF}" name="Column7845"/>
    <tableColumn id="7846" xr3:uid="{70586035-7E3E-4E29-9141-486E8E9DBE86}" name="Column7846"/>
    <tableColumn id="7847" xr3:uid="{213C70D3-1D2A-4EBF-8E4C-DD93944BEB2E}" name="Column7847"/>
    <tableColumn id="7848" xr3:uid="{F0B083F6-D98E-43CE-B2B9-C02FD4BB9582}" name="Column7848"/>
    <tableColumn id="7849" xr3:uid="{80BBCA45-5287-4D76-986A-7A87606BDF0E}" name="Column7849"/>
    <tableColumn id="7850" xr3:uid="{341DF29E-AF6E-474A-A274-E73177D5495A}" name="Column7850"/>
    <tableColumn id="7851" xr3:uid="{9C415C38-BBF4-4AFD-B1D6-1FB9273B894C}" name="Column7851"/>
    <tableColumn id="7852" xr3:uid="{A00DE7A5-79E5-41AF-8828-9076C05CDACA}" name="Column7852"/>
    <tableColumn id="7853" xr3:uid="{9BDE0BDB-6220-430F-8B0C-86F58411C619}" name="Column7853"/>
    <tableColumn id="7854" xr3:uid="{70B6E5CA-DD37-40AF-A249-35F36B2FC1AF}" name="Column7854"/>
    <tableColumn id="7855" xr3:uid="{54450F82-C9E9-4CE7-ADC6-E93FB662895A}" name="Column7855"/>
    <tableColumn id="7856" xr3:uid="{78919DC6-16AD-4D35-B758-897283FBFB4C}" name="Column7856"/>
    <tableColumn id="7857" xr3:uid="{25581F41-90FA-40E6-96FD-6A655CE72BCE}" name="Column7857"/>
    <tableColumn id="7858" xr3:uid="{BE8AC6AF-C605-463A-A3C4-325569F4417C}" name="Column7858"/>
    <tableColumn id="7859" xr3:uid="{EF5F5EAC-6D51-494E-AD79-FC3FA73F0C30}" name="Column7859"/>
    <tableColumn id="7860" xr3:uid="{2A5B29F1-4EE8-4864-BC99-D15B605CAEE3}" name="Column7860"/>
    <tableColumn id="7861" xr3:uid="{F64C5C82-DAD3-4C7C-979B-D2136A1D00EA}" name="Column7861"/>
    <tableColumn id="7862" xr3:uid="{B5129C56-751A-4E58-A538-83752FA0A1B7}" name="Column7862"/>
    <tableColumn id="7863" xr3:uid="{C5A89F17-48F8-4E81-A6A4-F85792F98120}" name="Column7863"/>
    <tableColumn id="7864" xr3:uid="{322009A1-FEE2-45EF-AF31-BA2E32B15BBF}" name="Column7864"/>
    <tableColumn id="7865" xr3:uid="{FFE518D2-6221-43E1-9E5A-72A5ADD2CC73}" name="Column7865"/>
    <tableColumn id="7866" xr3:uid="{F03AE206-CA90-4495-9489-5B03F2630D7E}" name="Column7866"/>
    <tableColumn id="7867" xr3:uid="{6C0CEE1C-D098-451A-8294-99C0170AEAE0}" name="Column7867"/>
    <tableColumn id="7868" xr3:uid="{F27A00AF-F0F6-4905-8348-F79AA8DBF069}" name="Column7868"/>
    <tableColumn id="7869" xr3:uid="{2CA42C5D-EE2F-4B6B-9373-27FAFCE40A92}" name="Column7869"/>
    <tableColumn id="7870" xr3:uid="{E8CC0C34-83A4-4CCB-A29B-48B21D69F5D5}" name="Column7870"/>
    <tableColumn id="7871" xr3:uid="{C0C8F4EE-6C6D-43A4-8932-2916EBD560B8}" name="Column7871"/>
    <tableColumn id="7872" xr3:uid="{FD03BDBD-6784-4FE2-A100-37AD866339F3}" name="Column7872"/>
    <tableColumn id="7873" xr3:uid="{3B9F6EC3-FD88-44CF-A785-4342A3FC7047}" name="Column7873"/>
    <tableColumn id="7874" xr3:uid="{1137DFD2-170B-461E-8C9F-4D6361D4AA8B}" name="Column7874"/>
    <tableColumn id="7875" xr3:uid="{3C153685-1AD8-4B55-AE3F-314C16E208F8}" name="Column7875"/>
    <tableColumn id="7876" xr3:uid="{4452EFEC-1520-419C-8DCD-98ABADA6A305}" name="Column7876"/>
    <tableColumn id="7877" xr3:uid="{1007E0D8-D57F-4E8A-9B6C-02DED8474457}" name="Column7877"/>
    <tableColumn id="7878" xr3:uid="{97D3FC37-2591-4CE3-80F0-69552416D09D}" name="Column7878"/>
    <tableColumn id="7879" xr3:uid="{72EA6358-8884-4BDC-8899-CFE587277444}" name="Column7879"/>
    <tableColumn id="7880" xr3:uid="{05750656-8D47-431C-9993-00A961D97522}" name="Column7880"/>
    <tableColumn id="7881" xr3:uid="{8AF4CE98-65D4-419F-B6F4-410F324C54B9}" name="Column7881"/>
    <tableColumn id="7882" xr3:uid="{883357F1-C02B-437E-8D54-43DA64C8FA55}" name="Column7882"/>
    <tableColumn id="7883" xr3:uid="{AB19AA10-3BCB-4007-BF00-ADD6074933B0}" name="Column7883"/>
    <tableColumn id="7884" xr3:uid="{D1DC85FC-DFCC-4BDB-876F-CE2B73FED28D}" name="Column7884"/>
    <tableColumn id="7885" xr3:uid="{5C62C2EF-F1B5-4E91-8317-6B3E550A8B38}" name="Column7885"/>
    <tableColumn id="7886" xr3:uid="{BFF55884-016B-4994-A0B3-27BBC9E23059}" name="Column7886"/>
    <tableColumn id="7887" xr3:uid="{39DD83C7-707C-4B69-A32D-CDAB3398E7BC}" name="Column7887"/>
    <tableColumn id="7888" xr3:uid="{1BC8FE99-0500-43F7-8F3C-867D64F2368D}" name="Column7888"/>
    <tableColumn id="7889" xr3:uid="{F8C90E86-80F1-4E9D-899E-41CA138B7A75}" name="Column7889"/>
    <tableColumn id="7890" xr3:uid="{47F3CA44-AA5A-4B0D-8C0F-E8900DBFFFF9}" name="Column7890"/>
    <tableColumn id="7891" xr3:uid="{2719F3BD-48D9-4F13-B134-D300F6EE2933}" name="Column7891"/>
    <tableColumn id="7892" xr3:uid="{E22B88AC-FD32-425F-80FF-A25B183CD9F2}" name="Column7892"/>
    <tableColumn id="7893" xr3:uid="{92C4251C-A721-406C-9EA8-4550A53636B9}" name="Column7893"/>
    <tableColumn id="7894" xr3:uid="{67BFDD88-FDAD-4714-856E-CB61D1A4A07E}" name="Column7894"/>
    <tableColumn id="7895" xr3:uid="{9EAB0C43-A300-455F-9C32-F99A0C8D151B}" name="Column7895"/>
    <tableColumn id="7896" xr3:uid="{18B89BBB-47C2-4693-B7B7-D13DC48D9F3E}" name="Column7896"/>
    <tableColumn id="7897" xr3:uid="{7AA28BCD-23D6-4A46-98CE-552FC94E9D86}" name="Column7897"/>
    <tableColumn id="7898" xr3:uid="{7BBE8464-691E-452B-9381-3185E280132C}" name="Column7898"/>
    <tableColumn id="7899" xr3:uid="{9D7E388E-06E5-4723-AC86-7646123E3663}" name="Column7899"/>
    <tableColumn id="7900" xr3:uid="{FBCDBC18-C89B-4423-9A94-0A2B08D2EFAA}" name="Column7900"/>
    <tableColumn id="7901" xr3:uid="{C6B74570-39B2-4063-914C-55799995F84A}" name="Column7901"/>
    <tableColumn id="7902" xr3:uid="{6A26BF8B-2353-4CA8-824A-3811B5348991}" name="Column7902"/>
    <tableColumn id="7903" xr3:uid="{4DA6ECA0-7B4F-48A3-BB92-ADF6D2AD66AA}" name="Column7903"/>
    <tableColumn id="7904" xr3:uid="{0CA80652-F5C7-4203-9462-BD27B1A9DBAE}" name="Column7904"/>
    <tableColumn id="7905" xr3:uid="{7D887E58-C935-455B-8FFA-1CC542450B26}" name="Column7905"/>
    <tableColumn id="7906" xr3:uid="{48CF15DC-D6E1-46AB-837A-A62E138E8279}" name="Column7906"/>
    <tableColumn id="7907" xr3:uid="{23339536-64C7-4329-82DA-2DF7127ED379}" name="Column7907"/>
    <tableColumn id="7908" xr3:uid="{42CBB14E-BD96-40E5-99BB-9D05921745A5}" name="Column7908"/>
    <tableColumn id="7909" xr3:uid="{6EDADD82-161B-4F4D-A177-D30B3C81FAE2}" name="Column7909"/>
    <tableColumn id="7910" xr3:uid="{71DF0362-CA07-4F8F-924D-CA4C3C4527CE}" name="Column7910"/>
    <tableColumn id="7911" xr3:uid="{FC1C84AB-D457-4C6B-8EB0-F9B1C5989167}" name="Column7911"/>
    <tableColumn id="7912" xr3:uid="{C749D60C-B930-4BF4-9665-932AB7196162}" name="Column7912"/>
    <tableColumn id="7913" xr3:uid="{DD29F6A8-21AD-4FA6-82AE-D0F87E270A37}" name="Column7913"/>
    <tableColumn id="7914" xr3:uid="{2D0E010D-FAAD-4665-9769-1B5A8D80AAF7}" name="Column7914"/>
    <tableColumn id="7915" xr3:uid="{EF8FDA3B-3B13-4550-B524-2A28EB53B243}" name="Column7915"/>
    <tableColumn id="7916" xr3:uid="{442F0308-CC5B-49BF-B6AF-6F79E13EC26B}" name="Column7916"/>
    <tableColumn id="7917" xr3:uid="{503A6359-C100-47A0-BA2F-6B5FE26D673B}" name="Column7917"/>
    <tableColumn id="7918" xr3:uid="{FF40EFA5-547E-4D7B-856E-F909AC6F77A9}" name="Column7918"/>
    <tableColumn id="7919" xr3:uid="{E13E6B65-0D36-47C8-ABB4-D038707434F6}" name="Column7919"/>
    <tableColumn id="7920" xr3:uid="{5DD1C641-267A-4043-B150-E7E030F36E65}" name="Column7920"/>
    <tableColumn id="7921" xr3:uid="{71DC8EA9-219A-4166-843D-2884551A15BD}" name="Column7921"/>
    <tableColumn id="7922" xr3:uid="{5DFF93A5-4933-4E53-B990-DEB78EFA45CA}" name="Column7922"/>
    <tableColumn id="7923" xr3:uid="{4A48B0BE-20D3-419A-9FCA-045EE515121D}" name="Column7923"/>
    <tableColumn id="7924" xr3:uid="{7C8905FA-21A3-4D18-9A1C-B69343E398CF}" name="Column7924"/>
    <tableColumn id="7925" xr3:uid="{03E9EC3D-5821-456A-AB82-05F5EFD772E9}" name="Column7925"/>
    <tableColumn id="7926" xr3:uid="{B21D50B6-227E-4879-9FEB-485D866DC1E1}" name="Column7926"/>
    <tableColumn id="7927" xr3:uid="{0537AACE-7E90-4BC1-AA0C-AA9C59A60C0D}" name="Column7927"/>
    <tableColumn id="7928" xr3:uid="{36EC02A8-19FC-4E99-82D3-7BEC74E1262E}" name="Column7928"/>
    <tableColumn id="7929" xr3:uid="{BF6E4688-2DE6-4E5F-AAEE-E2575FE3ABEC}" name="Column7929"/>
    <tableColumn id="7930" xr3:uid="{B360D13E-BF6C-4500-8064-B0D1D392CE3D}" name="Column7930"/>
    <tableColumn id="7931" xr3:uid="{4C0265DC-B048-4AD5-8A19-E60EBE43C9D6}" name="Column7931"/>
    <tableColumn id="7932" xr3:uid="{08671A46-ECDF-4CF8-A335-6FCDDA08D038}" name="Column7932"/>
    <tableColumn id="7933" xr3:uid="{D13F84A0-99D4-4810-9AE0-D94F7BAD46A1}" name="Column7933"/>
    <tableColumn id="7934" xr3:uid="{D143A3EE-BAA5-4503-B811-E2C3CCB59B9B}" name="Column7934"/>
    <tableColumn id="7935" xr3:uid="{F8D02091-CD42-4005-914F-B147598CF598}" name="Column7935"/>
    <tableColumn id="7936" xr3:uid="{C06C282D-EBB1-4B13-B8CF-B24A32F8D87C}" name="Column7936"/>
    <tableColumn id="7937" xr3:uid="{C917AC81-E694-4268-AD2C-E7D09EDF78DE}" name="Column7937"/>
    <tableColumn id="7938" xr3:uid="{9A7F4A64-0281-45D9-B7D6-D0EABA8D0C1D}" name="Column7938"/>
    <tableColumn id="7939" xr3:uid="{ABFBF1A1-E93D-48C5-86D1-452FC947B488}" name="Column7939"/>
    <tableColumn id="7940" xr3:uid="{50A690EE-F80F-4260-A1C0-042999A55BCC}" name="Column7940"/>
    <tableColumn id="7941" xr3:uid="{1EBE61AF-FE71-404C-BA91-941287DF462A}" name="Column7941"/>
    <tableColumn id="7942" xr3:uid="{41EB40F7-8397-4F51-9173-00502448F43E}" name="Column7942"/>
    <tableColumn id="7943" xr3:uid="{3BA14635-B142-4538-9244-72958F6CED47}" name="Column7943"/>
    <tableColumn id="7944" xr3:uid="{96BE6D37-D7CE-4A77-A77E-04C0BE60C257}" name="Column7944"/>
    <tableColumn id="7945" xr3:uid="{2C98001D-1E5B-407C-87B3-AC4E3890AADC}" name="Column7945"/>
    <tableColumn id="7946" xr3:uid="{113F62F4-C3CA-4558-9C39-6784FA43BDE9}" name="Column7946"/>
    <tableColumn id="7947" xr3:uid="{179C779E-E65F-475D-9FC6-82CB2E39204C}" name="Column7947"/>
    <tableColumn id="7948" xr3:uid="{9AA59C84-F831-4CCB-8FE8-C7C53E2D9CC7}" name="Column7948"/>
    <tableColumn id="7949" xr3:uid="{57892215-048F-44C7-9009-F255C4147BF1}" name="Column7949"/>
    <tableColumn id="7950" xr3:uid="{64DBEF99-C268-4776-85A9-7F35D2385530}" name="Column7950"/>
    <tableColumn id="7951" xr3:uid="{7CE04AD7-0DE0-431D-B8E7-8F7AEB3ADDE5}" name="Column7951"/>
    <tableColumn id="7952" xr3:uid="{35C1A423-DDF8-49BA-B1D4-72FDD706C313}" name="Column7952"/>
    <tableColumn id="7953" xr3:uid="{261EFC74-DD7C-4E83-A366-02838ED72B33}" name="Column7953"/>
    <tableColumn id="7954" xr3:uid="{6DC946F1-195A-49FB-AF5D-64FD3B56CB80}" name="Column7954"/>
    <tableColumn id="7955" xr3:uid="{DE22DC93-BEF6-4BB0-8876-4DFC3A19054B}" name="Column7955"/>
    <tableColumn id="7956" xr3:uid="{A28DE90A-C32B-4DA0-A7CD-FC789C4777D4}" name="Column7956"/>
    <tableColumn id="7957" xr3:uid="{03A65FE2-8573-45C3-BDB5-D4272B87367F}" name="Column7957"/>
    <tableColumn id="7958" xr3:uid="{7730E5D0-9755-443B-822F-10011198AA62}" name="Column7958"/>
    <tableColumn id="7959" xr3:uid="{3780DA9E-75C7-4C06-8A4A-467721683817}" name="Column7959"/>
    <tableColumn id="7960" xr3:uid="{0F8747A2-6383-4676-A8E9-7E792B1CB95D}" name="Column7960"/>
    <tableColumn id="7961" xr3:uid="{0726AA11-4F6E-498A-8F91-CFD555D58964}" name="Column7961"/>
    <tableColumn id="7962" xr3:uid="{A7528135-FB57-44E3-8402-60A6F033E585}" name="Column7962"/>
    <tableColumn id="7963" xr3:uid="{5799992F-2BC2-41F2-AEB2-77691FE146C3}" name="Column7963"/>
    <tableColumn id="7964" xr3:uid="{CA12721A-C4EE-4FD6-BBCD-EEAC52540A8D}" name="Column7964"/>
    <tableColumn id="7965" xr3:uid="{B5BE02A0-7A73-4548-A70B-A400EBC4AD15}" name="Column7965"/>
    <tableColumn id="7966" xr3:uid="{26EAEC00-BB69-4812-859F-D45B226803E8}" name="Column7966"/>
    <tableColumn id="7967" xr3:uid="{2337D519-3BED-461A-B7B4-E251C0390181}" name="Column7967"/>
    <tableColumn id="7968" xr3:uid="{99B6F778-1550-4F21-A9A2-9E521E614C1C}" name="Column7968"/>
    <tableColumn id="7969" xr3:uid="{240EA3D7-F416-45CF-AF5C-60DAECF21FCE}" name="Column7969"/>
    <tableColumn id="7970" xr3:uid="{13232A5F-2394-457D-9816-0D04CB77CB59}" name="Column7970"/>
    <tableColumn id="7971" xr3:uid="{35CC7EB6-110A-4469-A849-43F04338CE70}" name="Column7971"/>
    <tableColumn id="7972" xr3:uid="{4CD91E6B-34E2-4651-B4BB-14740D4561BB}" name="Column7972"/>
    <tableColumn id="7973" xr3:uid="{333DF2A6-3B5F-4F0B-B486-4792E7EFE40C}" name="Column7973"/>
    <tableColumn id="7974" xr3:uid="{B5D47DE1-E759-440B-A8E2-4F0CE43019F7}" name="Column7974"/>
    <tableColumn id="7975" xr3:uid="{420C0708-A5A4-42E1-AF23-AF74927D14F0}" name="Column7975"/>
    <tableColumn id="7976" xr3:uid="{8DB1C761-E2DD-4BD3-A8E3-B44AFC811FF1}" name="Column7976"/>
    <tableColumn id="7977" xr3:uid="{722B3E24-D559-4A9E-B07A-7E0E3E18C3BE}" name="Column7977"/>
    <tableColumn id="7978" xr3:uid="{E248138E-0A5C-4150-8C0B-B53F1D209C03}" name="Column7978"/>
    <tableColumn id="7979" xr3:uid="{1C2D8758-0931-4F82-A3DA-CEE958FE0A5B}" name="Column7979"/>
    <tableColumn id="7980" xr3:uid="{85F235AC-5AD6-47A9-B6AC-10D0AB9F5265}" name="Column7980"/>
    <tableColumn id="7981" xr3:uid="{1998EA2F-4AFE-4E89-9A59-9C1E84CED47D}" name="Column7981"/>
    <tableColumn id="7982" xr3:uid="{4629C958-1D4B-42B0-9DE7-7F40B1488E6C}" name="Column7982"/>
    <tableColumn id="7983" xr3:uid="{627248A7-C6D4-44DD-9F7F-857358C1B244}" name="Column7983"/>
    <tableColumn id="7984" xr3:uid="{2F84661E-5466-46EC-B3EA-0E3EACC312FB}" name="Column7984"/>
    <tableColumn id="7985" xr3:uid="{E162CE1E-539E-4587-8616-5B898D0FB07D}" name="Column7985"/>
    <tableColumn id="7986" xr3:uid="{D36DCBD6-46F2-4095-9BA4-315798A3FBDD}" name="Column7986"/>
    <tableColumn id="7987" xr3:uid="{79C7DC13-14AF-4CCF-954E-D376319CC8B9}" name="Column7987"/>
    <tableColumn id="7988" xr3:uid="{013C1E41-CFD2-4793-9EB6-39031E2DBD69}" name="Column7988"/>
    <tableColumn id="7989" xr3:uid="{58E50A00-152B-4997-9EA7-77A969AB8319}" name="Column7989"/>
    <tableColumn id="7990" xr3:uid="{6942D50D-0BB6-4FEB-B9EE-316584556D84}" name="Column7990"/>
    <tableColumn id="7991" xr3:uid="{3B300AF2-0BA0-4CD3-82BD-6570D730E8E1}" name="Column7991"/>
    <tableColumn id="7992" xr3:uid="{6A63B882-521E-43F3-9251-B30C43C3A64F}" name="Column7992"/>
    <tableColumn id="7993" xr3:uid="{D55850F8-A5E8-4176-8BE0-25B2CBA602E8}" name="Column7993"/>
    <tableColumn id="7994" xr3:uid="{151EDBED-C690-45C3-8C8E-029DDEB895A5}" name="Column7994"/>
    <tableColumn id="7995" xr3:uid="{9C8890A7-4B78-4173-BDA4-28E89C10CDA0}" name="Column7995"/>
    <tableColumn id="7996" xr3:uid="{850774D9-EA32-485E-A41E-A5DC652BB3AC}" name="Column7996"/>
    <tableColumn id="7997" xr3:uid="{40AC5B4D-835B-4830-BF08-C79D22524C82}" name="Column7997"/>
    <tableColumn id="7998" xr3:uid="{887B7DEB-ADD0-4520-86AD-762AD1DAE7C3}" name="Column7998"/>
    <tableColumn id="7999" xr3:uid="{847993F9-14F6-418F-9AE4-9B2961BD97F4}" name="Column7999"/>
    <tableColumn id="8000" xr3:uid="{44D3EC4C-1FFD-4A7D-BF0D-A1D920831A31}" name="Column8000"/>
    <tableColumn id="8001" xr3:uid="{27BA86E2-D3AF-4F20-9445-5BFB49A75D9D}" name="Column8001"/>
    <tableColumn id="8002" xr3:uid="{1A8789B6-0FFC-42DF-8B5A-32F6685642F3}" name="Column8002"/>
    <tableColumn id="8003" xr3:uid="{19D0A6E6-A698-4EF5-9A5F-221204307D3B}" name="Column8003"/>
    <tableColumn id="8004" xr3:uid="{946724FB-55D6-49E4-A532-19FBC8D126E7}" name="Column8004"/>
    <tableColumn id="8005" xr3:uid="{8D635A2C-4914-40C0-A0F8-74B4FCFF9B77}" name="Column8005"/>
    <tableColumn id="8006" xr3:uid="{47863FF9-6872-4F72-ABD8-D21E9FFEBC24}" name="Column8006"/>
    <tableColumn id="8007" xr3:uid="{EC7731EF-4A1B-404B-BFB7-9781D7233154}" name="Column8007"/>
    <tableColumn id="8008" xr3:uid="{96F611E0-B568-4168-B7DE-D6F98258DB0E}" name="Column8008"/>
    <tableColumn id="8009" xr3:uid="{DE5E2E18-ACCE-4F8F-93FC-9BCE54CC18D7}" name="Column8009"/>
    <tableColumn id="8010" xr3:uid="{ED12335F-5A0F-4ADA-A1E6-6A12EF410A9A}" name="Column8010"/>
    <tableColumn id="8011" xr3:uid="{BF0E7F23-13B4-4A4F-A8CE-B222B2A0193C}" name="Column8011"/>
    <tableColumn id="8012" xr3:uid="{96277205-02D8-4018-96B6-E41F36E10ED7}" name="Column8012"/>
    <tableColumn id="8013" xr3:uid="{046DE010-1A9C-4CAB-BB4D-E49EC3E29820}" name="Column8013"/>
    <tableColumn id="8014" xr3:uid="{66501F8C-A11F-490F-BC8C-EF417BCC7590}" name="Column8014"/>
    <tableColumn id="8015" xr3:uid="{7ABC5289-9091-452B-BB32-E80E30EA01CB}" name="Column8015"/>
    <tableColumn id="8016" xr3:uid="{F4B32BD5-FAE4-45B7-855E-F0C19D124D97}" name="Column8016"/>
    <tableColumn id="8017" xr3:uid="{1E0CBA79-217D-451B-9946-7A2D81592756}" name="Column8017"/>
    <tableColumn id="8018" xr3:uid="{03496535-595A-4204-8287-36D636BA2F5F}" name="Column8018"/>
    <tableColumn id="8019" xr3:uid="{6FDEB74A-8E41-476B-954E-9C6E272E550F}" name="Column8019"/>
    <tableColumn id="8020" xr3:uid="{F9E35A1B-EFD3-4F8D-81AA-6EDE0F47F40C}" name="Column8020"/>
    <tableColumn id="8021" xr3:uid="{5DABDAA0-B26C-41A8-A470-E38FA447FC56}" name="Column8021"/>
    <tableColumn id="8022" xr3:uid="{96CEF2C0-E7AA-437D-A09A-A2E6B01E8A3D}" name="Column8022"/>
    <tableColumn id="8023" xr3:uid="{7737FB7E-C183-4A7E-B5C8-1E8FD32032D9}" name="Column8023"/>
    <tableColumn id="8024" xr3:uid="{508A8A6D-C368-4700-95C0-F4BA39600B0B}" name="Column8024"/>
    <tableColumn id="8025" xr3:uid="{EDB6BF69-6527-491E-8C34-B06D68510F3C}" name="Column8025"/>
    <tableColumn id="8026" xr3:uid="{28F50ACB-6128-4F5D-9C2F-6AFE9521DE44}" name="Column8026"/>
    <tableColumn id="8027" xr3:uid="{E91A9FBF-D072-4D0F-A027-62F74F4FFBBC}" name="Column8027"/>
    <tableColumn id="8028" xr3:uid="{FB52502A-C878-46BF-93D5-FE72B0A22C73}" name="Column8028"/>
    <tableColumn id="8029" xr3:uid="{AB3DE2AF-0411-46D5-ADD2-93C3FE0F38CD}" name="Column8029"/>
    <tableColumn id="8030" xr3:uid="{2B1BF3AB-10DB-4E58-B593-363FB461487D}" name="Column8030"/>
    <tableColumn id="8031" xr3:uid="{623F28B6-256B-4F5D-A671-872178CB85B9}" name="Column8031"/>
    <tableColumn id="8032" xr3:uid="{FCA6CBF9-17EA-49F1-8F74-D48A0285E03D}" name="Column8032"/>
    <tableColumn id="8033" xr3:uid="{558C5D19-7A29-4D4A-A864-DEC089894915}" name="Column8033"/>
    <tableColumn id="8034" xr3:uid="{93AFEF18-1AC0-4886-B28A-9ADDFB53A7DB}" name="Column8034"/>
    <tableColumn id="8035" xr3:uid="{92A7602F-A588-469D-B24A-59839AF3DC51}" name="Column8035"/>
    <tableColumn id="8036" xr3:uid="{E34899DF-0CED-4F3F-B990-AC1B5BBA6E7B}" name="Column8036"/>
    <tableColumn id="8037" xr3:uid="{8F1878C6-5C27-4BC7-BF26-C06218A7C55E}" name="Column8037"/>
    <tableColumn id="8038" xr3:uid="{E27FCB30-580C-4C0B-B1C3-F1C26FC7260D}" name="Column8038"/>
    <tableColumn id="8039" xr3:uid="{3F3BA594-BBCE-4E81-8184-E55A0FC34066}" name="Column8039"/>
    <tableColumn id="8040" xr3:uid="{7FB45B61-FA6D-4D6B-A95B-C33D39657E32}" name="Column8040"/>
    <tableColumn id="8041" xr3:uid="{782C1323-18E1-4479-B0D2-35D0B1EA389F}" name="Column8041"/>
    <tableColumn id="8042" xr3:uid="{BB5092F9-0852-4CCB-B5CB-8925D08449FC}" name="Column8042"/>
    <tableColumn id="8043" xr3:uid="{97338569-55BF-4F2D-AFF1-FA7B0064C22F}" name="Column8043"/>
    <tableColumn id="8044" xr3:uid="{EBA8C80F-F75F-444C-AAF2-2223086CB630}" name="Column8044"/>
    <tableColumn id="8045" xr3:uid="{94FB2CD8-4446-42C7-825A-0BA20AABFC73}" name="Column8045"/>
    <tableColumn id="8046" xr3:uid="{D1770093-DFDA-4F2E-8D35-25D453BE26ED}" name="Column8046"/>
    <tableColumn id="8047" xr3:uid="{E43DAC24-0CDD-47F8-B2CF-EB40382D042D}" name="Column8047"/>
    <tableColumn id="8048" xr3:uid="{56A390AB-574D-4BB6-AE2C-A65043F7491D}" name="Column8048"/>
    <tableColumn id="8049" xr3:uid="{BCC9C311-3FB9-4B43-B218-DE26F3068399}" name="Column8049"/>
    <tableColumn id="8050" xr3:uid="{DE3FFA8F-F07F-4B94-A425-14C1F4F6443F}" name="Column8050"/>
    <tableColumn id="8051" xr3:uid="{F0CED76F-A380-4BC1-96A1-51C6C5C21ECA}" name="Column8051"/>
    <tableColumn id="8052" xr3:uid="{A7D26271-F90F-420B-92C5-4A527969BE04}" name="Column8052"/>
    <tableColumn id="8053" xr3:uid="{7A67C93B-717D-416A-BB39-CABDD21B225F}" name="Column8053"/>
    <tableColumn id="8054" xr3:uid="{CF34FE1D-89AD-40A2-B779-580E163D2DC1}" name="Column8054"/>
    <tableColumn id="8055" xr3:uid="{9D615EAE-03C1-4569-AB24-EA3589010031}" name="Column8055"/>
    <tableColumn id="8056" xr3:uid="{22DAE9DE-FB0C-498D-82EA-C79D0C95031B}" name="Column8056"/>
    <tableColumn id="8057" xr3:uid="{CEE603EC-CFB0-4D2E-B448-DBF99DE62B1B}" name="Column8057"/>
    <tableColumn id="8058" xr3:uid="{289267B8-BCEC-4D11-B11E-A7FC923A50D0}" name="Column8058"/>
    <tableColumn id="8059" xr3:uid="{251A9FD3-7C43-46EB-8F12-237C0927F59E}" name="Column8059"/>
    <tableColumn id="8060" xr3:uid="{6C551A1A-A6AF-4DCA-95E6-4A9751C4893F}" name="Column8060"/>
    <tableColumn id="8061" xr3:uid="{DBFD91DA-43F0-4F1A-9DE4-8D218EDC3E90}" name="Column8061"/>
    <tableColumn id="8062" xr3:uid="{4AAED631-30F3-431E-AC4F-23B822FB9A8E}" name="Column8062"/>
    <tableColumn id="8063" xr3:uid="{6900C8A0-C0E6-4F55-B64F-1DD8C5F4C62C}" name="Column8063"/>
    <tableColumn id="8064" xr3:uid="{EF2E5CCC-E70C-4580-84F4-D8D7F2AFCC0F}" name="Column8064"/>
    <tableColumn id="8065" xr3:uid="{B47A7EEF-29ED-43F5-ADAE-DE85A96112C5}" name="Column8065"/>
    <tableColumn id="8066" xr3:uid="{2D1C8CBF-45F5-42A6-9233-B587A1BE9700}" name="Column8066"/>
    <tableColumn id="8067" xr3:uid="{B546595C-2024-45E1-824E-720AB30DA97E}" name="Column8067"/>
    <tableColumn id="8068" xr3:uid="{B96A586B-BAFA-4796-81F2-5C8D32048952}" name="Column8068"/>
    <tableColumn id="8069" xr3:uid="{5BF5E48C-0D3A-4E24-A9EC-B24363759A68}" name="Column8069"/>
    <tableColumn id="8070" xr3:uid="{77900D5B-8A4E-4AEF-AD0F-B20BE04D9CFF}" name="Column8070"/>
    <tableColumn id="8071" xr3:uid="{69717843-7411-48B7-8EB8-41451AA52446}" name="Column8071"/>
    <tableColumn id="8072" xr3:uid="{A6E49581-BEA9-4F79-A26B-CA118E8C814E}" name="Column8072"/>
    <tableColumn id="8073" xr3:uid="{9FE61108-DBD0-4AEA-AEF8-F191C4BBEA9C}" name="Column8073"/>
    <tableColumn id="8074" xr3:uid="{D50E232A-32A2-4155-AFA5-C4D5CB1FA5AD}" name="Column8074"/>
    <tableColumn id="8075" xr3:uid="{2945A12D-08B7-4E09-84A5-184028AFEDBF}" name="Column8075"/>
    <tableColumn id="8076" xr3:uid="{93D73501-BBD7-4C4D-998D-CB3B3BFF3969}" name="Column8076"/>
    <tableColumn id="8077" xr3:uid="{3A38A90A-7C9D-42B7-A737-7A8747CD3224}" name="Column8077"/>
    <tableColumn id="8078" xr3:uid="{F9E36648-535C-424F-84FC-213D304BF026}" name="Column8078"/>
    <tableColumn id="8079" xr3:uid="{F181E44C-0B0B-470D-BB25-E0A55BCD494A}" name="Column8079"/>
    <tableColumn id="8080" xr3:uid="{F97B1C04-65DC-42A0-B9F9-AE176778434B}" name="Column8080"/>
    <tableColumn id="8081" xr3:uid="{818FF425-C0BC-401C-A91C-F5937E130113}" name="Column8081"/>
    <tableColumn id="8082" xr3:uid="{74FA29FB-8389-40D3-B272-B94B7FB5C04F}" name="Column8082"/>
    <tableColumn id="8083" xr3:uid="{7662F430-F025-46DA-BEB7-8B13F6D22F29}" name="Column8083"/>
    <tableColumn id="8084" xr3:uid="{9ACA1606-BDC0-4C45-9337-5DC972D5812D}" name="Column8084"/>
    <tableColumn id="8085" xr3:uid="{F04A490D-2147-4899-B66A-E3F009E57190}" name="Column8085"/>
    <tableColumn id="8086" xr3:uid="{633B71CA-886A-4A40-BC04-335C215201B0}" name="Column8086"/>
    <tableColumn id="8087" xr3:uid="{B873B020-1A68-4BCA-8C44-053D2B05155C}" name="Column8087"/>
    <tableColumn id="8088" xr3:uid="{E06F0606-7C00-4810-B270-4A317ECF6A0E}" name="Column8088"/>
    <tableColumn id="8089" xr3:uid="{E9DE8FB7-004B-47DF-B005-D5EB71F469AC}" name="Column8089"/>
    <tableColumn id="8090" xr3:uid="{429FDED6-9F43-49CB-8A60-D27CE7917B7B}" name="Column8090"/>
    <tableColumn id="8091" xr3:uid="{4E6652D6-1A5F-47A0-B850-057351886D9B}" name="Column8091"/>
    <tableColumn id="8092" xr3:uid="{AC2582C2-AEDC-48E2-AA27-BFC1AF14186C}" name="Column8092"/>
    <tableColumn id="8093" xr3:uid="{36D3B57A-CD33-4FCD-8CA3-A6472368512A}" name="Column8093"/>
    <tableColumn id="8094" xr3:uid="{851DC90D-5282-4466-BBB1-0871478C76A8}" name="Column8094"/>
    <tableColumn id="8095" xr3:uid="{F2B3AFAA-BD00-45DD-9CB1-55390CB67AB3}" name="Column8095"/>
    <tableColumn id="8096" xr3:uid="{A34C1B56-3BA9-4E85-9B74-E0196806FC8B}" name="Column8096"/>
    <tableColumn id="8097" xr3:uid="{7BF31567-9D94-49E1-9745-8991048C2539}" name="Column8097"/>
    <tableColumn id="8098" xr3:uid="{B1FBE2C9-1959-4848-844B-152AA3F50A54}" name="Column8098"/>
    <tableColumn id="8099" xr3:uid="{D6DBEDBC-7BF1-4C7F-8F74-EFFFEA5185FB}" name="Column8099"/>
    <tableColumn id="8100" xr3:uid="{A094FBCB-155E-4A28-A3AB-2860951E938B}" name="Column8100"/>
    <tableColumn id="8101" xr3:uid="{CC97EEC5-9109-4D4B-9DC7-46BE2C61BD74}" name="Column8101"/>
    <tableColumn id="8102" xr3:uid="{741A1083-4B6E-4E2C-87AD-AA308C6D6DFB}" name="Column8102"/>
    <tableColumn id="8103" xr3:uid="{4AAB3320-D4AB-427C-9DED-E68E1E3D0BF2}" name="Column8103"/>
    <tableColumn id="8104" xr3:uid="{73609CF0-0051-4D59-8B1C-015E731F5254}" name="Column8104"/>
    <tableColumn id="8105" xr3:uid="{E23ED0CD-DD94-46BA-8A2B-9BBBB4CE892F}" name="Column8105"/>
    <tableColumn id="8106" xr3:uid="{78711196-87B2-49A2-9F4D-7DF903031EE7}" name="Column8106"/>
    <tableColumn id="8107" xr3:uid="{B0A64BD9-2889-4A3B-AC5F-E0D19E7A7C76}" name="Column8107"/>
    <tableColumn id="8108" xr3:uid="{52CA483B-2D23-4C82-BEEE-55A2520692E9}" name="Column8108"/>
    <tableColumn id="8109" xr3:uid="{B0AC0B32-4AD5-49EE-83A5-89C4F82F8866}" name="Column8109"/>
    <tableColumn id="8110" xr3:uid="{980A135C-1A52-440D-BF3B-966ACFE9C1C2}" name="Column8110"/>
    <tableColumn id="8111" xr3:uid="{8CEA0851-CA1A-4753-9379-C6401A1EE2AD}" name="Column8111"/>
    <tableColumn id="8112" xr3:uid="{6DFB0577-7CD4-4E8F-A58E-F770328FB947}" name="Column8112"/>
    <tableColumn id="8113" xr3:uid="{73251037-8E2F-4E87-8C94-F575803E6445}" name="Column8113"/>
    <tableColumn id="8114" xr3:uid="{E76CDD07-DC40-48AB-83C8-11BFF8591DC8}" name="Column8114"/>
    <tableColumn id="8115" xr3:uid="{43A2FE2E-2F60-44A7-A91D-2A2BC5975AC4}" name="Column8115"/>
    <tableColumn id="8116" xr3:uid="{65DF1B41-A436-40A3-B627-7389818C44CD}" name="Column8116"/>
    <tableColumn id="8117" xr3:uid="{23B90C12-FCED-40C4-A861-0DD169974A4B}" name="Column8117"/>
    <tableColumn id="8118" xr3:uid="{9A5AEDBA-C7A1-49E5-9C05-9820C6C23018}" name="Column8118"/>
    <tableColumn id="8119" xr3:uid="{869BD959-F76A-4D81-AA7B-42ED625017C4}" name="Column8119"/>
    <tableColumn id="8120" xr3:uid="{67F633B6-B2CF-4230-A635-04607C1BBCFD}" name="Column8120"/>
    <tableColumn id="8121" xr3:uid="{995E73B7-2B55-483D-847B-CA1C7FA40172}" name="Column8121"/>
    <tableColumn id="8122" xr3:uid="{E973B919-F2B0-483F-9501-F58412932596}" name="Column8122"/>
    <tableColumn id="8123" xr3:uid="{DFCC0B62-D147-477A-85EC-87A5EAB13CFD}" name="Column8123"/>
    <tableColumn id="8124" xr3:uid="{B5AEF1D0-E9D1-4E8E-A398-3159F1D7D1F5}" name="Column8124"/>
    <tableColumn id="8125" xr3:uid="{45180FB5-E535-449A-82A1-82495D429845}" name="Column8125"/>
    <tableColumn id="8126" xr3:uid="{801FF1E7-5A3B-4961-93FC-ED21F04FFDAA}" name="Column8126"/>
    <tableColumn id="8127" xr3:uid="{F4DBBC1B-2A3E-40EF-9C0C-825EC26E7F32}" name="Column8127"/>
    <tableColumn id="8128" xr3:uid="{1F71DF8C-A9E6-4947-9510-5736AF118A8B}" name="Column8128"/>
    <tableColumn id="8129" xr3:uid="{B98443D2-8767-4E10-B682-2E187FA80B43}" name="Column8129"/>
    <tableColumn id="8130" xr3:uid="{FA1B3E84-D12D-4384-8FD3-3D24703D848F}" name="Column8130"/>
    <tableColumn id="8131" xr3:uid="{202A729C-E3E2-4AD0-8D1F-CD2CFD605902}" name="Column8131"/>
    <tableColumn id="8132" xr3:uid="{551238F8-5A3C-45BE-B2B6-AD703845DF2B}" name="Column8132"/>
    <tableColumn id="8133" xr3:uid="{76F66E45-7E9C-4209-8536-C21EBB4623D4}" name="Column8133"/>
    <tableColumn id="8134" xr3:uid="{F22C051C-3D30-4190-88AD-265AEED709C2}" name="Column8134"/>
    <tableColumn id="8135" xr3:uid="{D7790987-6BC6-46EB-A850-FAEC3D149BAB}" name="Column8135"/>
    <tableColumn id="8136" xr3:uid="{2D8B77B6-F918-4CB3-BCEC-8531E764D3D8}" name="Column8136"/>
    <tableColumn id="8137" xr3:uid="{0C7E6A75-F274-4FDD-81D3-E2CFC23219FD}" name="Column8137"/>
    <tableColumn id="8138" xr3:uid="{F1E6BFEB-DE2A-45BC-B749-EB0DFF8D8481}" name="Column8138"/>
    <tableColumn id="8139" xr3:uid="{0266314F-FC35-40F2-B007-261CAFC5856D}" name="Column8139"/>
    <tableColumn id="8140" xr3:uid="{33D6F0B5-AF58-4B70-B656-736074B0CB61}" name="Column8140"/>
    <tableColumn id="8141" xr3:uid="{89BDDD79-911F-4962-89B1-4C42152E5582}" name="Column8141"/>
    <tableColumn id="8142" xr3:uid="{20D05379-EDDF-446E-BD9A-18CC7607EE8A}" name="Column8142"/>
    <tableColumn id="8143" xr3:uid="{B17897AC-9861-4EE7-8370-DD591C8EF199}" name="Column8143"/>
    <tableColumn id="8144" xr3:uid="{679DD074-B1E5-4C28-8B40-9158DE890B46}" name="Column8144"/>
    <tableColumn id="8145" xr3:uid="{921C4659-7289-45AB-A25A-927B636FFBCA}" name="Column8145"/>
    <tableColumn id="8146" xr3:uid="{20CC8722-F2F9-41D9-854A-0CD0ED5D1D9F}" name="Column8146"/>
    <tableColumn id="8147" xr3:uid="{8EFE928A-4E28-409D-8F96-06D3A6834C5D}" name="Column8147"/>
    <tableColumn id="8148" xr3:uid="{7A74F787-9537-40E8-A70D-CA072BF13595}" name="Column8148"/>
    <tableColumn id="8149" xr3:uid="{FAC931D4-4DBC-41F1-BBE4-547D8AD7E83B}" name="Column8149"/>
    <tableColumn id="8150" xr3:uid="{B52DECB7-D2FE-41E3-A842-44093D3B4035}" name="Column8150"/>
    <tableColumn id="8151" xr3:uid="{D4783233-2282-4D52-A32D-8D7B00C798EF}" name="Column8151"/>
    <tableColumn id="8152" xr3:uid="{BF8D7619-099E-497C-A7DA-651E1CBA3F4F}" name="Column8152"/>
    <tableColumn id="8153" xr3:uid="{870EDEE1-CA3F-4FDC-A067-75B0650FDFF6}" name="Column8153"/>
    <tableColumn id="8154" xr3:uid="{FB7DFDF0-D673-4C34-B0AF-81F6CDB84BEC}" name="Column8154"/>
    <tableColumn id="8155" xr3:uid="{76A3F99F-B467-4072-9DA4-C1D17C4D4023}" name="Column8155"/>
    <tableColumn id="8156" xr3:uid="{0F2EC3DC-03CE-4CA5-90E5-92CFACAC7067}" name="Column8156"/>
    <tableColumn id="8157" xr3:uid="{7F88E32C-B515-4435-811F-61128930BFF7}" name="Column8157"/>
    <tableColumn id="8158" xr3:uid="{08B5BEB0-9E72-4617-8EDD-172536FDE1B7}" name="Column8158"/>
    <tableColumn id="8159" xr3:uid="{5FDE12C6-45FA-4269-A123-E03A58879D20}" name="Column8159"/>
    <tableColumn id="8160" xr3:uid="{4352BEEA-545C-43E2-B086-3D3D4323B685}" name="Column8160"/>
    <tableColumn id="8161" xr3:uid="{6A824C4A-51D9-40AD-AEE3-018931D4C0C6}" name="Column8161"/>
    <tableColumn id="8162" xr3:uid="{E8355EEF-F460-405F-A4BD-3045C94588AE}" name="Column8162"/>
    <tableColumn id="8163" xr3:uid="{0AF3036B-288B-4A7F-8E6F-02F5E4819763}" name="Column8163"/>
    <tableColumn id="8164" xr3:uid="{9738DEE6-5209-47E3-A795-B1F449610DFD}" name="Column8164"/>
    <tableColumn id="8165" xr3:uid="{070C1E83-D03D-423D-9E40-ED1E02977E94}" name="Column8165"/>
    <tableColumn id="8166" xr3:uid="{1CA0AF9C-2EF8-4C9B-9C00-E5C68AA077F3}" name="Column8166"/>
    <tableColumn id="8167" xr3:uid="{12CA9F3C-1D54-4F7D-9AB2-58E0EDF4917D}" name="Column8167"/>
    <tableColumn id="8168" xr3:uid="{508F7704-EB8D-464A-BF36-8894EFF6A575}" name="Column8168"/>
    <tableColumn id="8169" xr3:uid="{3BAD768F-A229-4263-9FDC-978A2F6AB33E}" name="Column8169"/>
    <tableColumn id="8170" xr3:uid="{0E648883-021B-46C4-B8AD-C701FB097459}" name="Column8170"/>
    <tableColumn id="8171" xr3:uid="{460C3D00-6C11-45AA-AD77-78500F546DA8}" name="Column8171"/>
    <tableColumn id="8172" xr3:uid="{E4B260A3-6B1B-4873-A9EB-0F42DFEE73C8}" name="Column8172"/>
    <tableColumn id="8173" xr3:uid="{F67014F3-64C3-4E09-92A2-1A4B7A7F3F8F}" name="Column8173"/>
    <tableColumn id="8174" xr3:uid="{A748C0DE-1E4C-4F99-AFFB-6C79CB6B9060}" name="Column8174"/>
    <tableColumn id="8175" xr3:uid="{60DE57C3-2636-40DB-9D98-E054F127C2FE}" name="Column8175"/>
    <tableColumn id="8176" xr3:uid="{C95A9959-20FD-40B9-A8CD-F5657CAF01C2}" name="Column8176"/>
    <tableColumn id="8177" xr3:uid="{5DE57A03-1CAB-45A1-80F9-8B057A29338B}" name="Column8177"/>
    <tableColumn id="8178" xr3:uid="{3E59793F-DF96-4B62-9407-D2352FC5229A}" name="Column8178"/>
    <tableColumn id="8179" xr3:uid="{16160D64-2C4E-41B7-BA9D-31ED2573A092}" name="Column8179"/>
    <tableColumn id="8180" xr3:uid="{96A725C3-8F87-4C5A-95B0-BFCC470FABCA}" name="Column8180"/>
    <tableColumn id="8181" xr3:uid="{668BC168-0241-4F81-A6A6-89A3FE5F56C3}" name="Column8181"/>
    <tableColumn id="8182" xr3:uid="{85798918-32D1-411E-957C-09E16345B44D}" name="Column8182"/>
    <tableColumn id="8183" xr3:uid="{8A845A17-EEB4-4E74-A6A1-A76AD64205B1}" name="Column8183"/>
    <tableColumn id="8184" xr3:uid="{FED3F132-A02B-4FF9-8E91-6693BA94A492}" name="Column8184"/>
    <tableColumn id="8185" xr3:uid="{318DF4D4-A289-435B-91F7-ECAE8D2E94FE}" name="Column8185"/>
    <tableColumn id="8186" xr3:uid="{56099B64-E2C6-4189-ACE8-4AB3FE3C90D0}" name="Column8186"/>
    <tableColumn id="8187" xr3:uid="{43C8A4CF-C8C2-4F42-9320-49758015BEA2}" name="Column8187"/>
    <tableColumn id="8188" xr3:uid="{84236912-B2A2-4762-8EF6-EC2D3B8F97F2}" name="Column8188"/>
    <tableColumn id="8189" xr3:uid="{6FA6D2FD-2F48-49CB-B769-E3F5DAE6D8BB}" name="Column8189"/>
    <tableColumn id="8190" xr3:uid="{E5F1B17E-9C8A-4540-B81F-B3233E9C5AF3}" name="Column8190"/>
    <tableColumn id="8191" xr3:uid="{2B9870A2-1F1D-48ED-A49F-9AB096E4C1AE}" name="Column8191"/>
    <tableColumn id="8192" xr3:uid="{CAEAFA7D-A60A-4464-A15E-697075247FF2}" name="Column8192"/>
    <tableColumn id="8193" xr3:uid="{3B6E04D1-032B-43FE-B42C-C1EA8EC2AD2F}" name="Column8193"/>
    <tableColumn id="8194" xr3:uid="{B9C1B983-9897-4067-BCD1-A8F09DC2FA26}" name="Column8194"/>
    <tableColumn id="8195" xr3:uid="{EADF6820-83C8-4DA8-8A99-0175DC982551}" name="Column8195"/>
    <tableColumn id="8196" xr3:uid="{F59C675C-845D-4E62-B03E-CE1B135C2DA4}" name="Column8196"/>
    <tableColumn id="8197" xr3:uid="{77A9D9E6-6B06-4D67-AEC3-6C8D5C4522FB}" name="Column8197"/>
    <tableColumn id="8198" xr3:uid="{A988DC56-AD12-45D2-B6D0-E4E4DD6580F6}" name="Column8198"/>
    <tableColumn id="8199" xr3:uid="{7781C52A-1509-40B4-B4D5-76CF05F1D06D}" name="Column8199"/>
    <tableColumn id="8200" xr3:uid="{5C210080-BCF8-44FC-8FD7-5ABBEEE49376}" name="Column8200"/>
    <tableColumn id="8201" xr3:uid="{A908ADC5-D8F8-463F-BCCC-E33DA172C24E}" name="Column8201"/>
    <tableColumn id="8202" xr3:uid="{D8D15014-3C6F-4F16-84C5-37F7EA2EA3B0}" name="Column8202"/>
    <tableColumn id="8203" xr3:uid="{75DF7721-65C7-49E7-8133-AED2BBDAB436}" name="Column8203"/>
    <tableColumn id="8204" xr3:uid="{954D1E71-696F-44D3-A588-B6A83FB87E85}" name="Column8204"/>
    <tableColumn id="8205" xr3:uid="{8D492D30-8D70-4D8A-9D0D-FF39392DD766}" name="Column8205"/>
    <tableColumn id="8206" xr3:uid="{61370E28-9BD3-4A88-9E23-7B189431689B}" name="Column8206"/>
    <tableColumn id="8207" xr3:uid="{2B55838B-8B42-4918-A80E-BC52AA66EB90}" name="Column8207"/>
    <tableColumn id="8208" xr3:uid="{7FD07A5E-D1AC-4D1F-8F37-6076DC56EBEF}" name="Column8208"/>
    <tableColumn id="8209" xr3:uid="{93DE04DC-A6C4-48C0-ABA5-72F2BE90301E}" name="Column8209"/>
    <tableColumn id="8210" xr3:uid="{8B8B2B1B-058F-4E26-85FE-FB407FB23C79}" name="Column8210"/>
    <tableColumn id="8211" xr3:uid="{212160FF-A0C3-41FB-953A-57CD2898D6EB}" name="Column8211"/>
    <tableColumn id="8212" xr3:uid="{9C3E7FDC-7B4F-402C-BE73-A68FE55C39C2}" name="Column8212"/>
    <tableColumn id="8213" xr3:uid="{6C6B09FB-736F-461D-8875-A35C98ACD6DA}" name="Column8213"/>
    <tableColumn id="8214" xr3:uid="{093A127A-0742-4F50-A01E-17CCB7505D01}" name="Column8214"/>
    <tableColumn id="8215" xr3:uid="{E4D9C585-F059-4654-8E08-7214C369C103}" name="Column8215"/>
    <tableColumn id="8216" xr3:uid="{4F5FEE9D-D5E0-448E-87C9-4B229F56F8B7}" name="Column8216"/>
    <tableColumn id="8217" xr3:uid="{FE84E364-B8CA-47B3-9104-A36059DB0529}" name="Column8217"/>
    <tableColumn id="8218" xr3:uid="{59DB7885-84D7-4C20-9981-514BFA486D7A}" name="Column8218"/>
    <tableColumn id="8219" xr3:uid="{F308FAC4-C12E-41EB-94C1-B41522EE83FF}" name="Column8219"/>
    <tableColumn id="8220" xr3:uid="{EC6A48BE-1241-42A0-A5A0-E8632E83600D}" name="Column8220"/>
    <tableColumn id="8221" xr3:uid="{BB9DF7C3-B562-46E9-BC9A-FE806EF4F1FA}" name="Column8221"/>
    <tableColumn id="8222" xr3:uid="{32FC6567-0C0A-4615-B6B5-8387BA35A6F9}" name="Column8222"/>
    <tableColumn id="8223" xr3:uid="{CCC62B68-8D6D-423A-813A-837688E233BD}" name="Column8223"/>
    <tableColumn id="8224" xr3:uid="{E016B145-E769-4D8D-9FAD-CE12DC8727CB}" name="Column8224"/>
    <tableColumn id="8225" xr3:uid="{0D3DCC6E-0201-4EF8-AFCD-75505B95EF30}" name="Column8225"/>
    <tableColumn id="8226" xr3:uid="{B1387CFC-5418-4C2B-B1F2-5EC045A9C477}" name="Column8226"/>
    <tableColumn id="8227" xr3:uid="{76F59DF8-5734-4C0F-B9A8-D95E8F2824F0}" name="Column8227"/>
    <tableColumn id="8228" xr3:uid="{C3AAFC22-0EAC-49FC-B449-F7AB0378B8A1}" name="Column8228"/>
    <tableColumn id="8229" xr3:uid="{5C90535B-B9AE-48A0-9B2E-F3481CBDAE03}" name="Column8229"/>
    <tableColumn id="8230" xr3:uid="{486401D7-2487-4ECC-AB88-F85E6D72C756}" name="Column8230"/>
    <tableColumn id="8231" xr3:uid="{5BDBE12C-C90B-48CC-B3FB-D22599096C55}" name="Column8231"/>
    <tableColumn id="8232" xr3:uid="{B44CB20A-45B7-4755-BBC0-4A37BE8D7880}" name="Column8232"/>
    <tableColumn id="8233" xr3:uid="{48367E49-6736-4E42-A29C-1CC0D8DC7C0C}" name="Column8233"/>
    <tableColumn id="8234" xr3:uid="{9B5F675A-CB46-4870-ACC8-F066CC2629AA}" name="Column8234"/>
    <tableColumn id="8235" xr3:uid="{268D34AE-A804-4400-A69A-4105F498FFD2}" name="Column8235"/>
    <tableColumn id="8236" xr3:uid="{47D711FC-9443-4395-8FD6-303C167B319E}" name="Column8236"/>
    <tableColumn id="8237" xr3:uid="{F1F6479A-2CE7-4E43-9EC0-591B2C72762F}" name="Column8237"/>
    <tableColumn id="8238" xr3:uid="{378D0033-CC6A-4BEF-93A7-FFBEFF4BE3DD}" name="Column8238"/>
    <tableColumn id="8239" xr3:uid="{268E9BA1-212C-4C11-AC73-7BCA475B8A16}" name="Column8239"/>
    <tableColumn id="8240" xr3:uid="{0682DA6A-8D11-494F-9BE9-BCB7051BED5C}" name="Column8240"/>
    <tableColumn id="8241" xr3:uid="{6ED65830-D364-41CC-B530-3FA9F2B0BD0C}" name="Column8241"/>
    <tableColumn id="8242" xr3:uid="{644562A1-097E-4C16-8AAB-B8789A2E3F07}" name="Column8242"/>
    <tableColumn id="8243" xr3:uid="{A829137C-DAA7-4A1D-BA64-EBFFA6BB4B41}" name="Column8243"/>
    <tableColumn id="8244" xr3:uid="{3D7F5C7D-3CA6-4A2A-ABBD-3A4EEF3F9FE5}" name="Column8244"/>
    <tableColumn id="8245" xr3:uid="{BF97B87F-AA1E-40F8-A780-3C3B004BBC79}" name="Column8245"/>
    <tableColumn id="8246" xr3:uid="{803AE497-FFA1-4FD1-A8A5-682BEADD1659}" name="Column8246"/>
    <tableColumn id="8247" xr3:uid="{3D61D83B-97D4-4893-B746-87C691377B14}" name="Column8247"/>
    <tableColumn id="8248" xr3:uid="{D56693D8-F95C-47B1-9BC6-78A0D81B1AF4}" name="Column8248"/>
    <tableColumn id="8249" xr3:uid="{CC99DEA4-0FEA-411E-B059-A0A13E62561D}" name="Column8249"/>
    <tableColumn id="8250" xr3:uid="{92F2C365-EF7E-4D9D-91A5-8ED76F55ECCC}" name="Column8250"/>
    <tableColumn id="8251" xr3:uid="{BAD18B9B-8D45-4CA6-A771-33C9C6BA7184}" name="Column8251"/>
    <tableColumn id="8252" xr3:uid="{0762E441-6D59-497B-9A3D-76221BB845B7}" name="Column8252"/>
    <tableColumn id="8253" xr3:uid="{A003D3E2-0C30-4996-9C71-BE14982E5D6C}" name="Column8253"/>
    <tableColumn id="8254" xr3:uid="{C309CBA3-78D6-4765-ABE5-ACA49CC26FA4}" name="Column8254"/>
    <tableColumn id="8255" xr3:uid="{572D6DE8-42F1-4C3B-B896-5230E5152167}" name="Column8255"/>
    <tableColumn id="8256" xr3:uid="{60DDEB1F-9A51-43F8-8500-BEC56A92E571}" name="Column8256"/>
    <tableColumn id="8257" xr3:uid="{DCEEDBE0-73D2-4615-B702-33E3743BCCBF}" name="Column8257"/>
    <tableColumn id="8258" xr3:uid="{D1041B6C-F730-4055-8B84-A56F615A833F}" name="Column8258"/>
    <tableColumn id="8259" xr3:uid="{58D10EA9-DA22-46A0-9B46-C42646412C7E}" name="Column8259"/>
    <tableColumn id="8260" xr3:uid="{4E76A996-6326-45D8-A25E-F30FF81E8616}" name="Column8260"/>
    <tableColumn id="8261" xr3:uid="{D24BCBE9-82EB-4CDD-945D-B9A4F9BEFBBC}" name="Column8261"/>
    <tableColumn id="8262" xr3:uid="{11799B72-3E53-4D46-BD81-32FE0B84812F}" name="Column8262"/>
    <tableColumn id="8263" xr3:uid="{413F5365-887A-41F2-9645-8E4C61869B14}" name="Column8263"/>
    <tableColumn id="8264" xr3:uid="{FA310EB2-5EF9-4CEF-AECB-06C2D170A3B5}" name="Column8264"/>
    <tableColumn id="8265" xr3:uid="{496E91A1-FB4B-4D98-8C68-DC2D786CE6BE}" name="Column8265"/>
    <tableColumn id="8266" xr3:uid="{7E888BC9-6AF6-4B65-B17E-27E863DFE0D2}" name="Column8266"/>
    <tableColumn id="8267" xr3:uid="{1AC3A594-6048-41C4-9A5C-AC614B05DB35}" name="Column8267"/>
    <tableColumn id="8268" xr3:uid="{110FF5CD-9A0C-466E-9825-B2485FFDC8E1}" name="Column8268"/>
    <tableColumn id="8269" xr3:uid="{7590243D-3FFB-4BFD-8C0B-8B519B20223F}" name="Column8269"/>
    <tableColumn id="8270" xr3:uid="{620C9002-6CFC-42FB-9994-6DB8D34B4A56}" name="Column8270"/>
    <tableColumn id="8271" xr3:uid="{B0E66EB7-465D-42C6-A456-852764E4A227}" name="Column8271"/>
    <tableColumn id="8272" xr3:uid="{064588EB-CBE1-41D2-9FC0-DE78F514B9E7}" name="Column8272"/>
    <tableColumn id="8273" xr3:uid="{053061F9-47A0-481D-BB9E-E5CE14E1EBD8}" name="Column8273"/>
    <tableColumn id="8274" xr3:uid="{50613356-6503-4E93-9C30-F321BF9B1114}" name="Column8274"/>
    <tableColumn id="8275" xr3:uid="{FFF0E508-7FA9-4B8E-9A40-59779B57BA22}" name="Column8275"/>
    <tableColumn id="8276" xr3:uid="{51018BB9-863A-4BE0-B026-77463976742D}" name="Column8276"/>
    <tableColumn id="8277" xr3:uid="{C6EE6BAA-7B2A-44EB-9A58-669885B3D73D}" name="Column8277"/>
    <tableColumn id="8278" xr3:uid="{721C9549-CEBB-43D1-A86D-1A0766774409}" name="Column8278"/>
    <tableColumn id="8279" xr3:uid="{0EFCA0D2-1EFC-4421-B4DF-EAF5FA73821A}" name="Column8279"/>
    <tableColumn id="8280" xr3:uid="{7AA410C0-C3F4-45EF-B5D0-FC25A2EC9B6F}" name="Column8280"/>
    <tableColumn id="8281" xr3:uid="{EB3A7109-FBF8-4371-9CD0-FBF022B3ADEB}" name="Column8281"/>
    <tableColumn id="8282" xr3:uid="{7A267C6F-1FBD-467B-816B-A23B6636C8CC}" name="Column8282"/>
    <tableColumn id="8283" xr3:uid="{9E539088-589C-4E80-B1CA-605F5CB78205}" name="Column8283"/>
    <tableColumn id="8284" xr3:uid="{926C6A04-A7F2-4A51-A625-29306766487A}" name="Column8284"/>
    <tableColumn id="8285" xr3:uid="{8035F1DC-5676-4C91-ADB3-6D93125D8241}" name="Column8285"/>
    <tableColumn id="8286" xr3:uid="{C0916B82-DC1A-4497-8200-DEAACB7BDE70}" name="Column8286"/>
    <tableColumn id="8287" xr3:uid="{307B3930-D181-4905-8027-F622A853613E}" name="Column8287"/>
    <tableColumn id="8288" xr3:uid="{2BFE8A25-2B5D-4EFC-91DE-FD45D74146D2}" name="Column8288"/>
    <tableColumn id="8289" xr3:uid="{4744076F-428E-45A3-891D-6298BD24A508}" name="Column8289"/>
    <tableColumn id="8290" xr3:uid="{EBEDDE6B-008E-49AE-B7E7-1A84E10D9A52}" name="Column8290"/>
    <tableColumn id="8291" xr3:uid="{5B5B5ABE-F1A9-4E87-BDFC-921ACF87B1FF}" name="Column8291"/>
    <tableColumn id="8292" xr3:uid="{AB5FEDF0-156A-4A60-9266-3DAC944316D6}" name="Column8292"/>
    <tableColumn id="8293" xr3:uid="{039E420A-7CB9-4CCF-BB22-D803FB5FF0FD}" name="Column8293"/>
    <tableColumn id="8294" xr3:uid="{707BD8AD-F055-4D4B-B549-C75F97455257}" name="Column8294"/>
    <tableColumn id="8295" xr3:uid="{402565EC-19F6-433D-8C69-014FE0A81D19}" name="Column8295"/>
    <tableColumn id="8296" xr3:uid="{BFB9FD6B-FB4F-4AAA-AB99-FF10DC19B955}" name="Column8296"/>
    <tableColumn id="8297" xr3:uid="{A9142C58-5E67-4384-9A11-ECEB720ECF4B}" name="Column8297"/>
    <tableColumn id="8298" xr3:uid="{531DC8F4-2276-420E-A260-2E02C5190782}" name="Column8298"/>
    <tableColumn id="8299" xr3:uid="{1C455B56-7774-48B4-8412-6BC1C0169D5E}" name="Column8299"/>
    <tableColumn id="8300" xr3:uid="{A30FC057-380D-42B5-B42C-DF70658AE770}" name="Column8300"/>
    <tableColumn id="8301" xr3:uid="{9FC74FDA-1C4A-45ED-A55B-1AA0133DB959}" name="Column8301"/>
    <tableColumn id="8302" xr3:uid="{A01BBC59-1213-4019-81EA-12F52DB1D8E5}" name="Column8302"/>
    <tableColumn id="8303" xr3:uid="{564F78EE-ADFA-4BAE-BFF8-6AF5B7EDEDDC}" name="Column8303"/>
    <tableColumn id="8304" xr3:uid="{B650C8EF-974D-47B2-966E-BBCA408E283A}" name="Column8304"/>
    <tableColumn id="8305" xr3:uid="{CE7CE0F4-EA7B-469B-B2E8-2A23246D257B}" name="Column8305"/>
    <tableColumn id="8306" xr3:uid="{08E7F064-AD9C-4D44-A194-4BDBC577F54D}" name="Column8306"/>
    <tableColumn id="8307" xr3:uid="{E71B910D-8B9F-4608-BCA5-FA947F41AA87}" name="Column8307"/>
    <tableColumn id="8308" xr3:uid="{A259666F-261A-41A1-B4D3-0D463AE8453C}" name="Column8308"/>
    <tableColumn id="8309" xr3:uid="{ED7D3037-D3D6-43F6-9D70-0DACEBA41CB6}" name="Column8309"/>
    <tableColumn id="8310" xr3:uid="{A5E2E278-8A10-4B7C-9B30-BAAFC591C750}" name="Column8310"/>
    <tableColumn id="8311" xr3:uid="{B888BBED-87C4-49FF-907F-4A7DFF9CF2FA}" name="Column8311"/>
    <tableColumn id="8312" xr3:uid="{22715665-E6A6-4537-8E3A-CE790F2B92A7}" name="Column8312"/>
    <tableColumn id="8313" xr3:uid="{AEDE000F-A4A5-4D0A-A2BD-B9707DA542DB}" name="Column8313"/>
    <tableColumn id="8314" xr3:uid="{A75F78DB-B8BE-4B8D-9F5C-88EAA6148A5F}" name="Column8314"/>
    <tableColumn id="8315" xr3:uid="{7DAE8B1C-29D9-420D-B872-B6172A50C97C}" name="Column8315"/>
    <tableColumn id="8316" xr3:uid="{1AC21FE8-3184-41D8-B140-9C3F40E635A5}" name="Column8316"/>
    <tableColumn id="8317" xr3:uid="{FF004738-25B4-4931-8E87-7D076EB9E130}" name="Column8317"/>
    <tableColumn id="8318" xr3:uid="{234018C7-73E7-4782-A4F8-99405CDCFC8D}" name="Column8318"/>
    <tableColumn id="8319" xr3:uid="{7B0FE07E-09F4-43E8-A507-DDFECC6EB9DE}" name="Column8319"/>
    <tableColumn id="8320" xr3:uid="{B006B5D1-33E1-47B9-9899-46C71E486EEC}" name="Column8320"/>
    <tableColumn id="8321" xr3:uid="{E4C8FFF7-66FC-4204-AE38-F99BF8D0D2F9}" name="Column8321"/>
    <tableColumn id="8322" xr3:uid="{50DDC034-8FA0-4191-BF78-8507E8073228}" name="Column8322"/>
    <tableColumn id="8323" xr3:uid="{A2EFAD19-188C-489E-A700-EFACF1DC8EE4}" name="Column8323"/>
    <tableColumn id="8324" xr3:uid="{56353299-50D4-4D87-B32B-38DEB4BB5319}" name="Column8324"/>
    <tableColumn id="8325" xr3:uid="{7B59DDB2-1416-4693-B954-994C592DC2AC}" name="Column8325"/>
    <tableColumn id="8326" xr3:uid="{270744C9-11A5-42D2-8D55-8711EA041C13}" name="Column8326"/>
    <tableColumn id="8327" xr3:uid="{5ADFC797-D6D4-4EE2-9429-64A307C373E7}" name="Column8327"/>
    <tableColumn id="8328" xr3:uid="{A482BB44-B10F-4418-8F34-DBE94A000BBC}" name="Column8328"/>
    <tableColumn id="8329" xr3:uid="{CB3EF44D-D888-491D-B218-71E4C389CE54}" name="Column8329"/>
    <tableColumn id="8330" xr3:uid="{769D6258-1953-4FE1-BFAE-0F6DAA56AA99}" name="Column8330"/>
    <tableColumn id="8331" xr3:uid="{F5E607CD-495B-4CE9-977D-F33ADD35E4AB}" name="Column8331"/>
    <tableColumn id="8332" xr3:uid="{1A336A47-5D43-4985-B516-4184624FB734}" name="Column8332"/>
    <tableColumn id="8333" xr3:uid="{8C1F7E14-9C3E-4DCF-9D8C-3A8BB7F3DD5D}" name="Column8333"/>
    <tableColumn id="8334" xr3:uid="{76E945B2-340D-4A48-9E79-3595F6D0DE56}" name="Column8334"/>
    <tableColumn id="8335" xr3:uid="{84F59C62-2445-4EF5-ACBA-6675BA2F611D}" name="Column8335"/>
    <tableColumn id="8336" xr3:uid="{74864356-07AA-410F-AEA4-4FD0638328E1}" name="Column8336"/>
    <tableColumn id="8337" xr3:uid="{0EC411F9-5BBD-498B-937A-A2FE2C04AF32}" name="Column8337"/>
    <tableColumn id="8338" xr3:uid="{EEE2C9DF-8068-4C97-B359-5B570C8135FF}" name="Column8338"/>
    <tableColumn id="8339" xr3:uid="{BE4FA4B1-C8E2-4151-AB08-52C30E2C2E31}" name="Column8339"/>
    <tableColumn id="8340" xr3:uid="{7CCDB29C-F917-4970-A06D-1B9489C4B27E}" name="Column8340"/>
    <tableColumn id="8341" xr3:uid="{05907476-7F97-436B-A582-6BA8FCA4D066}" name="Column8341"/>
    <tableColumn id="8342" xr3:uid="{A86C328B-A8CE-4AC2-8D13-B1FCDF151226}" name="Column8342"/>
    <tableColumn id="8343" xr3:uid="{F71FEBF3-EBA2-4C4E-A18A-B18703924E33}" name="Column8343"/>
    <tableColumn id="8344" xr3:uid="{A81E26B7-1BEE-4C84-89A9-3F3E08D9446B}" name="Column8344"/>
    <tableColumn id="8345" xr3:uid="{8667E004-3314-4277-8EBA-FFB1B79196DA}" name="Column8345"/>
    <tableColumn id="8346" xr3:uid="{A1A5BE9A-48F6-4D62-BF64-F52D1C106103}" name="Column8346"/>
    <tableColumn id="8347" xr3:uid="{3B00922A-F70B-4ABD-BCF6-F555AE2600E6}" name="Column8347"/>
    <tableColumn id="8348" xr3:uid="{C85D1879-592D-4976-BE68-FDCC867FDB33}" name="Column8348"/>
    <tableColumn id="8349" xr3:uid="{CB3DA157-B33A-459F-B9E2-2D3D526B229E}" name="Column8349"/>
    <tableColumn id="8350" xr3:uid="{46C4873C-B870-479B-BEFC-44B37E201FBE}" name="Column8350"/>
    <tableColumn id="8351" xr3:uid="{4ABFD922-5152-4E8D-9A9F-4384D4BDFE71}" name="Column8351"/>
    <tableColumn id="8352" xr3:uid="{35893A6C-8854-471E-8F89-D14B2D529E8B}" name="Column8352"/>
    <tableColumn id="8353" xr3:uid="{9C1AF159-3E5D-488B-9DBB-0F26E0E94BDE}" name="Column8353"/>
    <tableColumn id="8354" xr3:uid="{4F910248-7BD0-4249-879F-F99AC9383053}" name="Column8354"/>
    <tableColumn id="8355" xr3:uid="{3BE6F9F5-EC6B-4F2A-A2F2-A25F9D4357EB}" name="Column8355"/>
    <tableColumn id="8356" xr3:uid="{51258400-40CC-49E7-A9F6-BCDE87782751}" name="Column8356"/>
    <tableColumn id="8357" xr3:uid="{6F5D05EE-F90B-401C-8E1D-095AAD52B8D4}" name="Column8357"/>
    <tableColumn id="8358" xr3:uid="{18E2FD20-440B-45A1-8663-9916AA808CE5}" name="Column8358"/>
    <tableColumn id="8359" xr3:uid="{4C87E332-4286-4C1D-8BE6-B2D8C34982A6}" name="Column8359"/>
    <tableColumn id="8360" xr3:uid="{3252A644-03B1-413C-BF6E-AA88CD6730ED}" name="Column8360"/>
    <tableColumn id="8361" xr3:uid="{FC330A2B-9B91-4821-B9AF-CE3566D9F4E0}" name="Column8361"/>
    <tableColumn id="8362" xr3:uid="{EF533F52-AA13-4E62-ACED-316C5AF7CC8F}" name="Column8362"/>
    <tableColumn id="8363" xr3:uid="{05BB1248-7B3F-432D-BB16-7A07688D1171}" name="Column8363"/>
    <tableColumn id="8364" xr3:uid="{06100D66-CF2C-4BE2-8BFB-C3599374D2A9}" name="Column8364"/>
    <tableColumn id="8365" xr3:uid="{5207D88B-6E51-4417-B478-69D6102EE9A7}" name="Column8365"/>
    <tableColumn id="8366" xr3:uid="{EE31E325-9E94-48D7-B133-7C0168CD4D51}" name="Column8366"/>
    <tableColumn id="8367" xr3:uid="{907F1451-DD21-46F9-86BA-62E4B96B8F5F}" name="Column8367"/>
    <tableColumn id="8368" xr3:uid="{123963EB-C513-4720-9CD3-392FFD23B35C}" name="Column8368"/>
    <tableColumn id="8369" xr3:uid="{9379E97E-BBA5-4A5C-B1A3-9E3F0371BA6C}" name="Column8369"/>
    <tableColumn id="8370" xr3:uid="{66391F01-4911-423F-AEDF-6506B5CF0EF6}" name="Column8370"/>
    <tableColumn id="8371" xr3:uid="{3A846073-7C98-4ABB-8023-147978D12774}" name="Column8371"/>
    <tableColumn id="8372" xr3:uid="{4207823E-703E-4D71-9591-A7C3021A53F7}" name="Column8372"/>
    <tableColumn id="8373" xr3:uid="{6F420EA4-BC67-4272-B3C5-4D987BF0A921}" name="Column8373"/>
    <tableColumn id="8374" xr3:uid="{645091C9-82B0-4DE0-8F4F-FB141366F32A}" name="Column8374"/>
    <tableColumn id="8375" xr3:uid="{3BD9341C-B1C3-44D4-9FE7-2BB60107E7CE}" name="Column8375"/>
    <tableColumn id="8376" xr3:uid="{EDA674FA-7204-44F6-BB2E-A05BE8688003}" name="Column8376"/>
    <tableColumn id="8377" xr3:uid="{3A46A5B0-BE79-4F01-B0CF-2DA5D712F226}" name="Column8377"/>
    <tableColumn id="8378" xr3:uid="{69D3D4D8-B69C-4568-A42A-0648DBE12DCB}" name="Column8378"/>
    <tableColumn id="8379" xr3:uid="{94883506-EC60-4BAC-AAA4-0C63376C65F2}" name="Column8379"/>
    <tableColumn id="8380" xr3:uid="{BBF75EEF-704D-423D-97F2-12EC2F8E9DA1}" name="Column8380"/>
    <tableColumn id="8381" xr3:uid="{250FB76D-51A6-4D38-96B3-2B120653AB0F}" name="Column8381"/>
    <tableColumn id="8382" xr3:uid="{C10D0E22-F1F7-4592-AA5B-F3124B885FA6}" name="Column8382"/>
    <tableColumn id="8383" xr3:uid="{096D690E-F2D4-427B-8B04-9BF94AFF0CA0}" name="Column8383"/>
    <tableColumn id="8384" xr3:uid="{BF81CDF7-B385-4540-ACC1-2BDE8FBE1716}" name="Column8384"/>
    <tableColumn id="8385" xr3:uid="{EBCF26A1-0B18-4990-8187-FC5D69C7E597}" name="Column8385"/>
    <tableColumn id="8386" xr3:uid="{1C25ED78-57FD-44BF-BC07-A62E609971C6}" name="Column8386"/>
    <tableColumn id="8387" xr3:uid="{6FEF56DA-9821-4C7E-9EDF-C2A3B2F5C24B}" name="Column8387"/>
    <tableColumn id="8388" xr3:uid="{2BB190AF-36A2-4655-95FF-A65D33298259}" name="Column8388"/>
    <tableColumn id="8389" xr3:uid="{62283A42-B31F-42E3-A12F-D3D6823AA736}" name="Column8389"/>
    <tableColumn id="8390" xr3:uid="{BAC61C63-64C8-4989-8AED-8BB78649E93B}" name="Column8390"/>
    <tableColumn id="8391" xr3:uid="{6B81F2FB-F9AC-4FF5-92BB-CC3E8161D6D6}" name="Column8391"/>
    <tableColumn id="8392" xr3:uid="{DE9D53AA-182A-4E61-A8FA-1D28E0754423}" name="Column8392"/>
    <tableColumn id="8393" xr3:uid="{75250A76-498E-421C-BF0A-798D669203A3}" name="Column8393"/>
    <tableColumn id="8394" xr3:uid="{3C48ED32-ADA2-4B02-9955-6EB400AF0D98}" name="Column8394"/>
    <tableColumn id="8395" xr3:uid="{4B824FAB-E95C-4AEE-9F32-DB9F2C6B11F8}" name="Column8395"/>
    <tableColumn id="8396" xr3:uid="{61C564D1-5145-4559-9720-BFDBEC0C0DE8}" name="Column8396"/>
    <tableColumn id="8397" xr3:uid="{B6BAA573-DEBC-46E9-B3F9-4AB2D63BF476}" name="Column8397"/>
    <tableColumn id="8398" xr3:uid="{5A570035-D176-47EF-9F48-108FF3607019}" name="Column8398"/>
    <tableColumn id="8399" xr3:uid="{D246ED4A-FF8B-480D-A293-CB9E1F4557DC}" name="Column8399"/>
    <tableColumn id="8400" xr3:uid="{FC53AC89-B306-477A-8D95-DBE9EBCC9F0D}" name="Column8400"/>
    <tableColumn id="8401" xr3:uid="{994BAF79-09F9-4FAD-8F43-F3186586B877}" name="Column8401"/>
    <tableColumn id="8402" xr3:uid="{E32769E4-4014-4FA9-8705-9F50E53B02BB}" name="Column8402"/>
    <tableColumn id="8403" xr3:uid="{0EF51303-0E66-4D50-AFAD-A32E2B15A34E}" name="Column8403"/>
    <tableColumn id="8404" xr3:uid="{7EF9FED0-DECA-46C8-9B89-0C0964FFCADA}" name="Column8404"/>
    <tableColumn id="8405" xr3:uid="{C31C0AFB-952D-46E7-8B4D-BD80A138092A}" name="Column8405"/>
    <tableColumn id="8406" xr3:uid="{B1C0E9E5-ECAD-4B97-83DF-FB25C615963A}" name="Column8406"/>
    <tableColumn id="8407" xr3:uid="{A8BE1B85-EA5C-4E23-A6B2-760B4EEECF56}" name="Column8407"/>
    <tableColumn id="8408" xr3:uid="{7F419420-9FC4-42F6-B021-22567BBEEE47}" name="Column8408"/>
    <tableColumn id="8409" xr3:uid="{6829B726-CF32-446F-8409-20A56530B5A8}" name="Column8409"/>
    <tableColumn id="8410" xr3:uid="{79C673D3-DFDA-41E2-8333-73B411FCBABA}" name="Column8410"/>
    <tableColumn id="8411" xr3:uid="{4ECA3CEC-C76D-4DE8-B9A7-0A4010BC116C}" name="Column8411"/>
    <tableColumn id="8412" xr3:uid="{3B088F88-9040-4214-96C0-21E9A1DCAA93}" name="Column8412"/>
    <tableColumn id="8413" xr3:uid="{A26F69E8-56CD-4876-9E59-3566AE2A62E1}" name="Column8413"/>
    <tableColumn id="8414" xr3:uid="{480013D9-2DE0-4F3A-B0D2-9F5DEB7DDCDF}" name="Column8414"/>
    <tableColumn id="8415" xr3:uid="{37B5FF3B-C6EC-40DE-BBA8-D4736AC4480C}" name="Column8415"/>
    <tableColumn id="8416" xr3:uid="{49612573-4C71-4E65-8003-1DC14516F597}" name="Column8416"/>
    <tableColumn id="8417" xr3:uid="{74CCCE95-EE25-4E31-9E73-E2C90BE5B3CE}" name="Column8417"/>
    <tableColumn id="8418" xr3:uid="{101C64F0-C572-4517-99C7-9ABE4012CAE2}" name="Column8418"/>
    <tableColumn id="8419" xr3:uid="{BAE3710B-7A17-4AF9-A2E8-F7525FD3D483}" name="Column8419"/>
    <tableColumn id="8420" xr3:uid="{BAD57B0B-57B3-4926-AD54-FE87F40DC83F}" name="Column8420"/>
    <tableColumn id="8421" xr3:uid="{384045C8-F8E8-4E7C-9C7D-E4C210895E4D}" name="Column8421"/>
    <tableColumn id="8422" xr3:uid="{7678CE2D-7ACB-4AA3-BF19-C808277C2A5A}" name="Column8422"/>
    <tableColumn id="8423" xr3:uid="{4401A372-4176-4F0C-ADE9-C8A852CBB9F7}" name="Column8423"/>
    <tableColumn id="8424" xr3:uid="{D0731A4D-815C-48A6-851D-A383C6F4BD07}" name="Column8424"/>
    <tableColumn id="8425" xr3:uid="{FCDEC74B-9A32-43DD-9721-A80936C9911B}" name="Column8425"/>
    <tableColumn id="8426" xr3:uid="{E64997C6-4563-4867-A12B-14F64A48DBBF}" name="Column8426"/>
    <tableColumn id="8427" xr3:uid="{182794EE-5ED5-440D-9892-3C6243963948}" name="Column8427"/>
    <tableColumn id="8428" xr3:uid="{0D2883BF-853A-4FC7-B169-916D59E80C32}" name="Column8428"/>
    <tableColumn id="8429" xr3:uid="{971B3CC6-9461-45B9-890D-00C00DDA2393}" name="Column8429"/>
    <tableColumn id="8430" xr3:uid="{088A226E-2AF2-4322-AB05-8519F846EB5F}" name="Column8430"/>
    <tableColumn id="8431" xr3:uid="{F97B52F3-30A5-40CC-9E70-E37FB59A9684}" name="Column8431"/>
    <tableColumn id="8432" xr3:uid="{8F73B96B-6F8D-4C35-80A7-9289B59B9A30}" name="Column8432"/>
    <tableColumn id="8433" xr3:uid="{A2C316F0-EC3A-4676-8E86-11E47CC0FB04}" name="Column8433"/>
    <tableColumn id="8434" xr3:uid="{3E7C9C0B-434F-4A92-AD31-2465C499EAEB}" name="Column8434"/>
    <tableColumn id="8435" xr3:uid="{24F07F43-1374-4774-9084-692F0355DDEB}" name="Column8435"/>
    <tableColumn id="8436" xr3:uid="{FC2EDA13-814C-4601-AD32-B9D335FF63BA}" name="Column8436"/>
    <tableColumn id="8437" xr3:uid="{43865C4D-31FF-4BFC-9882-C202B65A7180}" name="Column8437"/>
    <tableColumn id="8438" xr3:uid="{87B44040-EF5F-459D-81A4-5D591EA612AA}" name="Column8438"/>
    <tableColumn id="8439" xr3:uid="{B31C50BA-A65F-4546-B581-7E6A4BBC38DB}" name="Column8439"/>
    <tableColumn id="8440" xr3:uid="{37C1D074-90C5-4681-AAA8-C12DAFDBBD57}" name="Column8440"/>
    <tableColumn id="8441" xr3:uid="{3DCEB927-4A36-4985-ACB8-39917810AF44}" name="Column8441"/>
    <tableColumn id="8442" xr3:uid="{413BB4F3-0FD7-45F9-A93D-264EBF4885D1}" name="Column8442"/>
    <tableColumn id="8443" xr3:uid="{63B35458-704E-4941-A9F8-76F0E3019CFD}" name="Column8443"/>
    <tableColumn id="8444" xr3:uid="{14FC3084-F837-459C-A788-FA23EB09BCEC}" name="Column8444"/>
    <tableColumn id="8445" xr3:uid="{84D24963-D9C1-41B3-B744-E8F0F7C71AE6}" name="Column8445"/>
    <tableColumn id="8446" xr3:uid="{B90FEDDF-CF86-401E-A183-9086D2034C5E}" name="Column8446"/>
    <tableColumn id="8447" xr3:uid="{45862B24-7A56-49A4-B7A2-02A2736DB604}" name="Column8447"/>
    <tableColumn id="8448" xr3:uid="{D74BFD7C-FB20-4BAF-B1CB-7D80D998E4B5}" name="Column8448"/>
    <tableColumn id="8449" xr3:uid="{7DB03CAE-FA9C-44B1-BD3D-418A069F218F}" name="Column8449"/>
    <tableColumn id="8450" xr3:uid="{0823BE73-A4DE-447A-9EA5-6E3791C347B6}" name="Column8450"/>
    <tableColumn id="8451" xr3:uid="{F7BAB213-3D2E-40AB-B11F-3DAC1E298555}" name="Column8451"/>
    <tableColumn id="8452" xr3:uid="{0E5132E9-B8ED-4F5B-A166-FAD278BF7E10}" name="Column8452"/>
    <tableColumn id="8453" xr3:uid="{9C7AB564-16DA-4D00-B1CB-0F58334758C2}" name="Column8453"/>
    <tableColumn id="8454" xr3:uid="{254D3BFA-7ED2-44A1-A5C0-FC7066B28AE4}" name="Column8454"/>
    <tableColumn id="8455" xr3:uid="{1177EA31-0638-4DF6-A6EB-23A22DAE095A}" name="Column8455"/>
    <tableColumn id="8456" xr3:uid="{B40FBB05-1A4A-45DF-A907-3CD09ABEA85C}" name="Column8456"/>
    <tableColumn id="8457" xr3:uid="{BC2DBAB6-7F85-4CF6-8B39-A094FCF858B7}" name="Column8457"/>
    <tableColumn id="8458" xr3:uid="{B0EEF6B9-739B-4200-874C-5B85F8ED0FA6}" name="Column8458"/>
    <tableColumn id="8459" xr3:uid="{8C37F9D4-0D49-43CC-8A54-AE0285FCF385}" name="Column8459"/>
    <tableColumn id="8460" xr3:uid="{6EBD43D0-1AE3-4366-A280-74994463C175}" name="Column8460"/>
    <tableColumn id="8461" xr3:uid="{1D3B5B2E-88D4-4AFE-AFE5-F1AD84D0B504}" name="Column8461"/>
    <tableColumn id="8462" xr3:uid="{61B0CBFD-6C60-4A5C-85A2-B0EB338A4776}" name="Column8462"/>
    <tableColumn id="8463" xr3:uid="{171DC173-16FF-4697-9633-07FBE213C633}" name="Column8463"/>
    <tableColumn id="8464" xr3:uid="{15C6811E-466A-481C-B9F0-F99597AD3ECA}" name="Column8464"/>
    <tableColumn id="8465" xr3:uid="{7510ECAA-2022-488C-800B-333065BEA6EF}" name="Column8465"/>
    <tableColumn id="8466" xr3:uid="{33B815A0-2641-49DC-AA81-5468FD3C897F}" name="Column8466"/>
    <tableColumn id="8467" xr3:uid="{7761A128-B4D8-4E21-A569-82D57E9EDD83}" name="Column8467"/>
    <tableColumn id="8468" xr3:uid="{857AEF58-50C0-4F68-8DD2-F8B6D1E9A254}" name="Column8468"/>
    <tableColumn id="8469" xr3:uid="{5EE96AAC-79FF-4358-AAEE-25460AD45787}" name="Column8469"/>
    <tableColumn id="8470" xr3:uid="{C3D24462-93CC-4551-A338-A80CD0BCCD45}" name="Column8470"/>
    <tableColumn id="8471" xr3:uid="{D2622C1E-5F90-46BD-A47E-F88BC02392C9}" name="Column8471"/>
    <tableColumn id="8472" xr3:uid="{74BCE55C-544F-49FD-A2C2-35668F894282}" name="Column8472"/>
    <tableColumn id="8473" xr3:uid="{26821079-EE96-43DA-8A7F-46983942FFF8}" name="Column8473"/>
    <tableColumn id="8474" xr3:uid="{7EC44755-F757-435E-AFDD-A6CDD5961AD1}" name="Column8474"/>
    <tableColumn id="8475" xr3:uid="{B48079F7-4DC5-4097-8F60-D5D1F003DA41}" name="Column8475"/>
    <tableColumn id="8476" xr3:uid="{CCC54076-0904-44FC-8057-B477475FAA57}" name="Column8476"/>
    <tableColumn id="8477" xr3:uid="{64E88562-2C4A-4F20-8197-F44DDB7451E1}" name="Column8477"/>
    <tableColumn id="8478" xr3:uid="{00B85FFC-48EE-40D2-9961-76415670A41A}" name="Column8478"/>
    <tableColumn id="8479" xr3:uid="{BC956289-288C-4A5A-8BC5-53E8EE21FC88}" name="Column8479"/>
    <tableColumn id="8480" xr3:uid="{BD321AA0-5090-470F-AC78-F8678BCE2921}" name="Column8480"/>
    <tableColumn id="8481" xr3:uid="{7B02D3A9-1187-4507-B3B9-8CD7F2F50FA4}" name="Column8481"/>
    <tableColumn id="8482" xr3:uid="{947B7948-4384-47ED-AC2D-02C4D0D1E958}" name="Column8482"/>
    <tableColumn id="8483" xr3:uid="{A4E242D2-A922-4971-8811-45A19420A4BB}" name="Column8483"/>
    <tableColumn id="8484" xr3:uid="{9D84C405-3930-4382-A147-F053DB3FB3AA}" name="Column8484"/>
    <tableColumn id="8485" xr3:uid="{FB878A6C-618B-4B26-9834-539988587925}" name="Column8485"/>
    <tableColumn id="8486" xr3:uid="{EBD68D15-6A50-4E74-9A35-E3AF071CEBC7}" name="Column8486"/>
    <tableColumn id="8487" xr3:uid="{D0D88C12-C613-406C-8A4A-148D498A7CA9}" name="Column8487"/>
    <tableColumn id="8488" xr3:uid="{BFA49703-F6D8-4FCC-81BA-D90E02AE1ABA}" name="Column8488"/>
    <tableColumn id="8489" xr3:uid="{28A0D060-1BD3-471E-BB6C-88AD12526415}" name="Column8489"/>
    <tableColumn id="8490" xr3:uid="{317BEA3A-0325-4550-ABAB-71F570C352AB}" name="Column8490"/>
    <tableColumn id="8491" xr3:uid="{F8AE1599-F071-4789-9CF2-D4DB47EB5CCF}" name="Column8491"/>
    <tableColumn id="8492" xr3:uid="{7A0793CA-5BD6-4790-ABCD-9CD39F9F27D7}" name="Column8492"/>
    <tableColumn id="8493" xr3:uid="{FF9DACD8-7A2B-4DF2-B603-718F41E266B0}" name="Column8493"/>
    <tableColumn id="8494" xr3:uid="{DED9BA83-125F-488B-8699-5E363CD169EA}" name="Column8494"/>
    <tableColumn id="8495" xr3:uid="{B09669C5-DFF1-477C-8C34-B3FAFC888E46}" name="Column8495"/>
    <tableColumn id="8496" xr3:uid="{251A2497-0032-424C-994A-F1E169266D91}" name="Column8496"/>
    <tableColumn id="8497" xr3:uid="{00A1B021-E89E-478A-A20B-E28CE104A0B9}" name="Column8497"/>
    <tableColumn id="8498" xr3:uid="{4B4ECED7-1381-4D3B-BFF5-3273D63EC87E}" name="Column8498"/>
    <tableColumn id="8499" xr3:uid="{7985CD6E-13F2-4304-AF27-A6517FFC1E1D}" name="Column8499"/>
    <tableColumn id="8500" xr3:uid="{0A9F4C2C-1136-4095-8A45-7DD279A94143}" name="Column8500"/>
    <tableColumn id="8501" xr3:uid="{A8344C98-2443-436F-A38F-FCDFDA7670FC}" name="Column8501"/>
    <tableColumn id="8502" xr3:uid="{43BA8A1A-3871-480D-890E-7B2E591C1062}" name="Column8502"/>
    <tableColumn id="8503" xr3:uid="{BA8CB09D-1736-47F7-9565-A3C2137ED20E}" name="Column8503"/>
    <tableColumn id="8504" xr3:uid="{C7652DAD-3968-4EBC-8CE3-267CBC0620D5}" name="Column8504"/>
    <tableColumn id="8505" xr3:uid="{D2A26132-4BED-48B3-8E1C-19D1B5A7FA16}" name="Column8505"/>
    <tableColumn id="8506" xr3:uid="{C1099C68-5361-43AA-99C0-A2E594B92E62}" name="Column8506"/>
    <tableColumn id="8507" xr3:uid="{B744B9C8-EDA7-46BE-B245-F9E38D979246}" name="Column8507"/>
    <tableColumn id="8508" xr3:uid="{A00AD385-FEE6-4F68-9789-8900DFEA78CA}" name="Column8508"/>
    <tableColumn id="8509" xr3:uid="{EE3C9F8B-AA89-4744-8116-48B606236644}" name="Column8509"/>
    <tableColumn id="8510" xr3:uid="{CE2F8A55-8106-40F5-9E7A-C0A2003DE6AC}" name="Column8510"/>
    <tableColumn id="8511" xr3:uid="{A99EDD0C-2EED-453D-854D-397021C048BB}" name="Column8511"/>
    <tableColumn id="8512" xr3:uid="{0FE45157-25E0-4B5A-9A88-1417FAD9F4BF}" name="Column8512"/>
    <tableColumn id="8513" xr3:uid="{2DE62E86-67AD-49AA-8F1E-FA084546CF40}" name="Column8513"/>
    <tableColumn id="8514" xr3:uid="{2A46FD07-9658-4666-846F-1371BBD85BE2}" name="Column8514"/>
    <tableColumn id="8515" xr3:uid="{073B5F33-E003-4B19-B39F-597E9A9252BD}" name="Column8515"/>
    <tableColumn id="8516" xr3:uid="{B684FF47-85B9-4465-B1C8-4EBF0BC079F1}" name="Column8516"/>
    <tableColumn id="8517" xr3:uid="{8507A979-EF3E-43FD-AF4E-ABC4FC01B0FF}" name="Column8517"/>
    <tableColumn id="8518" xr3:uid="{224D2233-3674-4E37-98D3-42C69931C0CC}" name="Column8518"/>
    <tableColumn id="8519" xr3:uid="{E745A5C3-F301-4E3E-A661-A4C5ED6716E5}" name="Column8519"/>
    <tableColumn id="8520" xr3:uid="{1E70E15F-81EB-4089-A0F1-CACD0856DAA7}" name="Column8520"/>
    <tableColumn id="8521" xr3:uid="{CA185B63-0EAD-4678-A7EE-AACE457B3686}" name="Column8521"/>
    <tableColumn id="8522" xr3:uid="{5E4E06FC-619B-4BC2-89D2-A2FB6D0064BD}" name="Column8522"/>
    <tableColumn id="8523" xr3:uid="{337E9C4C-8B7B-4978-98B4-A65561246E1E}" name="Column8523"/>
    <tableColumn id="8524" xr3:uid="{BCD44C6C-661E-444F-8344-6F6A40932B9D}" name="Column8524"/>
    <tableColumn id="8525" xr3:uid="{D87541D1-24CF-4605-89C9-18F47F9AF4F0}" name="Column8525"/>
    <tableColumn id="8526" xr3:uid="{75A13C15-AC41-44B7-B7DE-5D6A21DB5E5C}" name="Column8526"/>
    <tableColumn id="8527" xr3:uid="{F49F8C46-873E-443D-BD76-5F1648610D61}" name="Column8527"/>
    <tableColumn id="8528" xr3:uid="{E236F9E5-EAFB-44CA-80BE-2318F182B707}" name="Column8528"/>
    <tableColumn id="8529" xr3:uid="{3314C2F4-5A25-4C0D-BA84-ADF69B4B2EB4}" name="Column8529"/>
    <tableColumn id="8530" xr3:uid="{C9385430-6851-4F40-8A81-71ABF7E40351}" name="Column8530"/>
    <tableColumn id="8531" xr3:uid="{39BDCF5C-BFC3-4072-AE0C-888010979E56}" name="Column8531"/>
    <tableColumn id="8532" xr3:uid="{C7E9BA37-6894-436A-96E3-9C079E8BDD0B}" name="Column8532"/>
    <tableColumn id="8533" xr3:uid="{DD7CCF40-DEF2-489B-BC32-6358442A5F27}" name="Column8533"/>
    <tableColumn id="8534" xr3:uid="{6C08D6AA-74BC-45A0-BE2B-FBF0962BE9BE}" name="Column8534"/>
    <tableColumn id="8535" xr3:uid="{A22D808F-4323-41D3-B03C-BB045E28F017}" name="Column8535"/>
    <tableColumn id="8536" xr3:uid="{FB63F082-FE79-4C51-9B6B-C8EC3770B031}" name="Column8536"/>
    <tableColumn id="8537" xr3:uid="{7F79B6DC-085E-46D3-AD5F-005517BA65B7}" name="Column8537"/>
    <tableColumn id="8538" xr3:uid="{BDC0C937-10A7-4D28-BD4E-2FC45D9CF0C2}" name="Column8538"/>
    <tableColumn id="8539" xr3:uid="{E57BA1C1-47A9-48DA-BD11-B0F99A875B18}" name="Column8539"/>
    <tableColumn id="8540" xr3:uid="{C1AA9941-441E-4C07-8A4D-5368F90FFC77}" name="Column8540"/>
    <tableColumn id="8541" xr3:uid="{8B8BFDA8-E4ED-4676-A8EA-C0F4E9174F5E}" name="Column8541"/>
    <tableColumn id="8542" xr3:uid="{7F8BFD9B-2629-489F-AC23-FCF464F23284}" name="Column8542"/>
    <tableColumn id="8543" xr3:uid="{F455E52D-EBB0-4DA1-AA6E-D65995BDA76D}" name="Column8543"/>
    <tableColumn id="8544" xr3:uid="{F8AF49BC-8500-491B-90BF-3E505436EC60}" name="Column8544"/>
    <tableColumn id="8545" xr3:uid="{8D0DE58F-F553-43BE-8BB0-0853F15FA0F1}" name="Column8545"/>
    <tableColumn id="8546" xr3:uid="{E9B4514D-96AE-4497-A1AA-78C48E67109F}" name="Column8546"/>
    <tableColumn id="8547" xr3:uid="{ECC97B35-5E53-4A81-B085-3A1BCAFB373C}" name="Column8547"/>
    <tableColumn id="8548" xr3:uid="{0D1C47E7-4A63-4818-A93C-075E4B9FC5FE}" name="Column8548"/>
    <tableColumn id="8549" xr3:uid="{ACD3B013-2A4A-4DD5-A5AE-414298CF58F0}" name="Column8549"/>
    <tableColumn id="8550" xr3:uid="{78D28B3E-FFE7-4A1A-BE6B-A50B994116A3}" name="Column8550"/>
    <tableColumn id="8551" xr3:uid="{5894DBFA-9084-412E-9F9D-8C1BB5D34B2A}" name="Column8551"/>
    <tableColumn id="8552" xr3:uid="{43F915CB-7BBE-41DC-A619-6A00627C61DF}" name="Column8552"/>
    <tableColumn id="8553" xr3:uid="{056C267D-A2D0-46B4-B731-C18875D80526}" name="Column8553"/>
    <tableColumn id="8554" xr3:uid="{DBDAC1A1-F350-4CDC-A331-73C413478B3C}" name="Column8554"/>
    <tableColumn id="8555" xr3:uid="{A5446AC7-C5EB-41BE-A31F-3759B2FA4968}" name="Column8555"/>
    <tableColumn id="8556" xr3:uid="{8121C3E5-3CD2-490F-A8C9-00EFF945A59C}" name="Column8556"/>
    <tableColumn id="8557" xr3:uid="{6A60B376-B6ED-4285-940B-C14E5F163EA2}" name="Column8557"/>
    <tableColumn id="8558" xr3:uid="{26E3B85E-6B03-446C-9A5D-3FB33E86CB9A}" name="Column8558"/>
    <tableColumn id="8559" xr3:uid="{CE486C49-613A-4D91-A80B-7E1A1672C9AF}" name="Column8559"/>
    <tableColumn id="8560" xr3:uid="{C5ACD14F-0E7F-40E8-AB4F-EF1EDD599E1A}" name="Column8560"/>
    <tableColumn id="8561" xr3:uid="{39AE01D5-8F09-46F3-8200-1D72C769F10E}" name="Column8561"/>
    <tableColumn id="8562" xr3:uid="{F250BCC1-3482-4F72-95F9-9E2C0EF1D0A3}" name="Column8562"/>
    <tableColumn id="8563" xr3:uid="{9AAA80AA-9C20-4278-B084-41395A5FC93A}" name="Column8563"/>
    <tableColumn id="8564" xr3:uid="{593F579D-0725-4B1F-9F31-E1C0E45B9B09}" name="Column8564"/>
    <tableColumn id="8565" xr3:uid="{02ADDD09-1EDF-4E1F-ADFC-05404DB3FC60}" name="Column8565"/>
    <tableColumn id="8566" xr3:uid="{086353CF-39CB-4A57-9923-D857B2A72F7D}" name="Column8566"/>
    <tableColumn id="8567" xr3:uid="{2923126A-AEC0-46A6-93E7-97D6F732D79B}" name="Column8567"/>
    <tableColumn id="8568" xr3:uid="{3D9427B2-5DB0-4FE8-B443-4BD2051B0BCD}" name="Column8568"/>
    <tableColumn id="8569" xr3:uid="{9EE1FBF7-A596-43B0-B1E9-B99DF1FED790}" name="Column8569"/>
    <tableColumn id="8570" xr3:uid="{C74719F6-78A7-406F-829E-9B9D4F7E732F}" name="Column8570"/>
    <tableColumn id="8571" xr3:uid="{EACC7E82-6106-4F24-86CE-AA16A753A5F7}" name="Column8571"/>
    <tableColumn id="8572" xr3:uid="{46161450-0FE3-4435-B123-0F5ABB6A54ED}" name="Column8572"/>
    <tableColumn id="8573" xr3:uid="{810148C3-DF53-40D9-9819-1DBE755B0A75}" name="Column8573"/>
    <tableColumn id="8574" xr3:uid="{D1A86E7F-403B-4782-84CF-AD493AE6D29B}" name="Column8574"/>
    <tableColumn id="8575" xr3:uid="{F1D8AA7C-E7B8-4A46-873A-240EE586131D}" name="Column8575"/>
    <tableColumn id="8576" xr3:uid="{01AEB100-DB2D-4AB3-94A8-993E3745D721}" name="Column8576"/>
    <tableColumn id="8577" xr3:uid="{985AE8D5-D69A-4E80-B9C7-AFDCA20290F8}" name="Column8577"/>
    <tableColumn id="8578" xr3:uid="{8D5A4EB7-91C5-417E-8360-DD82EDF4841A}" name="Column8578"/>
    <tableColumn id="8579" xr3:uid="{FB3B1EDD-2C98-45B6-829A-0FB230F73CCE}" name="Column8579"/>
    <tableColumn id="8580" xr3:uid="{BD96A787-917B-4850-A374-48A392180F28}" name="Column8580"/>
    <tableColumn id="8581" xr3:uid="{8D734E55-04E0-4735-ADD4-13F080C86D5B}" name="Column8581"/>
    <tableColumn id="8582" xr3:uid="{E488272A-4B50-423D-99D3-CCD19BE82007}" name="Column8582"/>
    <tableColumn id="8583" xr3:uid="{6259562A-9569-4FE3-9B98-AE6123E5B3E9}" name="Column8583"/>
    <tableColumn id="8584" xr3:uid="{588CA0D5-0E95-4DED-A67C-90CDB9A239B5}" name="Column8584"/>
    <tableColumn id="8585" xr3:uid="{7AD20CFC-B6D6-4334-BC72-F20EB79E956C}" name="Column8585"/>
    <tableColumn id="8586" xr3:uid="{3172C8FE-398E-45E6-A117-449B1309335C}" name="Column8586"/>
    <tableColumn id="8587" xr3:uid="{58728AAD-5F87-4E25-B682-B36F150B7CE6}" name="Column8587"/>
    <tableColumn id="8588" xr3:uid="{9A1BBFDF-4645-4B1E-8C3A-A531CB91114B}" name="Column8588"/>
    <tableColumn id="8589" xr3:uid="{D0788752-82C7-475E-9B6A-05DED5E93F52}" name="Column8589"/>
    <tableColumn id="8590" xr3:uid="{DE0B89AD-496A-4CC8-893E-E8401D67971C}" name="Column8590"/>
    <tableColumn id="8591" xr3:uid="{F430BDA4-1E87-42F1-B7C1-959950F97AC4}" name="Column8591"/>
    <tableColumn id="8592" xr3:uid="{8182829E-5951-4C2F-B8A4-67E6E63A014F}" name="Column8592"/>
    <tableColumn id="8593" xr3:uid="{FF802C0C-4616-4FAC-BA76-88EAF19524B0}" name="Column8593"/>
    <tableColumn id="8594" xr3:uid="{A42D8491-6EEA-4908-BEC7-A143323647AD}" name="Column8594"/>
    <tableColumn id="8595" xr3:uid="{6330DCF8-AB5E-468E-A2CF-42B4951530EA}" name="Column8595"/>
    <tableColumn id="8596" xr3:uid="{AC56AFCD-E0F9-4F2E-9D11-8EE46B74D87A}" name="Column8596"/>
    <tableColumn id="8597" xr3:uid="{6C2CFA10-9E97-41E0-BA67-821F4A1E9296}" name="Column8597"/>
    <tableColumn id="8598" xr3:uid="{61097B1A-DCBE-45C2-82D3-5338F1C8DCB5}" name="Column8598"/>
    <tableColumn id="8599" xr3:uid="{7AE3E535-C59F-4679-95FD-3257D0108045}" name="Column8599"/>
    <tableColumn id="8600" xr3:uid="{C1D47C8D-6D16-4572-8341-20C345494F90}" name="Column8600"/>
    <tableColumn id="8601" xr3:uid="{5B92180B-817D-4E58-8FAC-5BC868BF015C}" name="Column8601"/>
    <tableColumn id="8602" xr3:uid="{EC94A7F7-9548-439B-A1AD-73377EB416FF}" name="Column8602"/>
    <tableColumn id="8603" xr3:uid="{0D827931-8135-4DDC-ADDE-ED2D6C0E9018}" name="Column8603"/>
    <tableColumn id="8604" xr3:uid="{DB8B2028-23D7-452C-930C-BBAFB6E559D4}" name="Column8604"/>
    <tableColumn id="8605" xr3:uid="{2451A8D1-DA51-4CAD-8E68-65C3BAA909F3}" name="Column8605"/>
    <tableColumn id="8606" xr3:uid="{37FC9573-0A04-4732-860B-98BC725BEC36}" name="Column8606"/>
    <tableColumn id="8607" xr3:uid="{B37400A5-5460-4AB7-9215-28F5CF196D26}" name="Column8607"/>
    <tableColumn id="8608" xr3:uid="{85DCD330-EE5D-4708-AC49-D871F2AA4ADA}" name="Column8608"/>
    <tableColumn id="8609" xr3:uid="{4B2B7EE5-BEF7-481B-AC3F-7D808D655B5B}" name="Column8609"/>
    <tableColumn id="8610" xr3:uid="{592CFCFD-D49F-4694-AFE0-24FC4E638BC7}" name="Column8610"/>
    <tableColumn id="8611" xr3:uid="{16901BD0-6690-47DC-9A3C-54D57632A4BF}" name="Column8611"/>
    <tableColumn id="8612" xr3:uid="{6CF82AE3-61F9-48F2-9FF9-7BE3E51205E2}" name="Column8612"/>
    <tableColumn id="8613" xr3:uid="{D7CD2840-E02F-466D-BFB2-F3BFA587A3F8}" name="Column8613"/>
    <tableColumn id="8614" xr3:uid="{CE22F8D2-3A4D-455B-9F7B-6993681D18E4}" name="Column8614"/>
    <tableColumn id="8615" xr3:uid="{1ED0732E-16B1-44CD-8C46-ADA1CD346300}" name="Column8615"/>
    <tableColumn id="8616" xr3:uid="{E02641A7-450D-4FFC-A72E-6287AD200A6A}" name="Column8616"/>
    <tableColumn id="8617" xr3:uid="{394CEF14-AAF2-4DBF-950E-B0D724C5AD26}" name="Column8617"/>
    <tableColumn id="8618" xr3:uid="{6EF33216-2F8E-443F-AC28-A7CC051CAE98}" name="Column8618"/>
    <tableColumn id="8619" xr3:uid="{DBBB17A4-DF0D-4C56-B845-255CB969AB1A}" name="Column8619"/>
    <tableColumn id="8620" xr3:uid="{8DEDDE0B-7F24-4EDA-AA34-A9930097F453}" name="Column8620"/>
    <tableColumn id="8621" xr3:uid="{63DE2C49-0D36-466F-8B63-370DEDF8F3A2}" name="Column8621"/>
    <tableColumn id="8622" xr3:uid="{09F737A7-7911-4C58-B082-D202A4374A35}" name="Column8622"/>
    <tableColumn id="8623" xr3:uid="{6E955A49-F344-4EAD-9BA4-D586153DC524}" name="Column8623"/>
    <tableColumn id="8624" xr3:uid="{3E36B8BD-CF3A-4DD1-BCB4-9D33FDDB3819}" name="Column8624"/>
    <tableColumn id="8625" xr3:uid="{D4FA054E-2418-425B-9D97-A977AF65F833}" name="Column8625"/>
    <tableColumn id="8626" xr3:uid="{D7D0C982-3844-4FAB-8F67-53F724AFBCDC}" name="Column8626"/>
    <tableColumn id="8627" xr3:uid="{0E950774-DE2A-48F9-A469-E3CD76117F1D}" name="Column8627"/>
    <tableColumn id="8628" xr3:uid="{78C4B3CC-A8D9-4D70-B277-D56B3C06A835}" name="Column8628"/>
    <tableColumn id="8629" xr3:uid="{22AB952B-D1A4-4A4E-A7AD-D26A6BC213C3}" name="Column8629"/>
    <tableColumn id="8630" xr3:uid="{2001D49B-6B5C-4842-ACAB-FFB2541E211D}" name="Column8630"/>
    <tableColumn id="8631" xr3:uid="{19BD88CE-7909-4AF3-9FE5-FB847986D9F9}" name="Column8631"/>
    <tableColumn id="8632" xr3:uid="{E2EC45B4-191A-4E37-A718-A7CCB841318E}" name="Column8632"/>
    <tableColumn id="8633" xr3:uid="{F034DDAA-3FA2-4145-AD8F-FDBBD6BC2C00}" name="Column8633"/>
    <tableColumn id="8634" xr3:uid="{9669414C-4B1E-462F-B7B0-D3FB804A35F6}" name="Column8634"/>
    <tableColumn id="8635" xr3:uid="{E7F91E16-BDFB-41FA-BEA9-7357DC6E45C5}" name="Column8635"/>
    <tableColumn id="8636" xr3:uid="{9A06AAF7-E44E-426B-91B4-7BA3E02AD8AD}" name="Column8636"/>
    <tableColumn id="8637" xr3:uid="{5C9C911E-653B-4516-9298-2870C0174557}" name="Column8637"/>
    <tableColumn id="8638" xr3:uid="{82A7126F-1E78-4AED-B783-1DD97B961830}" name="Column8638"/>
    <tableColumn id="8639" xr3:uid="{8C0575E4-1F08-4300-B42F-A13A47F29371}" name="Column8639"/>
    <tableColumn id="8640" xr3:uid="{AE052A1E-6540-4C5B-B883-4DA38F5D9452}" name="Column8640"/>
    <tableColumn id="8641" xr3:uid="{F5543D57-E935-4310-B699-00C0B3B2271E}" name="Column8641"/>
    <tableColumn id="8642" xr3:uid="{665AF695-474A-4FB8-826D-611C733A25E5}" name="Column8642"/>
    <tableColumn id="8643" xr3:uid="{D8EDA1CC-6B91-4045-98E1-12486CB5BA54}" name="Column8643"/>
    <tableColumn id="8644" xr3:uid="{D4FF2B8A-2D55-4570-8E04-AE612BD5572F}" name="Column8644"/>
    <tableColumn id="8645" xr3:uid="{D4B3995E-E5C3-487A-A4E2-FA8802DAB10A}" name="Column8645"/>
    <tableColumn id="8646" xr3:uid="{3FF5A186-0F27-40C8-9615-45514854B8C5}" name="Column8646"/>
    <tableColumn id="8647" xr3:uid="{525664D9-ABB3-4991-9F42-16D91422CA3F}" name="Column8647"/>
    <tableColumn id="8648" xr3:uid="{51A26CB5-CC5D-4533-8E00-3A7D6A5E962A}" name="Column8648"/>
    <tableColumn id="8649" xr3:uid="{462F7862-2C15-4250-AE69-4B4A8748C7A9}" name="Column8649"/>
    <tableColumn id="8650" xr3:uid="{31702697-F8AA-446D-9787-91C3E7DAC06A}" name="Column8650"/>
    <tableColumn id="8651" xr3:uid="{CCB42745-4DEE-4D21-8333-CA437D947664}" name="Column8651"/>
    <tableColumn id="8652" xr3:uid="{A4058248-0C3E-4474-ADDB-A00394D26FE1}" name="Column8652"/>
    <tableColumn id="8653" xr3:uid="{C8E3CA26-2139-4093-9B10-96DBC12CE911}" name="Column8653"/>
    <tableColumn id="8654" xr3:uid="{98411B84-9773-4A11-BE0E-8FAA811C85E7}" name="Column8654"/>
    <tableColumn id="8655" xr3:uid="{2CD26AF4-583F-4385-B57A-612C3C075B48}" name="Column8655"/>
    <tableColumn id="8656" xr3:uid="{1FFCF670-F8BF-4D8B-BBB4-ABBDF9A9DD74}" name="Column8656"/>
    <tableColumn id="8657" xr3:uid="{13665452-B461-43A2-9169-ECD92E002FC9}" name="Column8657"/>
    <tableColumn id="8658" xr3:uid="{48028D10-D14E-4427-BBA8-75DC756ED466}" name="Column8658"/>
    <tableColumn id="8659" xr3:uid="{6E8A1CF4-802F-4DD6-8E8C-0A7864AAFAB5}" name="Column8659"/>
    <tableColumn id="8660" xr3:uid="{52798D0B-6937-447C-B09A-7169C509D9E8}" name="Column8660"/>
    <tableColumn id="8661" xr3:uid="{F82A9D35-7F9C-4436-8D44-CADA8C46050E}" name="Column8661"/>
    <tableColumn id="8662" xr3:uid="{6C589652-2C8B-4ED7-9F50-595265D8C8D0}" name="Column8662"/>
    <tableColumn id="8663" xr3:uid="{CB7E38A3-3E0B-4ABB-B4FC-BD20DFFB5F17}" name="Column8663"/>
    <tableColumn id="8664" xr3:uid="{12DDA390-5E2C-4173-9882-0A8A3EBCE1DD}" name="Column8664"/>
    <tableColumn id="8665" xr3:uid="{500E9FB0-98BA-4D23-A11A-7CB784553620}" name="Column8665"/>
    <tableColumn id="8666" xr3:uid="{48002F41-4B43-4F8F-97BE-D6A4D5373682}" name="Column8666"/>
    <tableColumn id="8667" xr3:uid="{1E36DDF0-1722-432A-BD74-E3E0559F5102}" name="Column8667"/>
    <tableColumn id="8668" xr3:uid="{DD29CFC3-D5E8-4C4C-97E4-A9410ECF2E4B}" name="Column8668"/>
    <tableColumn id="8669" xr3:uid="{55B0C610-047A-4A57-9F93-A34066E19909}" name="Column8669"/>
    <tableColumn id="8670" xr3:uid="{52949500-C73B-4526-AA89-884EDC665C3D}" name="Column8670"/>
    <tableColumn id="8671" xr3:uid="{B128638A-E369-4E4A-A305-6B7FBE2C9C6B}" name="Column8671"/>
    <tableColumn id="8672" xr3:uid="{E26A88CF-78E1-421B-BC18-49FDDEE5B76C}" name="Column8672"/>
    <tableColumn id="8673" xr3:uid="{2CF98AFF-F235-4B7E-8B59-0C1E716E07FD}" name="Column8673"/>
    <tableColumn id="8674" xr3:uid="{EA0CF9C3-D4CA-49F4-8E29-6F03843491CE}" name="Column8674"/>
    <tableColumn id="8675" xr3:uid="{CF813560-56A4-4A7F-BC30-991B9A2A8EEE}" name="Column8675"/>
    <tableColumn id="8676" xr3:uid="{909A8EE4-0659-4320-BCB2-5DDF7C91BA07}" name="Column8676"/>
    <tableColumn id="8677" xr3:uid="{B075B757-F255-47E7-9E1C-4480CA540044}" name="Column8677"/>
    <tableColumn id="8678" xr3:uid="{1C2EDEB5-1E8D-47BA-89CB-24E452C56C10}" name="Column8678"/>
    <tableColumn id="8679" xr3:uid="{82FA82B2-ADEE-41EC-89F2-6166E1950851}" name="Column8679"/>
    <tableColumn id="8680" xr3:uid="{1B5F6FDB-CF81-43EA-855F-A4BE6315D678}" name="Column8680"/>
    <tableColumn id="8681" xr3:uid="{9860E22B-9087-4B0C-9AD4-AD5FD11A57E3}" name="Column8681"/>
    <tableColumn id="8682" xr3:uid="{603CE410-9440-492A-8CBE-30CB0DC156E6}" name="Column8682"/>
    <tableColumn id="8683" xr3:uid="{5773695F-02A7-450A-A36B-F92D96ECFC46}" name="Column8683"/>
    <tableColumn id="8684" xr3:uid="{1D4A0EE3-C7C6-48E0-9DAA-586709E55D54}" name="Column8684"/>
    <tableColumn id="8685" xr3:uid="{182C36D2-E78F-4653-B48C-9D55BBC4A33A}" name="Column8685"/>
    <tableColumn id="8686" xr3:uid="{E7BB274F-F411-474B-8CB6-227CD7865713}" name="Column8686"/>
    <tableColumn id="8687" xr3:uid="{D2CC7748-7A3C-4A30-8B1E-3495EDA4B6FD}" name="Column8687"/>
    <tableColumn id="8688" xr3:uid="{6ED8F18E-41AE-4A76-AF95-B54B35FC72B4}" name="Column8688"/>
    <tableColumn id="8689" xr3:uid="{78BEFF44-230E-4129-98C3-17A98376A3A9}" name="Column8689"/>
    <tableColumn id="8690" xr3:uid="{981C58BA-1DF4-4EDC-BE51-A0C972932600}" name="Column8690"/>
    <tableColumn id="8691" xr3:uid="{46F86302-1AAE-423F-8F05-5CFD4C76E3B3}" name="Column8691"/>
    <tableColumn id="8692" xr3:uid="{CA6AF992-F5A0-4CD1-83CF-B56A60F74717}" name="Column8692"/>
    <tableColumn id="8693" xr3:uid="{78D98DCA-C36F-40E7-8F0D-269EACC3BDD0}" name="Column8693"/>
    <tableColumn id="8694" xr3:uid="{3DA6FCB7-FCA7-446B-8050-9BB0A1320F31}" name="Column8694"/>
    <tableColumn id="8695" xr3:uid="{633DFF85-B690-455D-B478-E40BA07E0FC3}" name="Column8695"/>
    <tableColumn id="8696" xr3:uid="{85FF97DF-7B66-4336-A6C7-97CAF1AC2E22}" name="Column8696"/>
    <tableColumn id="8697" xr3:uid="{F7EEE860-ACE9-4C6B-A518-17BF9D91189B}" name="Column8697"/>
    <tableColumn id="8698" xr3:uid="{C2DD8389-C407-4B61-AC4C-47C0D7929E07}" name="Column8698"/>
    <tableColumn id="8699" xr3:uid="{1664D96B-B1FC-4561-BB50-84A41CA3B8D1}" name="Column8699"/>
    <tableColumn id="8700" xr3:uid="{3871B5E7-852B-4601-AF68-D213F360EFAA}" name="Column8700"/>
    <tableColumn id="8701" xr3:uid="{D06150F8-A027-4F07-8CF4-D69C1AB86AD7}" name="Column8701"/>
    <tableColumn id="8702" xr3:uid="{834FAD7D-DC48-4E61-9B0A-3627DD1A5491}" name="Column8702"/>
    <tableColumn id="8703" xr3:uid="{C3D18A4C-C636-4A6E-9B18-936899072A42}" name="Column8703"/>
    <tableColumn id="8704" xr3:uid="{83D5A68E-DE9F-44E3-AA13-B3A74A66B297}" name="Column8704"/>
    <tableColumn id="8705" xr3:uid="{04FB5B4F-2178-41B5-A87C-A133A630857D}" name="Column8705"/>
    <tableColumn id="8706" xr3:uid="{2C5F8E11-AF4A-482B-9DC3-5FE96E83D859}" name="Column8706"/>
    <tableColumn id="8707" xr3:uid="{FBCC4F57-32D2-4229-947D-BEAA60BB22DE}" name="Column8707"/>
    <tableColumn id="8708" xr3:uid="{8E60C1D5-0ED4-4DAF-A8AA-90438E3BD581}" name="Column8708"/>
    <tableColumn id="8709" xr3:uid="{E26D11E4-11DF-4ED1-8F30-70FF578350DC}" name="Column8709"/>
    <tableColumn id="8710" xr3:uid="{299D2F66-2971-4E0A-B724-8B1B016F4794}" name="Column8710"/>
    <tableColumn id="8711" xr3:uid="{9CE4629F-EE99-441A-8DCF-3BA9FA7304C9}" name="Column8711"/>
    <tableColumn id="8712" xr3:uid="{AB003B38-B229-4135-B600-AD9FEF821967}" name="Column8712"/>
    <tableColumn id="8713" xr3:uid="{3B725BD2-D5DE-45A0-AD40-A3D01EF2AF89}" name="Column8713"/>
    <tableColumn id="8714" xr3:uid="{3722EA02-528F-4903-97C4-BCF1936329E1}" name="Column8714"/>
    <tableColumn id="8715" xr3:uid="{49F884D3-2A3E-4B0D-AFA7-57299F945425}" name="Column8715"/>
    <tableColumn id="8716" xr3:uid="{3286C938-2129-47E2-9C1B-A4BB49FAFBE5}" name="Column8716"/>
    <tableColumn id="8717" xr3:uid="{40C7C927-56FF-4088-84D5-9A8493CC2CBF}" name="Column8717"/>
    <tableColumn id="8718" xr3:uid="{F4C9F7D9-18DB-4A1F-AD87-8B242F266C5B}" name="Column8718"/>
    <tableColumn id="8719" xr3:uid="{29C6ABE3-FADE-4FB7-880F-649D39BC297C}" name="Column8719"/>
    <tableColumn id="8720" xr3:uid="{B29EC7DF-51DD-41D2-AE11-3649D5AB7637}" name="Column8720"/>
    <tableColumn id="8721" xr3:uid="{EF8E26BA-2EA0-4822-9296-F828C72CC881}" name="Column8721"/>
    <tableColumn id="8722" xr3:uid="{38260174-44C8-45AA-99D4-88B6FA7A71D4}" name="Column8722"/>
    <tableColumn id="8723" xr3:uid="{851EFAC0-1EDB-4FD6-88D0-B269D6878D63}" name="Column8723"/>
    <tableColumn id="8724" xr3:uid="{45E069BC-C61D-4063-B6F4-28DD60A47DB7}" name="Column8724"/>
    <tableColumn id="8725" xr3:uid="{A3BE4FC4-41D9-47C6-98D7-FCAF7BC8F391}" name="Column8725"/>
    <tableColumn id="8726" xr3:uid="{D642B88E-9AF1-4C7E-8EE7-F9825151C288}" name="Column8726"/>
    <tableColumn id="8727" xr3:uid="{B7976F5B-DFD6-42F9-81CE-E60D9C639A3D}" name="Column8727"/>
    <tableColumn id="8728" xr3:uid="{EF947932-5D66-415B-8388-2546603C449C}" name="Column8728"/>
    <tableColumn id="8729" xr3:uid="{71B3D3A8-5574-4D83-8B35-230EACCEA6F4}" name="Column8729"/>
    <tableColumn id="8730" xr3:uid="{655BF902-DDD2-4CBC-9810-E2B2DE7D137E}" name="Column8730"/>
    <tableColumn id="8731" xr3:uid="{F1B17A07-63F3-4164-A079-D11BBE85B73A}" name="Column8731"/>
    <tableColumn id="8732" xr3:uid="{FCC9FFBB-A62C-4107-85EF-B19E349A1380}" name="Column8732"/>
    <tableColumn id="8733" xr3:uid="{EE8A0BD2-3A72-49ED-8457-DE42E0AD37DC}" name="Column8733"/>
    <tableColumn id="8734" xr3:uid="{CA2DE941-7467-42DB-81B4-D6D49719F0C7}" name="Column8734"/>
    <tableColumn id="8735" xr3:uid="{B88D154E-9611-4A00-A8A3-F2758C6C255C}" name="Column8735"/>
    <tableColumn id="8736" xr3:uid="{FD1B3EC5-53E9-40DA-AE71-4F1D7CD46640}" name="Column8736"/>
    <tableColumn id="8737" xr3:uid="{920FE9F2-1275-4229-A5C3-4EFF1E620CBD}" name="Column8737"/>
    <tableColumn id="8738" xr3:uid="{7341D496-B1EC-4C60-83B2-70B7A40355F0}" name="Column8738"/>
    <tableColumn id="8739" xr3:uid="{0F9F4412-33F2-47C4-9FF4-00E51F72310A}" name="Column8739"/>
    <tableColumn id="8740" xr3:uid="{221B99F9-1FE5-4C0E-94E9-41F5889FBDF6}" name="Column8740"/>
    <tableColumn id="8741" xr3:uid="{A2CD3D4B-F182-42C4-B30B-2105DC7699AD}" name="Column8741"/>
    <tableColumn id="8742" xr3:uid="{06FA99EC-898E-4C25-9F3D-23DD470A5E09}" name="Column8742"/>
    <tableColumn id="8743" xr3:uid="{F15DC66B-BAA6-4E9A-BBA0-5BCFDEBC2FC0}" name="Column8743"/>
    <tableColumn id="8744" xr3:uid="{BF2AD032-1084-483A-B023-1D20D8BEBC0A}" name="Column8744"/>
    <tableColumn id="8745" xr3:uid="{737E705E-19BC-486E-A94B-382FCCB90F1B}" name="Column8745"/>
    <tableColumn id="8746" xr3:uid="{20ED11A0-32CD-41D7-A5D0-AE85905FBEB5}" name="Column8746"/>
    <tableColumn id="8747" xr3:uid="{3B597A2F-BF8B-48BE-80D4-B9195D86BCDF}" name="Column8747"/>
    <tableColumn id="8748" xr3:uid="{5C9D4E16-D3EC-4E9C-BEC9-EC85EA0741DF}" name="Column8748"/>
    <tableColumn id="8749" xr3:uid="{4F8BB075-ED29-4F4B-B961-C029B0331650}" name="Column8749"/>
    <tableColumn id="8750" xr3:uid="{7983B58D-2C37-40E6-8B5B-BF0B986AA341}" name="Column8750"/>
    <tableColumn id="8751" xr3:uid="{C2FAB75A-DCEF-4900-B22F-26498A4B5EB0}" name="Column8751"/>
    <tableColumn id="8752" xr3:uid="{3C6B40A1-3ADF-443B-AE34-E4D7855FD747}" name="Column8752"/>
    <tableColumn id="8753" xr3:uid="{0FADA400-0FF6-4872-8C51-1075A58B210B}" name="Column8753"/>
    <tableColumn id="8754" xr3:uid="{CEE9CBBB-C768-47FF-99BA-DC57C8356E71}" name="Column8754"/>
    <tableColumn id="8755" xr3:uid="{148517BE-F291-447B-85BC-4E642BE2C65B}" name="Column8755"/>
    <tableColumn id="8756" xr3:uid="{4DC316FE-D2BF-4F19-9E94-28BA9FED52C8}" name="Column8756"/>
    <tableColumn id="8757" xr3:uid="{78B829B7-A7B9-4F36-84D9-6056430503EA}" name="Column8757"/>
    <tableColumn id="8758" xr3:uid="{69BE29CD-B3B2-4BCE-8F63-4927A4D30A84}" name="Column8758"/>
    <tableColumn id="8759" xr3:uid="{30629796-6E3E-4CA6-A084-0DBCF0550FB6}" name="Column8759"/>
    <tableColumn id="8760" xr3:uid="{0C2FA0F0-6E1E-4AE6-B298-BD3B93069DB1}" name="Column8760"/>
    <tableColumn id="8761" xr3:uid="{2C46A3DC-BD94-479E-AD8C-28281A7D7E37}" name="Column8761"/>
    <tableColumn id="8762" xr3:uid="{152AF869-5D90-40F3-9355-F2DF291F4ACF}" name="Column8762"/>
    <tableColumn id="8763" xr3:uid="{6F3C59D6-909E-4E71-BC72-A6DD1FFCA6A6}" name="Column8763"/>
    <tableColumn id="8764" xr3:uid="{D21C323A-8BAA-4E8F-8C4E-8BD6A9550A43}" name="Column8764"/>
    <tableColumn id="8765" xr3:uid="{F71BF48F-597A-4B6A-A64C-7D2A1829F52F}" name="Column8765"/>
    <tableColumn id="8766" xr3:uid="{F3D31E96-3A5F-4338-A19F-1AC858F31909}" name="Column8766"/>
    <tableColumn id="8767" xr3:uid="{45B79F8B-89C8-44CF-BC43-51121010B700}" name="Column8767"/>
    <tableColumn id="8768" xr3:uid="{0020A67F-42B9-4A6E-A060-2B7CDCBA4B0E}" name="Column8768"/>
    <tableColumn id="8769" xr3:uid="{219764F1-CF7F-4901-9A76-BB9557CB8E3A}" name="Column8769"/>
    <tableColumn id="8770" xr3:uid="{E7665A13-5D75-4F4C-88DA-44CA8C38D60A}" name="Column8770"/>
    <tableColumn id="8771" xr3:uid="{66B768C8-31F9-4860-B5D9-DD9359073DE4}" name="Column8771"/>
    <tableColumn id="8772" xr3:uid="{B60B1C58-532D-42B2-9277-30DDE13AC9D8}" name="Column8772"/>
    <tableColumn id="8773" xr3:uid="{08BCDA57-A077-47D6-89C5-C79D4500EF4C}" name="Column8773"/>
    <tableColumn id="8774" xr3:uid="{34C6AD5B-0566-4E0C-BC79-2AEF89824FE7}" name="Column8774"/>
    <tableColumn id="8775" xr3:uid="{C1B49173-70C3-4474-9519-DC0AF76AE80E}" name="Column8775"/>
    <tableColumn id="8776" xr3:uid="{845DDBEB-0F95-4F3D-9154-1B1782FE92DD}" name="Column8776"/>
    <tableColumn id="8777" xr3:uid="{469BBEFE-A9A4-43D0-8D02-D4B82EA00659}" name="Column8777"/>
    <tableColumn id="8778" xr3:uid="{102882EE-D851-4E43-9A58-3920CCE7323A}" name="Column8778"/>
    <tableColumn id="8779" xr3:uid="{FA9BD3BD-85AC-4B7F-8235-401E9D28D861}" name="Column8779"/>
    <tableColumn id="8780" xr3:uid="{32796F6B-DF17-45F6-ADCF-812974407741}" name="Column8780"/>
    <tableColumn id="8781" xr3:uid="{6C254D15-7270-4A2E-8EA1-D6953F6F8004}" name="Column8781"/>
    <tableColumn id="8782" xr3:uid="{1053AD00-4C67-4EC3-B377-4263CFAFE8DD}" name="Column8782"/>
    <tableColumn id="8783" xr3:uid="{4CF09E05-9E6A-4785-BECA-C83243D97B51}" name="Column8783"/>
    <tableColumn id="8784" xr3:uid="{D40A6095-4383-45E9-ADE3-BD904E8A19BE}" name="Column8784"/>
    <tableColumn id="8785" xr3:uid="{06701626-3BB0-429A-846E-0E6DBDD79E1F}" name="Column8785"/>
    <tableColumn id="8786" xr3:uid="{AF403515-DF3C-4D21-AC00-8433665C9352}" name="Column8786"/>
    <tableColumn id="8787" xr3:uid="{BE7C81D8-FBE9-4208-8560-8785013AA8A6}" name="Column8787"/>
    <tableColumn id="8788" xr3:uid="{957548FA-0D28-4FBD-B000-115A61059937}" name="Column8788"/>
    <tableColumn id="8789" xr3:uid="{936F5D98-8D5F-4BBF-99BE-4901EFB3CDEB}" name="Column8789"/>
    <tableColumn id="8790" xr3:uid="{CB0FF191-0A8B-492D-AF59-FB33DF80DB88}" name="Column8790"/>
    <tableColumn id="8791" xr3:uid="{9CCAD5DA-6424-46F9-B5A1-885A2E1C355B}" name="Column8791"/>
    <tableColumn id="8792" xr3:uid="{85D1B03B-8914-4FD9-907F-49648A4AED71}" name="Column8792"/>
    <tableColumn id="8793" xr3:uid="{7824A914-3350-4401-8C3F-E238DCC317D6}" name="Column8793"/>
    <tableColumn id="8794" xr3:uid="{0D7B403B-CD29-436C-A073-82D5B8B0E567}" name="Column8794"/>
    <tableColumn id="8795" xr3:uid="{BB579877-C2B1-44BA-A513-8FA873090ECE}" name="Column8795"/>
    <tableColumn id="8796" xr3:uid="{656B3315-436B-4176-AEF0-9E89447CF56C}" name="Column8796"/>
    <tableColumn id="8797" xr3:uid="{3DDC6524-EF69-4924-AEE3-AB658113FD91}" name="Column8797"/>
    <tableColumn id="8798" xr3:uid="{9DFD46AB-9606-41A8-830C-83A7004AD812}" name="Column8798"/>
    <tableColumn id="8799" xr3:uid="{70B3D37B-7B63-4CEB-9A42-2B07E8053ECE}" name="Column8799"/>
    <tableColumn id="8800" xr3:uid="{81764150-ADBF-45F9-94AA-F0D3AB8B5896}" name="Column8800"/>
    <tableColumn id="8801" xr3:uid="{075FE070-3949-456F-B8DB-EFBFF8AD66E1}" name="Column8801"/>
    <tableColumn id="8802" xr3:uid="{6426B0CF-C8D8-4DAF-8E31-EC3D645DD076}" name="Column8802"/>
    <tableColumn id="8803" xr3:uid="{3151F0BB-328E-4033-8E05-8D4CB81C1BC7}" name="Column8803"/>
    <tableColumn id="8804" xr3:uid="{20CF3376-9AB2-4230-B503-E93BC0A29225}" name="Column8804"/>
    <tableColumn id="8805" xr3:uid="{CA86A077-CF98-486E-8876-B1DBC6FBFE48}" name="Column8805"/>
    <tableColumn id="8806" xr3:uid="{046BD021-8714-43C3-8F40-6BC567C2356D}" name="Column8806"/>
    <tableColumn id="8807" xr3:uid="{D7590C70-2844-49B6-BF66-BB600B5F274A}" name="Column8807"/>
    <tableColumn id="8808" xr3:uid="{17BEC3A2-F4CC-4277-A450-560BAB335101}" name="Column8808"/>
    <tableColumn id="8809" xr3:uid="{0FAC7D71-1F87-4AD6-8F06-5B3EBD5CB190}" name="Column8809"/>
    <tableColumn id="8810" xr3:uid="{5D52A181-2D47-4E40-8130-A5B249B5C0F6}" name="Column8810"/>
    <tableColumn id="8811" xr3:uid="{4F635479-9EF4-428F-9C43-55E0AE860071}" name="Column8811"/>
    <tableColumn id="8812" xr3:uid="{119F9ED2-D7E4-48AB-A61B-A7469D3DC711}" name="Column8812"/>
    <tableColumn id="8813" xr3:uid="{29F40B2A-F44F-47A9-8D62-F877462D82A3}" name="Column8813"/>
    <tableColumn id="8814" xr3:uid="{78EAA6C9-445C-4906-8FE0-E449B50AAA12}" name="Column8814"/>
    <tableColumn id="8815" xr3:uid="{0D61FA2B-6871-4765-9B85-754418709983}" name="Column8815"/>
    <tableColumn id="8816" xr3:uid="{AB9934F0-E36F-457E-8898-36673FC0120A}" name="Column8816"/>
    <tableColumn id="8817" xr3:uid="{D6631926-BE26-4ED7-9D9D-91B3D4CBA5B9}" name="Column8817"/>
    <tableColumn id="8818" xr3:uid="{3A3535FE-4F2A-4736-9A9E-1AA5D1B776F2}" name="Column8818"/>
    <tableColumn id="8819" xr3:uid="{D4A38427-6289-473F-BB1A-AD455A67E7DC}" name="Column8819"/>
    <tableColumn id="8820" xr3:uid="{D0B4FE5B-37DB-41AB-A728-0B2BA78B106E}" name="Column8820"/>
    <tableColumn id="8821" xr3:uid="{6615733F-1209-46CD-8D42-0E986A4F6700}" name="Column8821"/>
    <tableColumn id="8822" xr3:uid="{1410308D-6B5C-4132-B8AE-F2140C440471}" name="Column8822"/>
    <tableColumn id="8823" xr3:uid="{189C2F93-31EE-46F6-A640-411CD53D5C8E}" name="Column8823"/>
    <tableColumn id="8824" xr3:uid="{A18AF244-BD75-4295-90E0-C022637C00F1}" name="Column8824"/>
    <tableColumn id="8825" xr3:uid="{9C51A49B-DF44-4B12-8273-616E6DBFCD4D}" name="Column8825"/>
    <tableColumn id="8826" xr3:uid="{CA02D4C2-ECD0-4A62-8E14-650E703C91F6}" name="Column8826"/>
    <tableColumn id="8827" xr3:uid="{37496FA8-37DB-4D9E-A3E6-9D9CE517F9C0}" name="Column8827"/>
    <tableColumn id="8828" xr3:uid="{FD31A795-7DAC-4178-A962-6D308E08E3BF}" name="Column8828"/>
    <tableColumn id="8829" xr3:uid="{5686D5E6-7892-4D83-8362-216A7CB47766}" name="Column8829"/>
    <tableColumn id="8830" xr3:uid="{07F3EA74-49E2-41C0-A13C-D42CABCCAAFD}" name="Column8830"/>
    <tableColumn id="8831" xr3:uid="{02E6071E-867A-4EA2-8837-A4C7073FDCCC}" name="Column8831"/>
    <tableColumn id="8832" xr3:uid="{A1DE0102-C2AB-45AA-B7CF-78844458089F}" name="Column8832"/>
    <tableColumn id="8833" xr3:uid="{FD8C3458-0676-4287-9D57-5298B67313BA}" name="Column8833"/>
    <tableColumn id="8834" xr3:uid="{9A7F0609-F6BB-4A10-A642-67549EA6F1E1}" name="Column8834"/>
    <tableColumn id="8835" xr3:uid="{08793E0C-E055-4772-9348-8B8E24B49598}" name="Column8835"/>
    <tableColumn id="8836" xr3:uid="{FF8526F9-E7A3-4387-B5E1-A01018BDCE27}" name="Column8836"/>
    <tableColumn id="8837" xr3:uid="{DB26662F-DB2E-42F0-8A14-643B279EFA13}" name="Column8837"/>
    <tableColumn id="8838" xr3:uid="{4C9743AA-FA09-4BE3-ABE0-7435E4EC7D5C}" name="Column8838"/>
    <tableColumn id="8839" xr3:uid="{463E4084-7159-41DF-AEBE-E271F9EA4EDB}" name="Column8839"/>
    <tableColumn id="8840" xr3:uid="{1F44CD3C-938B-4E77-8765-94BE5512629D}" name="Column8840"/>
    <tableColumn id="8841" xr3:uid="{5A53F6AC-4A31-449F-BFA2-8DB63B184802}" name="Column8841"/>
    <tableColumn id="8842" xr3:uid="{999E83E7-76A6-43BB-B36C-652284943B15}" name="Column8842"/>
    <tableColumn id="8843" xr3:uid="{F3E2870A-BD32-41ED-A6B3-9A727763FBBA}" name="Column8843"/>
    <tableColumn id="8844" xr3:uid="{98A23BB7-18E4-4504-BC19-069BB42F608C}" name="Column8844"/>
    <tableColumn id="8845" xr3:uid="{865A2990-92C3-43CF-80C6-FBD5E77D1B2B}" name="Column8845"/>
    <tableColumn id="8846" xr3:uid="{83E10CEF-96DE-42F2-B31F-50C56AEF7A61}" name="Column8846"/>
    <tableColumn id="8847" xr3:uid="{17B2553E-6D6C-4027-8764-DE8FF9B261C1}" name="Column8847"/>
    <tableColumn id="8848" xr3:uid="{52710EBA-5237-4B11-8F4F-EEF0FF22084B}" name="Column8848"/>
    <tableColumn id="8849" xr3:uid="{823A558B-F2AB-4BD2-98F0-4BBC232827B9}" name="Column8849"/>
    <tableColumn id="8850" xr3:uid="{92528B9B-6238-4EAC-BAF6-D7FE403BA4A7}" name="Column8850"/>
    <tableColumn id="8851" xr3:uid="{D17B5748-736D-41B1-BF09-C9B684F46008}" name="Column8851"/>
    <tableColumn id="8852" xr3:uid="{D5EC6645-20AC-46ED-ADD6-C52DF7B4D1B5}" name="Column8852"/>
    <tableColumn id="8853" xr3:uid="{B258893D-DF99-41B2-8724-B0636A18C998}" name="Column8853"/>
    <tableColumn id="8854" xr3:uid="{2755C4B0-B71C-4698-AB93-9ED478B60302}" name="Column8854"/>
    <tableColumn id="8855" xr3:uid="{703D41A0-AFF2-4812-8402-FDA907C29494}" name="Column8855"/>
    <tableColumn id="8856" xr3:uid="{7C58D508-608E-454A-BB7D-19F19CA2B583}" name="Column8856"/>
    <tableColumn id="8857" xr3:uid="{D14F6FE9-A789-4B0F-9FFC-6789F3363BA5}" name="Column8857"/>
    <tableColumn id="8858" xr3:uid="{A14A973C-16F4-4220-ABC7-2C254EBB86A5}" name="Column8858"/>
    <tableColumn id="8859" xr3:uid="{F03C1ED0-3F93-4C51-BE20-784F805E53E4}" name="Column8859"/>
    <tableColumn id="8860" xr3:uid="{B18E896E-AD94-4626-AC9F-980443EE65BA}" name="Column8860"/>
    <tableColumn id="8861" xr3:uid="{D1133180-FFD6-4670-BE8D-FC228AF26F8B}" name="Column8861"/>
    <tableColumn id="8862" xr3:uid="{B2896A37-D779-4546-AF85-D2DC15182B7A}" name="Column8862"/>
    <tableColumn id="8863" xr3:uid="{45DCB16E-C15E-484B-9441-9B2113C1B898}" name="Column8863"/>
    <tableColumn id="8864" xr3:uid="{9B528F03-F6BC-42BC-9EDA-5BC492A3FFA3}" name="Column8864"/>
    <tableColumn id="8865" xr3:uid="{C104EA39-E271-4D30-87AA-C0ACFD9C3EA0}" name="Column8865"/>
    <tableColumn id="8866" xr3:uid="{74D34003-560B-4FAF-AA5C-4A13614480AB}" name="Column8866"/>
    <tableColumn id="8867" xr3:uid="{C86145F7-7C57-4591-A2A1-82FE2860650B}" name="Column8867"/>
    <tableColumn id="8868" xr3:uid="{6CC236A9-403E-4ADD-9401-5783583F3819}" name="Column8868"/>
    <tableColumn id="8869" xr3:uid="{511E9651-D32C-4626-94A5-C537F618E48C}" name="Column8869"/>
    <tableColumn id="8870" xr3:uid="{1AFB5D12-38F8-45CF-B684-EA4DF86DA99B}" name="Column8870"/>
    <tableColumn id="8871" xr3:uid="{8BC8EA29-6F18-4E82-BD4A-D100D9D5960A}" name="Column8871"/>
    <tableColumn id="8872" xr3:uid="{45719E8D-AB61-4287-B49C-7E22FB664DBD}" name="Column8872"/>
    <tableColumn id="8873" xr3:uid="{3059CDE6-1D47-4A4B-9EF2-64DE91BA81B2}" name="Column8873"/>
    <tableColumn id="8874" xr3:uid="{46244D7D-A08B-4039-99ED-6B1609750877}" name="Column8874"/>
    <tableColumn id="8875" xr3:uid="{B32A7E2D-EC32-4A6D-A0C8-56CC932765A7}" name="Column8875"/>
    <tableColumn id="8876" xr3:uid="{67B5ADA4-46C2-43E1-8967-762D10524396}" name="Column8876"/>
    <tableColumn id="8877" xr3:uid="{FF98DB45-2A62-4532-8DF8-CC3BAF851750}" name="Column8877"/>
    <tableColumn id="8878" xr3:uid="{E81BF340-5B95-42A6-927D-FC53B86B563A}" name="Column8878"/>
    <tableColumn id="8879" xr3:uid="{72EA64FF-85C4-4DF5-8627-46D4E588B08A}" name="Column8879"/>
    <tableColumn id="8880" xr3:uid="{1F955966-44AB-43BF-8377-DBF75D3E1CAF}" name="Column8880"/>
    <tableColumn id="8881" xr3:uid="{CCD3E284-3885-4BBA-9650-240DB56B78DA}" name="Column8881"/>
    <tableColumn id="8882" xr3:uid="{2CD38173-A63F-41E2-8394-3CAD947B34C3}" name="Column8882"/>
    <tableColumn id="8883" xr3:uid="{F7A4CDC5-FFD0-4265-83AD-73C598DD6DEA}" name="Column8883"/>
    <tableColumn id="8884" xr3:uid="{6B53C03A-A5E8-4CBA-8DA8-1FB6996D51C1}" name="Column8884"/>
    <tableColumn id="8885" xr3:uid="{CEABC127-CBC7-4ED2-8581-F6720F44DED1}" name="Column8885"/>
    <tableColumn id="8886" xr3:uid="{5A32D05C-F0D0-43BB-9030-AB0719D3C3F4}" name="Column8886"/>
    <tableColumn id="8887" xr3:uid="{72BF8EB3-18A3-4F1A-ACDA-989E360899D7}" name="Column8887"/>
    <tableColumn id="8888" xr3:uid="{CD3E2DA1-4E76-401E-A764-335436A98BC8}" name="Column8888"/>
    <tableColumn id="8889" xr3:uid="{15AE9FC1-3B4C-4ACD-AC50-00FF763D48EB}" name="Column8889"/>
    <tableColumn id="8890" xr3:uid="{B9E85668-9420-44EA-AAA7-031693A813B5}" name="Column8890"/>
    <tableColumn id="8891" xr3:uid="{5D2B408F-8E57-468E-8367-31992F3FAE78}" name="Column8891"/>
    <tableColumn id="8892" xr3:uid="{AA71E7B1-0CC1-4540-B5B7-C9800F90C5C8}" name="Column8892"/>
    <tableColumn id="8893" xr3:uid="{10A65EC0-8585-4679-945B-CAD7CC83BA04}" name="Column8893"/>
    <tableColumn id="8894" xr3:uid="{BE1C15EF-8B34-4203-813F-9D0729B161B2}" name="Column8894"/>
    <tableColumn id="8895" xr3:uid="{E3F1FF5C-7FE4-4E80-A529-D7C1490CBEB8}" name="Column8895"/>
    <tableColumn id="8896" xr3:uid="{7856CF30-9904-46C6-AD31-E310AEEBAC81}" name="Column8896"/>
    <tableColumn id="8897" xr3:uid="{D52B0A2E-8B9C-42B3-BF7D-4D433914F606}" name="Column8897"/>
    <tableColumn id="8898" xr3:uid="{FB45C135-3C6F-48CF-A532-4B255EC2ED7D}" name="Column8898"/>
    <tableColumn id="8899" xr3:uid="{6632DC3C-9667-4308-8BF1-D493D671F935}" name="Column8899"/>
    <tableColumn id="8900" xr3:uid="{AFA70786-E700-49DE-812D-2A9ED726232D}" name="Column8900"/>
    <tableColumn id="8901" xr3:uid="{B3C3395F-49DB-470F-8871-23EBEBB71F03}" name="Column8901"/>
    <tableColumn id="8902" xr3:uid="{4A9C6135-CE3E-4D90-94A8-6A23E5B031E1}" name="Column8902"/>
    <tableColumn id="8903" xr3:uid="{724275ED-A028-4938-AABF-D05034175C03}" name="Column8903"/>
    <tableColumn id="8904" xr3:uid="{5DE2A400-3570-4798-A4E0-FF71B6BD3672}" name="Column8904"/>
    <tableColumn id="8905" xr3:uid="{A43681C1-A336-40DE-8AE2-B5161F99DC87}" name="Column8905"/>
    <tableColumn id="8906" xr3:uid="{56536C90-1D99-40B1-9921-F1796FDEBCB5}" name="Column8906"/>
    <tableColumn id="8907" xr3:uid="{01743211-2959-4008-9EC0-12433A7EBB20}" name="Column8907"/>
    <tableColumn id="8908" xr3:uid="{4C6A3D15-08FE-46AA-92D2-681BBD4822D1}" name="Column8908"/>
    <tableColumn id="8909" xr3:uid="{F43BF540-EE69-49BE-92C3-724701E8B754}" name="Column8909"/>
    <tableColumn id="8910" xr3:uid="{244627FC-4BC1-4E47-9DE5-9681BF3917A5}" name="Column8910"/>
    <tableColumn id="8911" xr3:uid="{34F3FCC3-EB52-408A-8443-79FCCF9D6C78}" name="Column8911"/>
    <tableColumn id="8912" xr3:uid="{0343B036-5549-4451-BEFA-E1382459F39C}" name="Column8912"/>
    <tableColumn id="8913" xr3:uid="{6A5DA987-BD91-4506-9978-2DC5577DD623}" name="Column8913"/>
    <tableColumn id="8914" xr3:uid="{CCCC5770-9F17-4548-BF5D-1676017E2CDD}" name="Column8914"/>
    <tableColumn id="8915" xr3:uid="{A8BF4F03-1200-4508-AE87-2277C7858905}" name="Column8915"/>
    <tableColumn id="8916" xr3:uid="{54D7F081-CD8F-4880-9EEC-D7C3286BD0A8}" name="Column8916"/>
    <tableColumn id="8917" xr3:uid="{848C832D-F83E-4F7F-97CE-F1C493C78B6B}" name="Column8917"/>
    <tableColumn id="8918" xr3:uid="{D247CD6F-F7A6-453D-AB45-6498AA2D4C8E}" name="Column8918"/>
    <tableColumn id="8919" xr3:uid="{5B6131CA-8141-419F-AE26-0A68C7B8A27A}" name="Column8919"/>
    <tableColumn id="8920" xr3:uid="{93B966AE-2CB9-4910-AEFF-9F166FE08830}" name="Column8920"/>
    <tableColumn id="8921" xr3:uid="{860AACF6-86E5-487A-A986-FA04BED18CC2}" name="Column8921"/>
    <tableColumn id="8922" xr3:uid="{ABD0A00B-7F02-464E-AC54-529129A2ED43}" name="Column8922"/>
    <tableColumn id="8923" xr3:uid="{CE92E0AD-2E68-4BAA-8F58-2F5B4C5623AD}" name="Column8923"/>
    <tableColumn id="8924" xr3:uid="{558C836E-ED52-44DC-86CD-0C68A3E98B6A}" name="Column8924"/>
    <tableColumn id="8925" xr3:uid="{C986E3D4-9337-42D3-B4A8-48E94369CEA5}" name="Column8925"/>
    <tableColumn id="8926" xr3:uid="{2945A22F-7639-410F-B6ED-B4C4432B8AC0}" name="Column8926"/>
    <tableColumn id="8927" xr3:uid="{34FB0A59-7EAE-4EDB-AF4A-00100648D08D}" name="Column8927"/>
    <tableColumn id="8928" xr3:uid="{D852DD64-56D3-44E9-8EA1-932DF0E0C439}" name="Column8928"/>
    <tableColumn id="8929" xr3:uid="{0B3FA92D-9B75-42C7-A7B6-4A43A958CEA7}" name="Column8929"/>
    <tableColumn id="8930" xr3:uid="{4D0F5A51-C6F0-433A-8759-6FD2B92157FB}" name="Column8930"/>
    <tableColumn id="8931" xr3:uid="{8B448C77-70DD-49AC-8359-E30B0BD9F87E}" name="Column8931"/>
    <tableColumn id="8932" xr3:uid="{2C6ACB6C-8054-4985-922E-545F09DFCA7E}" name="Column8932"/>
    <tableColumn id="8933" xr3:uid="{FA7A3A69-1D1C-4FA8-B53D-EA15AF6B5B20}" name="Column8933"/>
    <tableColumn id="8934" xr3:uid="{3C74A3A1-F9E3-40B9-8ABD-1496D7B5016F}" name="Column8934"/>
    <tableColumn id="8935" xr3:uid="{C8073C9C-1886-4E71-91A4-B8F31744B4B6}" name="Column8935"/>
    <tableColumn id="8936" xr3:uid="{379D2CD8-7BF2-44E5-92D9-6B256B754DB8}" name="Column8936"/>
    <tableColumn id="8937" xr3:uid="{BB691D8F-769D-4814-AFC6-7ED3551D7B70}" name="Column8937"/>
    <tableColumn id="8938" xr3:uid="{6F3760C7-06E2-4A33-9692-5345E8D71EB0}" name="Column8938"/>
    <tableColumn id="8939" xr3:uid="{C56A6FDC-9B75-4FC8-9A62-EFFDE2D40956}" name="Column8939"/>
    <tableColumn id="8940" xr3:uid="{C8FD3720-95BF-47C2-8C34-CB7ED979883E}" name="Column8940"/>
    <tableColumn id="8941" xr3:uid="{D8121BCE-9F66-4C40-8474-BD4E84E053AD}" name="Column8941"/>
    <tableColumn id="8942" xr3:uid="{881F0DB9-8A37-4244-9E8A-EC23BFD73C6D}" name="Column8942"/>
    <tableColumn id="8943" xr3:uid="{6850A229-8E41-43D4-824E-6E91F15ABC5F}" name="Column8943"/>
    <tableColumn id="8944" xr3:uid="{9CECE61E-2080-421C-AA64-9AF02A52BED1}" name="Column8944"/>
    <tableColumn id="8945" xr3:uid="{E1B16465-9ED5-4DDE-8B14-9F1D55F9245C}" name="Column8945"/>
    <tableColumn id="8946" xr3:uid="{FEA78379-95A3-4DF1-A083-AE4B774B6284}" name="Column8946"/>
    <tableColumn id="8947" xr3:uid="{7658EFC2-B06A-4A61-8DAA-95805FFDB758}" name="Column8947"/>
    <tableColumn id="8948" xr3:uid="{2C5A79DA-42E9-4DD2-9595-55BC644952CF}" name="Column8948"/>
    <tableColumn id="8949" xr3:uid="{5588229D-F474-4A03-AE58-4C90E1787E6A}" name="Column8949"/>
    <tableColumn id="8950" xr3:uid="{32D0467F-D05C-40D8-9660-CB576CAF2BD5}" name="Column8950"/>
    <tableColumn id="8951" xr3:uid="{DC53E464-411B-462A-B3AB-51FFE11786B4}" name="Column8951"/>
    <tableColumn id="8952" xr3:uid="{E5B94F9D-FFE3-474A-B40A-8032844CF66C}" name="Column8952"/>
    <tableColumn id="8953" xr3:uid="{8A4873B3-3B11-478E-A9BA-CBFE5143750C}" name="Column8953"/>
    <tableColumn id="8954" xr3:uid="{9F88C71F-8C91-41A8-AE8A-8E30D11F25AB}" name="Column8954"/>
    <tableColumn id="8955" xr3:uid="{EC3B713B-9B6E-4F9E-9B0A-7EB24DFD8291}" name="Column8955"/>
    <tableColumn id="8956" xr3:uid="{931E98E2-6654-4394-A7C7-48BAC2BEFBDA}" name="Column8956"/>
    <tableColumn id="8957" xr3:uid="{DAE7285F-F33E-4FD7-A287-0277D535BDCB}" name="Column8957"/>
    <tableColumn id="8958" xr3:uid="{B7891C64-9BA9-4C89-815F-00F1D2A3AA00}" name="Column8958"/>
    <tableColumn id="8959" xr3:uid="{A80F555C-DF05-418D-9EF5-5AD3C835F80C}" name="Column8959"/>
    <tableColumn id="8960" xr3:uid="{14C14F28-450B-4741-98D1-B1F9EF86E3F9}" name="Column8960"/>
    <tableColumn id="8961" xr3:uid="{D341DE32-6B8F-47DC-9DCF-E4687E52857F}" name="Column8961"/>
    <tableColumn id="8962" xr3:uid="{DD27EB30-B746-4513-A51B-6D906413E878}" name="Column8962"/>
    <tableColumn id="8963" xr3:uid="{18CB53A6-DA7E-4588-8869-C0CDB7ED4431}" name="Column8963"/>
    <tableColumn id="8964" xr3:uid="{14F4D9F5-7AE9-4F19-B8E0-11DBD4A5E2C5}" name="Column8964"/>
    <tableColumn id="8965" xr3:uid="{9CECC87E-A7C1-4E28-BC9F-4DB183C85A7E}" name="Column8965"/>
    <tableColumn id="8966" xr3:uid="{901C23E8-5B0C-40D1-A855-B93BB4E230A0}" name="Column8966"/>
    <tableColumn id="8967" xr3:uid="{467F6750-9E76-413B-BB1E-B3FCC995DC96}" name="Column8967"/>
    <tableColumn id="8968" xr3:uid="{53487600-E2B9-4226-81DD-AFF38B3B217D}" name="Column8968"/>
    <tableColumn id="8969" xr3:uid="{73599C96-244E-4656-A460-21612BE8896B}" name="Column8969"/>
    <tableColumn id="8970" xr3:uid="{580E5011-5704-43DD-981B-87B21E3B1C1A}" name="Column8970"/>
    <tableColumn id="8971" xr3:uid="{8AB0444A-DDAD-4B22-A86F-E36D01D86ED7}" name="Column8971"/>
    <tableColumn id="8972" xr3:uid="{535F83FB-F142-4995-9E69-F51FEE29E4B5}" name="Column8972"/>
    <tableColumn id="8973" xr3:uid="{D52F426E-6689-4593-BEA6-607DF4498911}" name="Column8973"/>
    <tableColumn id="8974" xr3:uid="{8AB6109F-F164-4849-B4C1-2C428B98729D}" name="Column8974"/>
    <tableColumn id="8975" xr3:uid="{D1061FCB-102A-4FBE-93AC-1B95EB438689}" name="Column8975"/>
    <tableColumn id="8976" xr3:uid="{1469B344-A4A1-47F1-8544-CF001DC74931}" name="Column8976"/>
    <tableColumn id="8977" xr3:uid="{9992FF1A-E893-4A61-B19C-D7B9AE041AC4}" name="Column8977"/>
    <tableColumn id="8978" xr3:uid="{50186736-F6D9-4ADA-8C6E-543689B0A354}" name="Column8978"/>
    <tableColumn id="8979" xr3:uid="{6558D35A-FB94-4009-B4FA-0757B08F65B9}" name="Column8979"/>
    <tableColumn id="8980" xr3:uid="{C641F042-9CBE-496C-841A-DCB31B98CE69}" name="Column8980"/>
    <tableColumn id="8981" xr3:uid="{A3080624-639B-4C30-9CE8-9A8F3C7845F2}" name="Column8981"/>
    <tableColumn id="8982" xr3:uid="{23CC7FB1-B8DA-4EE0-88FE-0182FC045DCA}" name="Column8982"/>
    <tableColumn id="8983" xr3:uid="{6494FFF0-3A55-41AC-A7E8-CAEADB1B8C8C}" name="Column8983"/>
    <tableColumn id="8984" xr3:uid="{94743766-4CD7-499D-AB95-5B977AFFB839}" name="Column8984"/>
    <tableColumn id="8985" xr3:uid="{56F57675-6B09-44DE-B4C3-4B21C79285BE}" name="Column8985"/>
    <tableColumn id="8986" xr3:uid="{2638EF1E-49F2-4E17-A34C-8F41BEE3593B}" name="Column8986"/>
    <tableColumn id="8987" xr3:uid="{6410FC5B-32B5-4688-93C6-D09B1F162E7C}" name="Column8987"/>
    <tableColumn id="8988" xr3:uid="{4E33AB08-DE85-4F3E-9860-3133AFA4B607}" name="Column8988"/>
    <tableColumn id="8989" xr3:uid="{A44AAB60-0F14-461A-81D1-687649E3E258}" name="Column8989"/>
    <tableColumn id="8990" xr3:uid="{7E664AF5-277D-438A-BA69-125A83E468CF}" name="Column8990"/>
    <tableColumn id="8991" xr3:uid="{89D08BD6-01FA-4596-B4A3-3DB6EF6CB386}" name="Column8991"/>
    <tableColumn id="8992" xr3:uid="{24251703-2323-4062-832D-148F12F3FD49}" name="Column8992"/>
    <tableColumn id="8993" xr3:uid="{C4D32A4C-6CD2-4DE2-BFCD-19BE47A3D394}" name="Column8993"/>
    <tableColumn id="8994" xr3:uid="{1AD62728-D5A2-49FB-94EB-CE5E47E8A47F}" name="Column8994"/>
    <tableColumn id="8995" xr3:uid="{9647E95D-A30A-4382-99AB-38A770DB0FDD}" name="Column8995"/>
    <tableColumn id="8996" xr3:uid="{2A2988E6-D26A-4482-9701-7C2ABB2FA2CC}" name="Column8996"/>
    <tableColumn id="8997" xr3:uid="{183C4567-0487-4930-AA6F-590464166769}" name="Column8997"/>
    <tableColumn id="8998" xr3:uid="{0D1F301E-4823-4EA8-BE9E-379E750CFAA5}" name="Column8998"/>
    <tableColumn id="8999" xr3:uid="{30200A5E-ED15-42A4-B07C-0E077CA86738}" name="Column8999"/>
    <tableColumn id="9000" xr3:uid="{A69374D5-DB86-416E-A513-531DF856E9F0}" name="Column9000"/>
    <tableColumn id="9001" xr3:uid="{21FCDD4A-9982-489E-BB7E-8E815F9DCDFE}" name="Column9001"/>
    <tableColumn id="9002" xr3:uid="{3E814AD9-E7A0-456C-A3CC-96E1AD8446FA}" name="Column9002"/>
    <tableColumn id="9003" xr3:uid="{1FDC13E9-4BA0-4D6B-BB21-2C594B1CA663}" name="Column9003"/>
    <tableColumn id="9004" xr3:uid="{11375B62-CE7E-414F-9535-7100F40E7740}" name="Column9004"/>
    <tableColumn id="9005" xr3:uid="{1BC3F9FB-F68D-4864-ABBF-8E170A1CA4B7}" name="Column9005"/>
    <tableColumn id="9006" xr3:uid="{AC3077FE-5810-464E-A2E3-5716929DE71C}" name="Column9006"/>
    <tableColumn id="9007" xr3:uid="{5BA51B99-E443-416E-BEDD-2894C1D4B52D}" name="Column9007"/>
    <tableColumn id="9008" xr3:uid="{88DBD284-287B-4C6E-A24F-C82A9E8B3D71}" name="Column9008"/>
    <tableColumn id="9009" xr3:uid="{AD65767D-598B-4FD5-9AF2-E962766E8A46}" name="Column9009"/>
    <tableColumn id="9010" xr3:uid="{3E154CCD-A95F-4605-AF50-174009A29C99}" name="Column9010"/>
    <tableColumn id="9011" xr3:uid="{818D141F-0B6E-47E7-AE5B-A83572F4DA1B}" name="Column9011"/>
    <tableColumn id="9012" xr3:uid="{E73C848D-40CC-43B8-9022-EC48A06E45A8}" name="Column9012"/>
    <tableColumn id="9013" xr3:uid="{239ED131-86BE-4425-955D-918A16462B3A}" name="Column9013"/>
    <tableColumn id="9014" xr3:uid="{BF44C558-3279-451D-86DF-A1754F86BE5C}" name="Column9014"/>
    <tableColumn id="9015" xr3:uid="{B26DB6A4-345E-4364-AEDA-00FEE08006FA}" name="Column9015"/>
    <tableColumn id="9016" xr3:uid="{32353FEA-D7E3-4E46-99A9-8345F3D81A5D}" name="Column9016"/>
    <tableColumn id="9017" xr3:uid="{7663B1D6-E74D-4070-8B63-6D063238F4C4}" name="Column9017"/>
    <tableColumn id="9018" xr3:uid="{C1C406A6-042A-4DC4-8BDF-68120AE07B58}" name="Column9018"/>
    <tableColumn id="9019" xr3:uid="{08604F73-2177-4D77-989C-AF0EC88F904C}" name="Column9019"/>
    <tableColumn id="9020" xr3:uid="{AF0AA818-693A-4B37-8B5D-358307A9800A}" name="Column9020"/>
    <tableColumn id="9021" xr3:uid="{86B78219-DC39-46B1-9C2E-7CCFF50F02C9}" name="Column9021"/>
    <tableColumn id="9022" xr3:uid="{7E478057-FBC7-450C-BBE9-D9D3946AC6D3}" name="Column9022"/>
    <tableColumn id="9023" xr3:uid="{2F9182E7-54D0-483A-947C-8FF400F6E994}" name="Column9023"/>
    <tableColumn id="9024" xr3:uid="{59601778-5870-438B-957D-7D86EEFE8F22}" name="Column9024"/>
    <tableColumn id="9025" xr3:uid="{E95E70CD-C469-45B0-A454-11E2874C673E}" name="Column9025"/>
    <tableColumn id="9026" xr3:uid="{D84444CF-0D34-4CE5-ACCD-A1555E284E29}" name="Column9026"/>
    <tableColumn id="9027" xr3:uid="{594C0DE4-E343-4688-930C-48D228D55683}" name="Column9027"/>
    <tableColumn id="9028" xr3:uid="{CFCC8D64-EB05-45B0-94F2-05185749D952}" name="Column9028"/>
    <tableColumn id="9029" xr3:uid="{D41E730D-915B-4819-B009-3DA419698535}" name="Column9029"/>
    <tableColumn id="9030" xr3:uid="{CC59199A-84C4-4148-8652-4711515A8CBD}" name="Column9030"/>
    <tableColumn id="9031" xr3:uid="{6A0CC422-C07B-4AF9-A5BE-028DA52AD372}" name="Column9031"/>
    <tableColumn id="9032" xr3:uid="{3B788499-0100-4179-9998-80AA30266301}" name="Column9032"/>
    <tableColumn id="9033" xr3:uid="{CDD28656-B54A-467E-B930-DAE7528A1C15}" name="Column9033"/>
    <tableColumn id="9034" xr3:uid="{292C89B9-84C7-4861-80F3-49B75679047E}" name="Column9034"/>
    <tableColumn id="9035" xr3:uid="{FDCA6FDA-16CA-4584-8F47-4643FC645573}" name="Column9035"/>
    <tableColumn id="9036" xr3:uid="{76362BA7-C595-4C28-93AC-5B30C5DA0570}" name="Column9036"/>
    <tableColumn id="9037" xr3:uid="{E5D763BD-E151-4F21-A9B7-AAC3E9FE7C33}" name="Column9037"/>
    <tableColumn id="9038" xr3:uid="{A0EB985B-8658-457F-891A-4B28B68E6071}" name="Column9038"/>
    <tableColumn id="9039" xr3:uid="{5C5E4F06-07E3-49F3-921E-1214B4E0BDEC}" name="Column9039"/>
    <tableColumn id="9040" xr3:uid="{CFBA0409-F06E-4183-87DA-B2021554A799}" name="Column9040"/>
    <tableColumn id="9041" xr3:uid="{EB30FE6F-6D9B-4216-A110-496B71D1D38B}" name="Column9041"/>
    <tableColumn id="9042" xr3:uid="{6D8A7D5B-A6F5-4485-96B2-22F5C27D1F38}" name="Column9042"/>
    <tableColumn id="9043" xr3:uid="{948B826D-6D39-4469-880E-6583C84AA499}" name="Column9043"/>
    <tableColumn id="9044" xr3:uid="{6678FA37-9D2E-4615-930A-557EA82C9655}" name="Column9044"/>
    <tableColumn id="9045" xr3:uid="{1D8B9B4B-A9EF-4731-BFBC-73B28BAA4C36}" name="Column9045"/>
    <tableColumn id="9046" xr3:uid="{A7E9F6AE-6312-4FC3-98E5-0972E937DC1A}" name="Column9046"/>
    <tableColumn id="9047" xr3:uid="{B44BC930-E3E2-4916-867D-4E474AE0D2EA}" name="Column9047"/>
    <tableColumn id="9048" xr3:uid="{4220F847-5AB0-424A-B583-2707191F8C22}" name="Column9048"/>
    <tableColumn id="9049" xr3:uid="{7FAB7A30-4BE3-423C-B4FE-64BCE7D08DF9}" name="Column9049"/>
    <tableColumn id="9050" xr3:uid="{98A4D526-F558-47E4-A327-AEE49C7DA7CD}" name="Column9050"/>
    <tableColumn id="9051" xr3:uid="{A9C02904-B094-44BA-AB41-A2DFA0EB12E6}" name="Column9051"/>
    <tableColumn id="9052" xr3:uid="{C50CF106-F344-47D0-9D73-4E7CA85946BC}" name="Column9052"/>
    <tableColumn id="9053" xr3:uid="{DD629D81-169D-42E4-85F9-3C33E15022A4}" name="Column9053"/>
    <tableColumn id="9054" xr3:uid="{ED7F6EE3-2847-4975-BB15-353CD3CFB25E}" name="Column9054"/>
    <tableColumn id="9055" xr3:uid="{3CC5B174-CFBF-4834-9403-D97F7DCA5BDE}" name="Column9055"/>
    <tableColumn id="9056" xr3:uid="{ED266383-A2F3-4636-8977-28987701670C}" name="Column9056"/>
    <tableColumn id="9057" xr3:uid="{B4FB42F2-7A3B-41F6-A23A-96430A40ECFB}" name="Column9057"/>
    <tableColumn id="9058" xr3:uid="{0F88A9C0-2B6D-4E9E-B5A7-EC7D17A9CE73}" name="Column9058"/>
    <tableColumn id="9059" xr3:uid="{91A5AAEC-13A8-42DE-827A-0C941CA648E8}" name="Column9059"/>
    <tableColumn id="9060" xr3:uid="{3C200083-E2D9-4147-9B7D-BB9F8033BCAD}" name="Column9060"/>
    <tableColumn id="9061" xr3:uid="{B862FAC0-BE97-4A2B-9794-BFABD0CDBDAF}" name="Column9061"/>
    <tableColumn id="9062" xr3:uid="{3DC0FE50-8FF2-4215-A645-A137055807E1}" name="Column9062"/>
    <tableColumn id="9063" xr3:uid="{1B56936D-EA1C-49C1-A9DA-9510D16E9DE2}" name="Column9063"/>
    <tableColumn id="9064" xr3:uid="{0D8F2518-8BD6-4E23-8710-31515D66C480}" name="Column9064"/>
    <tableColumn id="9065" xr3:uid="{44D82067-0D34-456E-81AC-FF272A222898}" name="Column9065"/>
    <tableColumn id="9066" xr3:uid="{9A661ED1-C674-4B03-A572-3A19866C25BF}" name="Column9066"/>
    <tableColumn id="9067" xr3:uid="{247F1EE9-CFC7-42AA-9199-912804318A8B}" name="Column9067"/>
    <tableColumn id="9068" xr3:uid="{8954CF5B-AF13-4975-9264-2735F8B5098D}" name="Column9068"/>
    <tableColumn id="9069" xr3:uid="{519B5F68-7EF9-40BB-BC16-0BB345E3F979}" name="Column9069"/>
    <tableColumn id="9070" xr3:uid="{CBDFF0D0-F8E9-44BC-BBCF-0A88F5C84714}" name="Column9070"/>
    <tableColumn id="9071" xr3:uid="{BEF203A5-88AE-4083-9CE0-46432685060E}" name="Column9071"/>
    <tableColumn id="9072" xr3:uid="{87E920C9-DCFB-4144-81F3-7986A8D27A11}" name="Column9072"/>
    <tableColumn id="9073" xr3:uid="{475D483E-41C4-4408-AE85-1B67947B6603}" name="Column9073"/>
    <tableColumn id="9074" xr3:uid="{CF715FEF-D260-491B-8E9A-E394CF3AFCF3}" name="Column9074"/>
    <tableColumn id="9075" xr3:uid="{28478F88-8500-47A2-ACFE-65BC08DFCE07}" name="Column9075"/>
    <tableColumn id="9076" xr3:uid="{CB2D395C-7FC8-47B1-B2C0-4C483343D041}" name="Column9076"/>
    <tableColumn id="9077" xr3:uid="{EDFD0138-F03C-4299-BB84-C64DBEDCBA0B}" name="Column9077"/>
    <tableColumn id="9078" xr3:uid="{637F51B8-229E-4D8C-9CF9-1EB8A2168415}" name="Column9078"/>
    <tableColumn id="9079" xr3:uid="{637682C1-0882-45AB-84FC-A08ED301AE8E}" name="Column9079"/>
    <tableColumn id="9080" xr3:uid="{01E91C96-0EB7-4F82-9E88-8C7D74C3BFBE}" name="Column9080"/>
    <tableColumn id="9081" xr3:uid="{E5B04C04-9BAB-4F8A-9C8A-F4BCFD0537C7}" name="Column9081"/>
    <tableColumn id="9082" xr3:uid="{85BE7E67-271E-4479-AA0C-3CAD2C3977C3}" name="Column9082"/>
    <tableColumn id="9083" xr3:uid="{39EDB95B-BFCA-4A37-B0E0-5A28F48E75E1}" name="Column9083"/>
    <tableColumn id="9084" xr3:uid="{B3AC8051-3767-48F6-8E1A-3483B13B6668}" name="Column9084"/>
    <tableColumn id="9085" xr3:uid="{9FA3E75E-61EA-4E14-99AB-FD22C81DED65}" name="Column9085"/>
    <tableColumn id="9086" xr3:uid="{9221713D-D623-41C8-BB11-09979561AF0F}" name="Column9086"/>
    <tableColumn id="9087" xr3:uid="{93BBFBF2-F315-4E32-8839-EB4C62E9A985}" name="Column9087"/>
    <tableColumn id="9088" xr3:uid="{CE58E233-3381-4724-BB67-6BB28460A289}" name="Column9088"/>
    <tableColumn id="9089" xr3:uid="{1DC5215D-BB91-4E16-A6AD-C4DD82CFD60F}" name="Column9089"/>
    <tableColumn id="9090" xr3:uid="{9A0C8FB7-F997-4378-A257-6D86431481DE}" name="Column9090"/>
    <tableColumn id="9091" xr3:uid="{2859D7F1-9AA6-465C-97E2-B842D61D223E}" name="Column9091"/>
    <tableColumn id="9092" xr3:uid="{DBB59F16-D2DE-4059-A7E3-14007E9A6485}" name="Column9092"/>
    <tableColumn id="9093" xr3:uid="{1F97C198-2E90-400C-BC75-D7FDD0ED0735}" name="Column9093"/>
    <tableColumn id="9094" xr3:uid="{DEF2E22C-7229-4A69-AFE3-F5F9E4C00763}" name="Column9094"/>
    <tableColumn id="9095" xr3:uid="{DFC17460-3586-44AF-A817-FB8C26E0C732}" name="Column9095"/>
    <tableColumn id="9096" xr3:uid="{29BBD671-58AB-4330-A6E9-27637DF04253}" name="Column9096"/>
    <tableColumn id="9097" xr3:uid="{113CD4F4-D05B-49F2-969D-ADB9E93CBC02}" name="Column9097"/>
    <tableColumn id="9098" xr3:uid="{062427C3-3E59-40D4-99B2-A1775DD060A2}" name="Column9098"/>
    <tableColumn id="9099" xr3:uid="{72B8FAE8-A4EC-4469-884B-30EBE8185877}" name="Column9099"/>
    <tableColumn id="9100" xr3:uid="{9F1CAC1B-3AA1-46A9-B2B9-15DE6DE7B965}" name="Column9100"/>
    <tableColumn id="9101" xr3:uid="{49BED528-9EC1-4795-B225-C4434B36A89E}" name="Column9101"/>
    <tableColumn id="9102" xr3:uid="{BDE85CDF-F5E8-4512-BDCF-7F6799F6C6A0}" name="Column9102"/>
    <tableColumn id="9103" xr3:uid="{6A32A444-383E-404A-AC0F-1EE195CA0505}" name="Column9103"/>
    <tableColumn id="9104" xr3:uid="{C91C2E56-2B4D-43FD-9992-ABB101188A39}" name="Column9104"/>
    <tableColumn id="9105" xr3:uid="{6355C03C-5EE1-45FB-A925-F9BD8FCCD6D5}" name="Column9105"/>
    <tableColumn id="9106" xr3:uid="{8821467C-D37A-496C-ADB8-1E3B21D26693}" name="Column9106"/>
    <tableColumn id="9107" xr3:uid="{B698AB8E-DD2C-4E07-850A-A14CB6129D1C}" name="Column9107"/>
    <tableColumn id="9108" xr3:uid="{BF0ACA84-52DB-4B75-8C54-73BAD3FC6C51}" name="Column9108"/>
    <tableColumn id="9109" xr3:uid="{9B70EEC8-0CFF-44EE-9ED1-5F0C15BF4C22}" name="Column9109"/>
    <tableColumn id="9110" xr3:uid="{8894C118-FD76-4D1D-9A23-58DFA1199E6D}" name="Column9110"/>
    <tableColumn id="9111" xr3:uid="{F60F73AD-6190-4BA6-B4F7-F6F1DFB2251E}" name="Column9111"/>
    <tableColumn id="9112" xr3:uid="{9EFDDEFC-DCE9-4891-9478-54CA389B968C}" name="Column9112"/>
    <tableColumn id="9113" xr3:uid="{98ADF106-9CA5-431E-826C-DB3EE9AE1D60}" name="Column9113"/>
    <tableColumn id="9114" xr3:uid="{18A4E5BB-7524-45C9-AFBD-0C725F43EC82}" name="Column9114"/>
    <tableColumn id="9115" xr3:uid="{FC6AB15A-40EB-48AD-8E9E-220A269DF2B3}" name="Column9115"/>
    <tableColumn id="9116" xr3:uid="{81CE56AF-5EBE-4E99-A1BB-3D9A5B4AAE58}" name="Column9116"/>
    <tableColumn id="9117" xr3:uid="{8405B58E-DC91-4044-A0D2-A0AA3891DB93}" name="Column9117"/>
    <tableColumn id="9118" xr3:uid="{071ED66E-A348-4C7D-B46C-D5E645F15F3E}" name="Column9118"/>
    <tableColumn id="9119" xr3:uid="{F797543E-B5C8-40FB-8C5C-D83B779D8DB2}" name="Column9119"/>
    <tableColumn id="9120" xr3:uid="{16FAB80D-9470-47F1-BC85-55B0BA4D78A0}" name="Column9120"/>
    <tableColumn id="9121" xr3:uid="{C9C09B54-2495-4709-8C83-28CCA39B665B}" name="Column9121"/>
    <tableColumn id="9122" xr3:uid="{CACE9901-16CF-47BB-BB1D-7B2C691CAFD2}" name="Column9122"/>
    <tableColumn id="9123" xr3:uid="{EC0A7D1C-1F96-4CBE-9C97-F0F252233DE4}" name="Column9123"/>
    <tableColumn id="9124" xr3:uid="{A2588C79-09AB-4C83-B9AF-C69DACBA41A9}" name="Column9124"/>
    <tableColumn id="9125" xr3:uid="{A37FF10D-8390-4D20-975F-CA50B62DEE34}" name="Column9125"/>
    <tableColumn id="9126" xr3:uid="{2BF9F6AC-D65A-479B-9800-D59788811D14}" name="Column9126"/>
    <tableColumn id="9127" xr3:uid="{179C408C-D85F-44A6-B317-F971279B2627}" name="Column9127"/>
    <tableColumn id="9128" xr3:uid="{7D86181F-A043-4D7F-A7B3-18FF0F24047C}" name="Column9128"/>
    <tableColumn id="9129" xr3:uid="{B8681685-F4F4-4FE8-B9D3-69B0AB450784}" name="Column9129"/>
    <tableColumn id="9130" xr3:uid="{B9DFEA83-B568-4BC0-AE7C-358256409F7A}" name="Column9130"/>
    <tableColumn id="9131" xr3:uid="{31CBDA7B-E65F-4968-A2DF-3BFDE3B3A82F}" name="Column9131"/>
    <tableColumn id="9132" xr3:uid="{455FAEA3-1E9C-41F8-9203-1509F8283E53}" name="Column9132"/>
    <tableColumn id="9133" xr3:uid="{22C8955A-B2CF-4445-9BC8-505B380E3A0F}" name="Column9133"/>
    <tableColumn id="9134" xr3:uid="{0EED1019-9491-455B-8580-968D120B89C6}" name="Column9134"/>
    <tableColumn id="9135" xr3:uid="{35D74B9A-E747-4771-8016-CB5C3521E79B}" name="Column9135"/>
    <tableColumn id="9136" xr3:uid="{908FF658-3C29-46A6-8DFD-3476AC7829C7}" name="Column9136"/>
    <tableColumn id="9137" xr3:uid="{15A8755B-7D73-4FD5-85C3-BEDFF13CDD4B}" name="Column9137"/>
    <tableColumn id="9138" xr3:uid="{A64A23F2-65F5-4339-B421-486EED70B69B}" name="Column9138"/>
    <tableColumn id="9139" xr3:uid="{013587E6-E6E2-4FA1-8209-E76F915B15B1}" name="Column9139"/>
    <tableColumn id="9140" xr3:uid="{83F2E2B4-3E66-4D71-B094-880DA17364A0}" name="Column9140"/>
    <tableColumn id="9141" xr3:uid="{55E52F83-1373-4F20-9E41-5B9B6D4140B5}" name="Column9141"/>
    <tableColumn id="9142" xr3:uid="{52C05ACF-923E-48AC-A06A-E51217965BF6}" name="Column9142"/>
    <tableColumn id="9143" xr3:uid="{A54A9EB9-5CEC-4A2C-8A3D-9F4245C0B12E}" name="Column9143"/>
    <tableColumn id="9144" xr3:uid="{8DCD4F92-417F-44B3-ADCA-6712961DBD9D}" name="Column9144"/>
    <tableColumn id="9145" xr3:uid="{864C1BCA-B1B0-4048-B9E7-DF966AE1915B}" name="Column9145"/>
    <tableColumn id="9146" xr3:uid="{B0E8C37F-B17A-4804-943B-D53E5E9A6B8E}" name="Column9146"/>
    <tableColumn id="9147" xr3:uid="{0EA477C8-D1E1-4B71-92EA-423E91934150}" name="Column9147"/>
    <tableColumn id="9148" xr3:uid="{065D1593-27EF-46A9-AC49-CBEF629AFA66}" name="Column9148"/>
    <tableColumn id="9149" xr3:uid="{2DBE80A3-5EC5-406D-9B38-ACEB08533B4A}" name="Column9149"/>
    <tableColumn id="9150" xr3:uid="{900FA4E1-E0AD-4F4D-B4D0-BE5E652DF5F3}" name="Column9150"/>
    <tableColumn id="9151" xr3:uid="{85D11302-052E-4FE0-9C85-08BF48109A0B}" name="Column9151"/>
    <tableColumn id="9152" xr3:uid="{A44920DE-A129-43C4-BAC6-159D845706C7}" name="Column9152"/>
    <tableColumn id="9153" xr3:uid="{7C1A3527-060B-43BD-913B-50B62793A7F7}" name="Column9153"/>
    <tableColumn id="9154" xr3:uid="{5606A36D-30E8-4A54-9CD5-68433297ABEB}" name="Column9154"/>
    <tableColumn id="9155" xr3:uid="{AB6A1960-ECB0-479B-A55C-3179FC2FC882}" name="Column9155"/>
    <tableColumn id="9156" xr3:uid="{F62091D2-8CC1-462D-86F4-73932CC5FD11}" name="Column9156"/>
    <tableColumn id="9157" xr3:uid="{C193152F-6937-4566-A810-B739CA9A2063}" name="Column9157"/>
    <tableColumn id="9158" xr3:uid="{554CE2F7-BBE3-416B-B739-75A6DD61E8F7}" name="Column9158"/>
    <tableColumn id="9159" xr3:uid="{813993CF-CC07-4DC1-B6E9-3E32CFD2B7D1}" name="Column9159"/>
    <tableColumn id="9160" xr3:uid="{D157CC85-BF90-4C13-B011-968735344F9D}" name="Column9160"/>
    <tableColumn id="9161" xr3:uid="{00698A20-15D4-44FF-B90F-F0468FCA316A}" name="Column9161"/>
    <tableColumn id="9162" xr3:uid="{935269F3-6E0D-4108-9C15-95C57611DD22}" name="Column9162"/>
    <tableColumn id="9163" xr3:uid="{2F11D943-B26B-4E1A-8435-DB580248532A}" name="Column9163"/>
    <tableColumn id="9164" xr3:uid="{94F75F39-B385-4E14-BA51-0C539FA19343}" name="Column9164"/>
    <tableColumn id="9165" xr3:uid="{1862521D-284E-41DD-BD55-E74441979737}" name="Column9165"/>
    <tableColumn id="9166" xr3:uid="{83A70F43-472A-4C17-989F-CD4E21C6AB94}" name="Column9166"/>
    <tableColumn id="9167" xr3:uid="{B576EDCE-5A87-4DA7-A8B1-789D4B5D8362}" name="Column9167"/>
    <tableColumn id="9168" xr3:uid="{C467B285-221F-4261-A1B5-E3DA0B63041B}" name="Column9168"/>
    <tableColumn id="9169" xr3:uid="{9F7C2C6D-7762-4D75-9B5B-0E2BEBDCB532}" name="Column9169"/>
    <tableColumn id="9170" xr3:uid="{765A0DA5-BFA8-4AEF-848C-9541D8D3A6EC}" name="Column9170"/>
    <tableColumn id="9171" xr3:uid="{41516EB2-6DA3-4562-B08F-FCF14E9FB260}" name="Column9171"/>
    <tableColumn id="9172" xr3:uid="{53419839-7599-4296-8ADB-A7D5BE92B669}" name="Column9172"/>
    <tableColumn id="9173" xr3:uid="{1CB56A11-E8FB-4FDC-8CBE-0F89DFA8BE8C}" name="Column9173"/>
    <tableColumn id="9174" xr3:uid="{22DB5792-8CE7-4B29-955A-76CE9DFD191B}" name="Column9174"/>
    <tableColumn id="9175" xr3:uid="{59E4D35B-2F9F-4618-9E6F-62D0B73D3A3E}" name="Column9175"/>
    <tableColumn id="9176" xr3:uid="{94E6631D-6F92-40E1-8B02-0B459DEDBAB9}" name="Column9176"/>
    <tableColumn id="9177" xr3:uid="{BE12AE9C-15DF-4E4A-9A87-A523A8C0990E}" name="Column9177"/>
    <tableColumn id="9178" xr3:uid="{8D713405-606A-4512-87E4-33C6662F371D}" name="Column9178"/>
    <tableColumn id="9179" xr3:uid="{1B154E3D-04EA-42EF-BED7-E43D12EDE37B}" name="Column9179"/>
    <tableColumn id="9180" xr3:uid="{9B3B5A6B-164A-4DFC-B9C7-7E559A4073F3}" name="Column9180"/>
    <tableColumn id="9181" xr3:uid="{8EA81C7A-D7A3-4AA5-840A-21E8A577C2B9}" name="Column9181"/>
    <tableColumn id="9182" xr3:uid="{CFD5DC14-A1BE-466D-95C9-58A16255BBE8}" name="Column9182"/>
    <tableColumn id="9183" xr3:uid="{4DDDEBC4-5413-4B91-A9CC-7F9731DD2953}" name="Column9183"/>
    <tableColumn id="9184" xr3:uid="{7C52A4D9-0007-48B9-982D-3F08C499717B}" name="Column9184"/>
    <tableColumn id="9185" xr3:uid="{E433F09A-751C-4DDD-9025-8F87100B9176}" name="Column9185"/>
    <tableColumn id="9186" xr3:uid="{24C3D685-3584-473D-BBA2-C8FE3BF20CEF}" name="Column9186"/>
    <tableColumn id="9187" xr3:uid="{DA55B083-D8DF-4805-9FDA-A18853025BA0}" name="Column9187"/>
    <tableColumn id="9188" xr3:uid="{A7D3316C-87C3-47A8-A1A4-C0201988577E}" name="Column9188"/>
    <tableColumn id="9189" xr3:uid="{0F59B8EB-9AD9-4013-9504-59046B8C175B}" name="Column9189"/>
    <tableColumn id="9190" xr3:uid="{BDC82748-16A7-4EFB-8E4A-4D8EA69954E2}" name="Column9190"/>
    <tableColumn id="9191" xr3:uid="{4F947EA3-8633-4EB5-96E1-C954C493BE35}" name="Column9191"/>
    <tableColumn id="9192" xr3:uid="{C235493A-C3FC-4D3D-9BC9-151DCD9FF475}" name="Column9192"/>
    <tableColumn id="9193" xr3:uid="{792BF8B9-04DC-4DBC-9B35-733A73382E1A}" name="Column9193"/>
    <tableColumn id="9194" xr3:uid="{9D8FEEB9-788D-4D61-B4A4-0E37CA8E1A5B}" name="Column9194"/>
    <tableColumn id="9195" xr3:uid="{E4CB2EE3-AEE7-47DB-BD67-3774BBDD5D6B}" name="Column9195"/>
    <tableColumn id="9196" xr3:uid="{0516C164-869C-4902-AB57-282FF0464515}" name="Column9196"/>
    <tableColumn id="9197" xr3:uid="{7DE8FAAE-15BC-459C-B55F-826EEE0DA105}" name="Column9197"/>
    <tableColumn id="9198" xr3:uid="{43FA8BBE-0A31-4BFF-9455-B1C4E1C0E897}" name="Column9198"/>
    <tableColumn id="9199" xr3:uid="{DC293419-CD11-4E6F-8E34-94ADAC5A1A15}" name="Column9199"/>
    <tableColumn id="9200" xr3:uid="{2FDDB9EA-C5AB-4D10-8F70-F5840A688297}" name="Column9200"/>
    <tableColumn id="9201" xr3:uid="{CBC279BC-A767-41A9-A04B-7194CF257DCD}" name="Column9201"/>
    <tableColumn id="9202" xr3:uid="{F0F1DFC7-507B-4806-BF3C-91A25C275DED}" name="Column9202"/>
    <tableColumn id="9203" xr3:uid="{819AC41A-C1AD-4452-9887-AC917077FD08}" name="Column9203"/>
    <tableColumn id="9204" xr3:uid="{2812C2A4-F605-476A-BC13-89375182D0AC}" name="Column9204"/>
    <tableColumn id="9205" xr3:uid="{F32DEA09-4781-4100-BFDC-30019E3538C5}" name="Column9205"/>
    <tableColumn id="9206" xr3:uid="{2F6DD4D9-C497-4718-ACB6-875D9F936DC0}" name="Column9206"/>
    <tableColumn id="9207" xr3:uid="{0D84E6D3-0E72-472A-BFC5-B7AF80B3C10C}" name="Column9207"/>
    <tableColumn id="9208" xr3:uid="{51ADC7F8-F749-4417-9CA7-581D4B785911}" name="Column9208"/>
    <tableColumn id="9209" xr3:uid="{0E507467-1F9D-4481-B801-31ED27826589}" name="Column9209"/>
    <tableColumn id="9210" xr3:uid="{452EA2D2-6683-4986-8B41-079320FBDBA5}" name="Column9210"/>
    <tableColumn id="9211" xr3:uid="{A9D42360-60B9-4F43-B1EF-AC0004E6B061}" name="Column9211"/>
    <tableColumn id="9212" xr3:uid="{577E5E59-BD36-45C3-B0DF-E474FB6C94D6}" name="Column9212"/>
    <tableColumn id="9213" xr3:uid="{14778536-0761-456D-9503-549572F4168E}" name="Column9213"/>
    <tableColumn id="9214" xr3:uid="{FB400813-FD4F-4393-A29C-B792913A5F7A}" name="Column9214"/>
    <tableColumn id="9215" xr3:uid="{1CE6A14B-C17E-4BD6-A7AC-279DB21B572B}" name="Column9215"/>
    <tableColumn id="9216" xr3:uid="{BAB0F9B4-8A07-4783-9395-36415014889A}" name="Column9216"/>
    <tableColumn id="9217" xr3:uid="{839B5523-2DF0-433C-BF68-97F99943C9E1}" name="Column9217"/>
    <tableColumn id="9218" xr3:uid="{DF7634AD-222F-4B5A-9AA3-55D807EE9E8C}" name="Column9218"/>
    <tableColumn id="9219" xr3:uid="{F196C833-B563-4D02-96BF-CE3E2DF40BC0}" name="Column9219"/>
    <tableColumn id="9220" xr3:uid="{8DD93771-3646-4AA3-85D1-69687641D496}" name="Column9220"/>
    <tableColumn id="9221" xr3:uid="{43BA350B-F962-4A31-9EB5-7639BE83A1F9}" name="Column9221"/>
    <tableColumn id="9222" xr3:uid="{19C02935-AF2E-474E-97B7-9D0D11C52D45}" name="Column9222"/>
    <tableColumn id="9223" xr3:uid="{3737CED8-ECB0-434F-A9DF-EDE75F4D5369}" name="Column9223"/>
    <tableColumn id="9224" xr3:uid="{CE221CBF-2191-4345-B0F9-A6E7D4B43A61}" name="Column9224"/>
    <tableColumn id="9225" xr3:uid="{F13E6570-DF14-41BC-B3DF-7F40CCCE0803}" name="Column9225"/>
    <tableColumn id="9226" xr3:uid="{C8973524-9B29-4A27-B6AF-E49DE7A114A0}" name="Column9226"/>
    <tableColumn id="9227" xr3:uid="{9E4CA870-9AC9-4054-BAC9-4AF18AC79F88}" name="Column9227"/>
    <tableColumn id="9228" xr3:uid="{3A855E72-0F49-44E8-87F7-B7BB55E02599}" name="Column9228"/>
    <tableColumn id="9229" xr3:uid="{8C69925A-3926-4FCC-9F16-B4308943B438}" name="Column9229"/>
    <tableColumn id="9230" xr3:uid="{7B539D4F-D748-4001-A348-64C8091F5AAE}" name="Column9230"/>
    <tableColumn id="9231" xr3:uid="{FA417573-8F56-4614-8332-38454442A5AA}" name="Column9231"/>
    <tableColumn id="9232" xr3:uid="{96231FD7-FBAC-425E-9F74-659DF2918EB3}" name="Column9232"/>
    <tableColumn id="9233" xr3:uid="{B07A3775-6C9F-472F-AD19-2CE15D4568AB}" name="Column9233"/>
    <tableColumn id="9234" xr3:uid="{07511EF4-2228-4F9D-A57B-13F5E16026F7}" name="Column9234"/>
    <tableColumn id="9235" xr3:uid="{378276F9-963E-4E97-A557-FB3E5EF858B7}" name="Column9235"/>
    <tableColumn id="9236" xr3:uid="{F82550D3-008D-4FA6-ADA3-0A99021F850C}" name="Column9236"/>
    <tableColumn id="9237" xr3:uid="{F0B41B98-B99E-45C5-926C-C1B31B4EB4E4}" name="Column9237"/>
    <tableColumn id="9238" xr3:uid="{30BED0C2-D0F9-4DBF-8ABD-A0DA5EE1BABE}" name="Column9238"/>
    <tableColumn id="9239" xr3:uid="{90AF3833-77AF-4560-A57F-9E96AB0F8C2A}" name="Column9239"/>
    <tableColumn id="9240" xr3:uid="{DA7F4F9A-5456-40CE-8BE1-18D8B293F9F7}" name="Column9240"/>
    <tableColumn id="9241" xr3:uid="{FA1E29BE-A255-4126-AF7D-3516CD0814F0}" name="Column9241"/>
    <tableColumn id="9242" xr3:uid="{87D41590-375E-4DFC-8E3D-E09DBA3B2718}" name="Column9242"/>
    <tableColumn id="9243" xr3:uid="{D6343879-FDFE-4DA7-9A16-B0C2A58E319A}" name="Column9243"/>
    <tableColumn id="9244" xr3:uid="{4804B79D-E1A7-4C3A-AB79-7D346D2CC21B}" name="Column9244"/>
    <tableColumn id="9245" xr3:uid="{05E48D9D-5B32-4E0F-9283-45305E875113}" name="Column9245"/>
    <tableColumn id="9246" xr3:uid="{398C68A7-EBF7-4083-BF90-D581E4BBB7F0}" name="Column9246"/>
    <tableColumn id="9247" xr3:uid="{03F5952E-E4E0-40A8-ABB3-70B968D7ECF2}" name="Column9247"/>
    <tableColumn id="9248" xr3:uid="{4254E821-3A84-4D1F-A802-2A48CE251CFB}" name="Column9248"/>
    <tableColumn id="9249" xr3:uid="{038B50C8-F12B-4C84-AD8F-CD1FF2779885}" name="Column9249"/>
    <tableColumn id="9250" xr3:uid="{D055AEE3-6102-410F-8BF4-F51950F95CC0}" name="Column9250"/>
    <tableColumn id="9251" xr3:uid="{EE81B8D3-CEC9-4024-A22A-F87C3E3410F5}" name="Column9251"/>
    <tableColumn id="9252" xr3:uid="{8B1E05BE-7B75-4135-8600-6EC2025A155B}" name="Column9252"/>
    <tableColumn id="9253" xr3:uid="{9D3B3E79-8C1A-4CBC-BC63-F289E1C19DB1}" name="Column9253"/>
    <tableColumn id="9254" xr3:uid="{D8406E5C-F4C0-409D-B0EC-7F5410CF7F94}" name="Column9254"/>
    <tableColumn id="9255" xr3:uid="{D6C32FFA-2091-4B5E-840D-E8235E581749}" name="Column9255"/>
    <tableColumn id="9256" xr3:uid="{55403C8C-CE24-4AA7-AFA8-D02179539D9C}" name="Column9256"/>
    <tableColumn id="9257" xr3:uid="{E272B43E-6AEB-4A87-A8A8-D581A117C21A}" name="Column9257"/>
    <tableColumn id="9258" xr3:uid="{F1A382DF-1ABD-485D-923A-4EFA7E03FBF6}" name="Column9258"/>
    <tableColumn id="9259" xr3:uid="{11F6E346-B2ED-4FD5-972D-E70EA6C4DB8B}" name="Column9259"/>
    <tableColumn id="9260" xr3:uid="{D6950B07-DBE9-4BD3-B404-2E14AEE2451C}" name="Column9260"/>
    <tableColumn id="9261" xr3:uid="{221A272C-B2E3-4E6A-9470-26A7582C7757}" name="Column9261"/>
    <tableColumn id="9262" xr3:uid="{26788127-F281-4934-AFE5-F9ADAD300D44}" name="Column9262"/>
    <tableColumn id="9263" xr3:uid="{CA1E6FAD-7261-4EFB-A063-558742291D8D}" name="Column9263"/>
    <tableColumn id="9264" xr3:uid="{DA3C62F7-1A9D-4805-BDBB-10B68C2DB7F7}" name="Column9264"/>
    <tableColumn id="9265" xr3:uid="{B3B663D9-C38B-4893-9311-BD8594F18941}" name="Column9265"/>
    <tableColumn id="9266" xr3:uid="{A6DFD61D-F990-47DD-8883-3655A0EA4B54}" name="Column9266"/>
    <tableColumn id="9267" xr3:uid="{ED30B3BE-0321-4194-B75A-DE7DD06A05F3}" name="Column9267"/>
    <tableColumn id="9268" xr3:uid="{4D85BC9E-2306-4487-8395-1898CEF551CC}" name="Column9268"/>
    <tableColumn id="9269" xr3:uid="{FC640A37-A5AC-44D3-9178-780904C2EF33}" name="Column9269"/>
    <tableColumn id="9270" xr3:uid="{359971E0-BB18-4F56-932B-D35D960F9455}" name="Column9270"/>
    <tableColumn id="9271" xr3:uid="{FD65F99D-4D04-4EFA-9504-6EB5FA42A53B}" name="Column9271"/>
    <tableColumn id="9272" xr3:uid="{608E1286-2B3A-4F3D-9191-AA6282278313}" name="Column9272"/>
    <tableColumn id="9273" xr3:uid="{60B06ABC-B33E-4DD5-942A-2CC739EBC63B}" name="Column9273"/>
    <tableColumn id="9274" xr3:uid="{1CAD19A9-245E-42BD-A7C1-2D5BD9954873}" name="Column9274"/>
    <tableColumn id="9275" xr3:uid="{C49DF763-129D-423F-92F4-44683F11CDCE}" name="Column9275"/>
    <tableColumn id="9276" xr3:uid="{92C9C1EC-129D-4313-9697-5FF9E9AFF515}" name="Column9276"/>
    <tableColumn id="9277" xr3:uid="{958C6713-E704-4725-9891-BAD02984591A}" name="Column9277"/>
    <tableColumn id="9278" xr3:uid="{22709004-32E3-44D2-978B-038596AB4494}" name="Column9278"/>
    <tableColumn id="9279" xr3:uid="{189D6CE7-79C1-4A78-AE59-15C48C4B5D3C}" name="Column9279"/>
    <tableColumn id="9280" xr3:uid="{6154AE2A-EDB7-40C4-A4DB-89297B65CA2F}" name="Column9280"/>
    <tableColumn id="9281" xr3:uid="{DE51CC1E-D6FC-40EB-92F0-DA5756754EA0}" name="Column9281"/>
    <tableColumn id="9282" xr3:uid="{777C223E-B25B-42DE-9210-9685534F56AC}" name="Column9282"/>
    <tableColumn id="9283" xr3:uid="{831CD88A-CB9F-4BA2-AAD2-C46F09AB6D6C}" name="Column9283"/>
    <tableColumn id="9284" xr3:uid="{CCF03E43-EA66-4CFF-84D3-E8B7075DF601}" name="Column9284"/>
    <tableColumn id="9285" xr3:uid="{BD5877FA-B6C6-4674-AC23-C0ED1CA88759}" name="Column9285"/>
    <tableColumn id="9286" xr3:uid="{EBE8483A-E7B6-4E3D-B1B5-7E4D9D193B10}" name="Column9286"/>
    <tableColumn id="9287" xr3:uid="{030EA952-C5A9-4C96-B995-313D4864EE2B}" name="Column9287"/>
    <tableColumn id="9288" xr3:uid="{8FDE3AE4-56ED-4A2F-87B1-C2119F33F35D}" name="Column9288"/>
    <tableColumn id="9289" xr3:uid="{89D40620-4B4A-4CD1-86DA-C18D09BA8DE8}" name="Column9289"/>
    <tableColumn id="9290" xr3:uid="{E3F145C1-29D1-4FCE-8213-09A8EF796977}" name="Column9290"/>
    <tableColumn id="9291" xr3:uid="{3588D8C7-1590-47AD-A570-7070D51BCE12}" name="Column9291"/>
    <tableColumn id="9292" xr3:uid="{AC21D976-3125-4F20-868C-7219C24663A5}" name="Column9292"/>
    <tableColumn id="9293" xr3:uid="{6F0422BD-E16D-4AD6-8B93-950789831F2D}" name="Column9293"/>
    <tableColumn id="9294" xr3:uid="{4E29CDE3-4B49-4494-8374-9574CF7A5B73}" name="Column9294"/>
    <tableColumn id="9295" xr3:uid="{F94CADA6-D1FB-4FE6-8CE4-610C96A8E945}" name="Column9295"/>
    <tableColumn id="9296" xr3:uid="{F3DFE07D-1A4D-4EC7-8D87-34F909B9B126}" name="Column9296"/>
    <tableColumn id="9297" xr3:uid="{689A7E66-DEE0-44C4-A7D2-A0B34B34069D}" name="Column9297"/>
    <tableColumn id="9298" xr3:uid="{CC6ED7F1-86C5-47FB-9BEE-DAD260214A2B}" name="Column9298"/>
    <tableColumn id="9299" xr3:uid="{49335369-E4AF-4D2F-BACB-1043EF55DA27}" name="Column9299"/>
    <tableColumn id="9300" xr3:uid="{EE17F53D-31C5-443C-BC05-68D891C9D640}" name="Column9300"/>
    <tableColumn id="9301" xr3:uid="{F5B0955A-07A4-4108-9C00-5B6662CE7B66}" name="Column9301"/>
    <tableColumn id="9302" xr3:uid="{46297700-C8E3-4E32-B378-7B7162F102C1}" name="Column9302"/>
    <tableColumn id="9303" xr3:uid="{81AB189B-F4E9-431C-9EF0-375B7454D179}" name="Column9303"/>
    <tableColumn id="9304" xr3:uid="{C69B1F96-5C0E-486C-AB11-5E847265ED63}" name="Column9304"/>
    <tableColumn id="9305" xr3:uid="{B5FFCB40-6CE5-4AA2-A436-6497B1757E73}" name="Column9305"/>
    <tableColumn id="9306" xr3:uid="{B3C6C67D-0A24-4E7C-AC07-B83CABF2F6BA}" name="Column9306"/>
    <tableColumn id="9307" xr3:uid="{BDE48E6E-905E-4504-9C46-98025E3FFD55}" name="Column9307"/>
    <tableColumn id="9308" xr3:uid="{2C1539F2-20E9-4BFD-9BCF-E68EAB8479EF}" name="Column9308"/>
    <tableColumn id="9309" xr3:uid="{33BE6617-816E-487E-9D21-5B6D9AD128D2}" name="Column9309"/>
    <tableColumn id="9310" xr3:uid="{26F0C69B-512C-4469-ACEB-EA07556150EC}" name="Column9310"/>
    <tableColumn id="9311" xr3:uid="{0DB2632E-B11D-4494-90DE-9BD7183312EB}" name="Column9311"/>
    <tableColumn id="9312" xr3:uid="{FD3F650C-6AFF-42BD-B348-C8F95A63D0FB}" name="Column9312"/>
    <tableColumn id="9313" xr3:uid="{FFE3DB4C-F037-416D-A9A6-994DF0AB2047}" name="Column9313"/>
    <tableColumn id="9314" xr3:uid="{123F4327-BD4A-4E04-A94B-A1FD1C5429BA}" name="Column9314"/>
    <tableColumn id="9315" xr3:uid="{15E42950-D2BF-4BAD-A779-7D9DFE9C13F0}" name="Column9315"/>
    <tableColumn id="9316" xr3:uid="{CD372D4C-142D-4B8F-870E-4284DB9FF2B6}" name="Column9316"/>
    <tableColumn id="9317" xr3:uid="{FFD56778-403D-45CB-A54A-E24FEB5B6B01}" name="Column9317"/>
    <tableColumn id="9318" xr3:uid="{18146644-9383-408E-9235-56163BA6878A}" name="Column9318"/>
    <tableColumn id="9319" xr3:uid="{20253A0E-37C8-4CBE-B29B-60FC42EE0ED9}" name="Column9319"/>
    <tableColumn id="9320" xr3:uid="{5DC1D593-ACDA-4784-A1DA-C8F181FAFD1F}" name="Column9320"/>
    <tableColumn id="9321" xr3:uid="{6CA0076E-A8E2-4ADA-8B75-8921749678FC}" name="Column9321"/>
    <tableColumn id="9322" xr3:uid="{758F5C7A-DD16-49C3-B3DC-5AA8C22CF576}" name="Column9322"/>
    <tableColumn id="9323" xr3:uid="{C4FA2E52-8EDE-41DC-AB09-7130B5E5182B}" name="Column9323"/>
    <tableColumn id="9324" xr3:uid="{122A0E0B-DAF6-4DDE-B763-D12180843E18}" name="Column9324"/>
    <tableColumn id="9325" xr3:uid="{A0D7A07E-B475-4DC2-BD9D-37DD51FC5E6A}" name="Column9325"/>
    <tableColumn id="9326" xr3:uid="{CB43C0F0-4CAB-44DB-93E6-105CE33CF111}" name="Column9326"/>
    <tableColumn id="9327" xr3:uid="{C75DE280-3B83-45D6-A6EF-7227B0F695C8}" name="Column9327"/>
    <tableColumn id="9328" xr3:uid="{E94F3148-2EF3-4FF6-90F8-9F56837EEB3A}" name="Column9328"/>
    <tableColumn id="9329" xr3:uid="{DB0B1AD7-23B1-4159-8F8B-6862D162F912}" name="Column9329"/>
    <tableColumn id="9330" xr3:uid="{1E9137A6-19D6-4428-BABE-5FE592240E59}" name="Column9330"/>
    <tableColumn id="9331" xr3:uid="{33B9E5D3-F280-41F9-BAA5-10A2185BE840}" name="Column9331"/>
    <tableColumn id="9332" xr3:uid="{770DAF2B-191F-4B66-8C0E-10F4CEA5DEB5}" name="Column9332"/>
    <tableColumn id="9333" xr3:uid="{FCA636DF-03B8-4CB4-A301-CD3A6E9DA678}" name="Column9333"/>
    <tableColumn id="9334" xr3:uid="{3A2E189B-F20C-4F03-BA83-20BB57A32B32}" name="Column9334"/>
    <tableColumn id="9335" xr3:uid="{97BC1B4D-B339-43D9-94E9-4571DDF7A4DA}" name="Column9335"/>
    <tableColumn id="9336" xr3:uid="{F0D6C956-2517-4984-9662-825DE6F02AB6}" name="Column9336"/>
    <tableColumn id="9337" xr3:uid="{CF73E772-CF19-455D-845A-167F8EF1E630}" name="Column9337"/>
    <tableColumn id="9338" xr3:uid="{4C154215-CB51-4D7A-86BB-D290A13E3F13}" name="Column9338"/>
    <tableColumn id="9339" xr3:uid="{407E145A-7CF8-41B9-866B-CEC7790D00AE}" name="Column9339"/>
    <tableColumn id="9340" xr3:uid="{CD1174A6-4F89-4B22-BA57-B3E52E0B5D2A}" name="Column9340"/>
    <tableColumn id="9341" xr3:uid="{4094D063-D6FF-4004-B600-F439AC9DC362}" name="Column9341"/>
    <tableColumn id="9342" xr3:uid="{5A158214-AE8C-4639-9EE9-49C62306205B}" name="Column9342"/>
    <tableColumn id="9343" xr3:uid="{E79869B5-9516-44FB-A23F-BE5C7E3959F5}" name="Column9343"/>
    <tableColumn id="9344" xr3:uid="{B596E6E1-54CC-4EEB-A5E3-C7262937F393}" name="Column9344"/>
    <tableColumn id="9345" xr3:uid="{6A5247CE-0B33-4B92-92F2-10B32E6ED832}" name="Column9345"/>
    <tableColumn id="9346" xr3:uid="{E4E75461-B900-42C2-B1EF-396ADBA083AD}" name="Column9346"/>
    <tableColumn id="9347" xr3:uid="{04597E98-4B77-447A-A428-3A2B92F3159F}" name="Column9347"/>
    <tableColumn id="9348" xr3:uid="{0195ACC4-E2FE-4D5C-915D-D55F3D401BA1}" name="Column9348"/>
    <tableColumn id="9349" xr3:uid="{3123B763-B74D-444A-8BA5-ECF6AAF7A0FF}" name="Column9349"/>
    <tableColumn id="9350" xr3:uid="{8B637D75-B15A-4217-8F18-559BCE08BB09}" name="Column9350"/>
    <tableColumn id="9351" xr3:uid="{5EB49F9E-ABF5-4F37-A170-03ED11360D00}" name="Column9351"/>
    <tableColumn id="9352" xr3:uid="{BB7B179F-AAF8-4260-AF5A-34BB16DC28CA}" name="Column9352"/>
    <tableColumn id="9353" xr3:uid="{193D3512-031C-4E0B-922D-27A4559F8368}" name="Column9353"/>
    <tableColumn id="9354" xr3:uid="{77D39304-2D64-42D7-98A0-9E26A0F6C048}" name="Column9354"/>
    <tableColumn id="9355" xr3:uid="{F69F237C-6FEE-43EE-A708-CBCDE5A47262}" name="Column9355"/>
    <tableColumn id="9356" xr3:uid="{7D3710A3-A943-48E7-8330-EB0877D9F853}" name="Column9356"/>
    <tableColumn id="9357" xr3:uid="{C69A1139-A479-4558-A323-576A75FFCC47}" name="Column9357"/>
    <tableColumn id="9358" xr3:uid="{050B6452-8C4F-4FF5-B589-DA80EFD31093}" name="Column9358"/>
    <tableColumn id="9359" xr3:uid="{BB33FB2F-48B5-4719-88DD-D137CC282CAC}" name="Column9359"/>
    <tableColumn id="9360" xr3:uid="{219F5927-E14E-4ED5-9053-1AB5BF3A97E9}" name="Column9360"/>
    <tableColumn id="9361" xr3:uid="{6DB60E92-D280-400F-8895-DF8034B3327C}" name="Column9361"/>
    <tableColumn id="9362" xr3:uid="{6CDB112E-A001-4DAE-A3DC-994E3E118771}" name="Column9362"/>
    <tableColumn id="9363" xr3:uid="{E490C44D-5AFF-4DA5-88C1-9C088F687958}" name="Column9363"/>
    <tableColumn id="9364" xr3:uid="{C8279169-7CC4-4A49-B603-B70FDD713858}" name="Column9364"/>
    <tableColumn id="9365" xr3:uid="{106E735E-FC03-4E63-97CB-8927669F31F3}" name="Column9365"/>
    <tableColumn id="9366" xr3:uid="{28013816-0A59-4DD5-8A12-A6092E4E7F66}" name="Column9366"/>
    <tableColumn id="9367" xr3:uid="{72B60DD9-452E-4017-A861-B6DFA4E29AFB}" name="Column9367"/>
    <tableColumn id="9368" xr3:uid="{82537F38-514D-4D4E-A577-DF4A147BF8D2}" name="Column9368"/>
    <tableColumn id="9369" xr3:uid="{4DC9A0CB-597B-47CD-90C6-4D1510CD8D0D}" name="Column9369"/>
    <tableColumn id="9370" xr3:uid="{841EA7C1-922D-4BA0-94BB-A4DD05BEA311}" name="Column9370"/>
    <tableColumn id="9371" xr3:uid="{FADD2243-F098-4C42-819B-0D13F6E4CB79}" name="Column9371"/>
    <tableColumn id="9372" xr3:uid="{F6D4B1D8-C18B-45D9-A7BE-602710C1A1A3}" name="Column9372"/>
    <tableColumn id="9373" xr3:uid="{082F10C7-7D3D-459E-89EB-64A70E6660CF}" name="Column9373"/>
    <tableColumn id="9374" xr3:uid="{D4366B81-5738-4F1A-B3F5-D5A97F5AC22B}" name="Column9374"/>
    <tableColumn id="9375" xr3:uid="{596D43AD-5D21-4FF5-97C9-D72236F6BA3C}" name="Column9375"/>
    <tableColumn id="9376" xr3:uid="{25E0525F-84D8-4D96-B991-9BCC45B89352}" name="Column9376"/>
    <tableColumn id="9377" xr3:uid="{733752B5-CE36-4C84-BE7C-67F01082709A}" name="Column9377"/>
    <tableColumn id="9378" xr3:uid="{585D005B-FA48-4C8C-8369-8D558298AC22}" name="Column9378"/>
    <tableColumn id="9379" xr3:uid="{CE663915-48D8-4E03-BE31-EE2A1A3ED739}" name="Column9379"/>
    <tableColumn id="9380" xr3:uid="{B057CB5B-CBD4-448E-8DE2-717C763F2914}" name="Column9380"/>
    <tableColumn id="9381" xr3:uid="{065C31CE-A4DF-4D29-B17A-D0E6236A9493}" name="Column9381"/>
    <tableColumn id="9382" xr3:uid="{D7549A7B-FC30-47ED-9E10-8319453035C3}" name="Column9382"/>
    <tableColumn id="9383" xr3:uid="{84E6BEBC-75C3-402D-91DB-01ABF475C8FC}" name="Column9383"/>
    <tableColumn id="9384" xr3:uid="{DD6235D7-6A0F-44A0-B3CA-225B69C305C5}" name="Column9384"/>
    <tableColumn id="9385" xr3:uid="{9A158C71-A3C1-4E8B-A996-287A8014EB0E}" name="Column9385"/>
    <tableColumn id="9386" xr3:uid="{3C5656EB-05B8-4065-B195-89108FA1B2C6}" name="Column9386"/>
    <tableColumn id="9387" xr3:uid="{AD75AA7B-A423-4AE5-833C-8E6052C4F207}" name="Column9387"/>
    <tableColumn id="9388" xr3:uid="{836A1906-06EA-4A94-9A2D-1D89958B4875}" name="Column9388"/>
    <tableColumn id="9389" xr3:uid="{14F9F963-7632-418A-93C8-E87F8CD7B496}" name="Column9389"/>
    <tableColumn id="9390" xr3:uid="{334A67CC-DF2F-4570-BDFE-D79AF762992C}" name="Column9390"/>
    <tableColumn id="9391" xr3:uid="{B7AFB022-DAB1-4D60-9B40-AD488223DB4A}" name="Column9391"/>
    <tableColumn id="9392" xr3:uid="{ABC0F526-A418-4825-A626-8AA74970CE2B}" name="Column9392"/>
    <tableColumn id="9393" xr3:uid="{D1BA2270-83CA-4FEF-83D2-00428C15A23C}" name="Column9393"/>
    <tableColumn id="9394" xr3:uid="{956B0E66-E8C2-49A7-ACE7-1C7BD7E996E7}" name="Column9394"/>
    <tableColumn id="9395" xr3:uid="{8ECA5F71-A448-41D9-A5ED-573D360A42B4}" name="Column9395"/>
    <tableColumn id="9396" xr3:uid="{58F4A691-A5BF-4539-BCFF-2012DB79475F}" name="Column9396"/>
    <tableColumn id="9397" xr3:uid="{312CA5C2-F7C8-47FC-A59E-45CE0BFDF31C}" name="Column9397"/>
    <tableColumn id="9398" xr3:uid="{4D437CAB-B283-4139-9717-351C68060AAD}" name="Column9398"/>
    <tableColumn id="9399" xr3:uid="{215D77B7-02F3-46CE-9D3C-9B4E714FE673}" name="Column9399"/>
    <tableColumn id="9400" xr3:uid="{809049DF-E4A7-4D5D-917E-808D2ED623F9}" name="Column9400"/>
    <tableColumn id="9401" xr3:uid="{214D2B77-32E6-4565-BEA5-8EBD7978CF60}" name="Column9401"/>
    <tableColumn id="9402" xr3:uid="{0A61833A-F017-4EFD-8DA8-C4C8F234C813}" name="Column9402"/>
    <tableColumn id="9403" xr3:uid="{3E80268C-F155-4407-AA1F-A48FCEDAFD42}" name="Column9403"/>
    <tableColumn id="9404" xr3:uid="{6F973321-DD87-4A81-8363-7DABCFAB549E}" name="Column9404"/>
    <tableColumn id="9405" xr3:uid="{E72851CB-8799-4255-A051-52F91E339F68}" name="Column9405"/>
    <tableColumn id="9406" xr3:uid="{02998E98-A64F-4B7D-BFFB-917ECD439AB4}" name="Column9406"/>
    <tableColumn id="9407" xr3:uid="{C32009CC-B5E8-418D-B931-49CDC6A09623}" name="Column9407"/>
    <tableColumn id="9408" xr3:uid="{2131277C-FC38-4670-BBA0-65CA53755A8C}" name="Column9408"/>
    <tableColumn id="9409" xr3:uid="{219CE3D6-0AB6-4875-82D2-08BAA7C7F4A9}" name="Column9409"/>
    <tableColumn id="9410" xr3:uid="{E6A13F51-7927-4363-B476-C84FC07847EE}" name="Column9410"/>
    <tableColumn id="9411" xr3:uid="{4491BD06-959B-4313-8145-539CAF6095DE}" name="Column9411"/>
    <tableColumn id="9412" xr3:uid="{4DD6A5FA-DD32-4B19-A7BD-8ACB94C2DA23}" name="Column9412"/>
    <tableColumn id="9413" xr3:uid="{945570FD-3E4C-4225-81AC-315C15E1B522}" name="Column9413"/>
    <tableColumn id="9414" xr3:uid="{6CDF98F9-A0D6-48F9-87AB-6E04113B3B16}" name="Column9414"/>
    <tableColumn id="9415" xr3:uid="{5FF320AD-47E9-4029-B914-8244B0AEE252}" name="Column9415"/>
    <tableColumn id="9416" xr3:uid="{E74F825B-535E-4B2B-85D5-4986B32D8E25}" name="Column9416"/>
    <tableColumn id="9417" xr3:uid="{A283249F-B9D6-4FB1-B865-E0AD21714A82}" name="Column9417"/>
    <tableColumn id="9418" xr3:uid="{9A257BAF-981A-414F-A760-C24C9B39F6A2}" name="Column9418"/>
    <tableColumn id="9419" xr3:uid="{8CF0F114-9269-46B0-8852-39BE88FF0EC6}" name="Column9419"/>
    <tableColumn id="9420" xr3:uid="{C9415127-A89B-4D9C-9745-DD4BC70EE647}" name="Column9420"/>
    <tableColumn id="9421" xr3:uid="{E4832030-DB99-404D-AABB-121B0F8253C0}" name="Column9421"/>
    <tableColumn id="9422" xr3:uid="{3218EA31-E903-4DED-8912-4945CF9B4692}" name="Column9422"/>
    <tableColumn id="9423" xr3:uid="{632AFCDB-332A-45DA-B668-085E88F85F5E}" name="Column9423"/>
    <tableColumn id="9424" xr3:uid="{AEDFEE58-8904-4663-8487-1E6A8AE99520}" name="Column9424"/>
    <tableColumn id="9425" xr3:uid="{6B598E01-5442-4533-AE56-B48E945CBCD8}" name="Column9425"/>
    <tableColumn id="9426" xr3:uid="{20719943-D8EE-4DC5-9CE6-0845E5061D4C}" name="Column9426"/>
    <tableColumn id="9427" xr3:uid="{8C66E8E8-BB89-44BA-8197-3A667F4F6AE3}" name="Column9427"/>
    <tableColumn id="9428" xr3:uid="{181CD499-1E41-4D2C-9A17-3DC649D45D01}" name="Column9428"/>
    <tableColumn id="9429" xr3:uid="{0ACCEF0B-58E7-4244-9D99-97B0ACB8CDFA}" name="Column9429"/>
    <tableColumn id="9430" xr3:uid="{3AB62189-E27E-4A7A-A021-7E9E897E7827}" name="Column9430"/>
    <tableColumn id="9431" xr3:uid="{035D4E56-0E3D-442E-90CD-0321A05D57CB}" name="Column9431"/>
    <tableColumn id="9432" xr3:uid="{6AFE2017-43F7-41A5-9096-6ADDCFB8D1E8}" name="Column9432"/>
    <tableColumn id="9433" xr3:uid="{8E96DD44-59FF-42A4-A0FC-F8156BD6A92A}" name="Column9433"/>
    <tableColumn id="9434" xr3:uid="{2697C39F-3FB3-4B4E-80F7-10611357D172}" name="Column9434"/>
    <tableColumn id="9435" xr3:uid="{A57E3120-3DF8-4371-8983-162A3BFE8D51}" name="Column9435"/>
    <tableColumn id="9436" xr3:uid="{EA4AFC30-9F92-4172-8881-AEB6A168FCBF}" name="Column9436"/>
    <tableColumn id="9437" xr3:uid="{A0B84E40-FCB3-4EB8-8877-8E3D26AE2A06}" name="Column9437"/>
    <tableColumn id="9438" xr3:uid="{1DF7DFCF-A004-4CE1-9F9C-1FE707AA4659}" name="Column9438"/>
    <tableColumn id="9439" xr3:uid="{0BEDEB22-77D8-4CFF-92BE-90CFD370E5A3}" name="Column9439"/>
    <tableColumn id="9440" xr3:uid="{BC7EA94D-0E1E-4960-B992-C74B11727BDE}" name="Column9440"/>
    <tableColumn id="9441" xr3:uid="{83538010-0C9B-43E6-8341-2DDCFC5C7415}" name="Column9441"/>
    <tableColumn id="9442" xr3:uid="{B473E09B-3777-4C1E-B5C4-6EA66E22C25C}" name="Column9442"/>
    <tableColumn id="9443" xr3:uid="{CF3DBB7C-0946-45DD-9A50-244080F385A2}" name="Column9443"/>
    <tableColumn id="9444" xr3:uid="{E87F1F19-D8A2-4B62-83B5-F3A536597C43}" name="Column9444"/>
    <tableColumn id="9445" xr3:uid="{1BB7F3F8-37B5-4092-81A3-4F1E19D5693D}" name="Column9445"/>
    <tableColumn id="9446" xr3:uid="{C7FBA163-902F-4F7D-9092-05D3BE20CC65}" name="Column9446"/>
    <tableColumn id="9447" xr3:uid="{983DC0F6-3D8C-4308-9D38-447CE855B02E}" name="Column9447"/>
    <tableColumn id="9448" xr3:uid="{7395F383-5861-4D19-A157-62F41DE80421}" name="Column9448"/>
    <tableColumn id="9449" xr3:uid="{CC953D2A-EF02-4C06-8F9E-002FB984F89E}" name="Column9449"/>
    <tableColumn id="9450" xr3:uid="{D523E540-9AA1-4553-8609-0AF02860E7ED}" name="Column9450"/>
    <tableColumn id="9451" xr3:uid="{C006ACEB-D9A5-4BB3-B510-5B39F83EA892}" name="Column9451"/>
    <tableColumn id="9452" xr3:uid="{FEB6AF67-BCB4-4D65-93EC-04960CC8E539}" name="Column9452"/>
    <tableColumn id="9453" xr3:uid="{56EAE151-4FA5-42B4-B9FF-D3EA7776B80A}" name="Column9453"/>
    <tableColumn id="9454" xr3:uid="{3720AFF2-C073-4DA4-A577-DF5EF3FC1A78}" name="Column9454"/>
    <tableColumn id="9455" xr3:uid="{A173C789-5A98-4F92-B4AD-37D5A3D2BD3F}" name="Column9455"/>
    <tableColumn id="9456" xr3:uid="{6AE370CD-8EDA-4CF9-A009-67057AF237E2}" name="Column9456"/>
    <tableColumn id="9457" xr3:uid="{316EFFC1-8766-4664-B960-580B34887417}" name="Column9457"/>
    <tableColumn id="9458" xr3:uid="{414B8324-65C3-4EAB-9959-9866CF1F14F3}" name="Column9458"/>
    <tableColumn id="9459" xr3:uid="{682C5BDC-D8FD-431E-BFA3-EC142EE899BB}" name="Column9459"/>
    <tableColumn id="9460" xr3:uid="{24ED11A6-AB13-4297-AE64-CE29F18AD9D8}" name="Column9460"/>
    <tableColumn id="9461" xr3:uid="{F068EF6A-2ED9-49C2-8C88-AB245E0C26AA}" name="Column9461"/>
    <tableColumn id="9462" xr3:uid="{D1B859D5-ECE3-4C83-B1AB-1FEC6662BA43}" name="Column9462"/>
    <tableColumn id="9463" xr3:uid="{CA65CDE8-AF7B-4190-9BF0-B1F523A414F3}" name="Column9463"/>
    <tableColumn id="9464" xr3:uid="{6C18C37B-E068-4B3A-837B-39C97B3FF2FC}" name="Column9464"/>
    <tableColumn id="9465" xr3:uid="{7296A954-F4E8-40E5-85FB-4E0768ECB5D9}" name="Column9465"/>
    <tableColumn id="9466" xr3:uid="{A2FA56C6-50F3-4723-A96E-C84B49D9CBCD}" name="Column9466"/>
    <tableColumn id="9467" xr3:uid="{90394B57-9A6C-4936-AA9C-4FEECD8F6841}" name="Column9467"/>
    <tableColumn id="9468" xr3:uid="{EA865627-77BA-4B64-9A41-B658A1CE02C6}" name="Column9468"/>
    <tableColumn id="9469" xr3:uid="{9D1029FE-D7B6-4806-B979-7F01ABE19D22}" name="Column9469"/>
    <tableColumn id="9470" xr3:uid="{54DB0891-F2B1-48DB-9C4D-6B70F51E7839}" name="Column9470"/>
    <tableColumn id="9471" xr3:uid="{73BC3438-8086-49FE-89C4-E168661D6ECA}" name="Column9471"/>
    <tableColumn id="9472" xr3:uid="{0C7DAFD4-08FE-4705-A1EA-3419CE012494}" name="Column9472"/>
    <tableColumn id="9473" xr3:uid="{EA243093-470A-405B-B8ED-9CF190C68586}" name="Column9473"/>
    <tableColumn id="9474" xr3:uid="{1F0DBAE8-5487-48E0-9AC5-947616EE54C2}" name="Column9474"/>
    <tableColumn id="9475" xr3:uid="{188704C0-5CA1-4332-968B-19539C5960CC}" name="Column9475"/>
    <tableColumn id="9476" xr3:uid="{0D32B2E2-4F73-4AB5-8945-5B4D2735802D}" name="Column9476"/>
    <tableColumn id="9477" xr3:uid="{23826841-4A27-4DF1-8485-62CE864F9AB2}" name="Column9477"/>
    <tableColumn id="9478" xr3:uid="{C01BB20F-92C5-4C5B-98AA-86B7AD78B82A}" name="Column9478"/>
    <tableColumn id="9479" xr3:uid="{3EB362FB-9A53-4B8E-B55D-E312CF4E24C5}" name="Column9479"/>
    <tableColumn id="9480" xr3:uid="{8E0A254D-9F99-488C-93D2-713B3AFDBE40}" name="Column9480"/>
    <tableColumn id="9481" xr3:uid="{3C1F5376-1BDE-4572-A52C-6AD3A971C810}" name="Column9481"/>
    <tableColumn id="9482" xr3:uid="{F3949DA6-F6E0-403F-BD39-DBA0C592129B}" name="Column9482"/>
    <tableColumn id="9483" xr3:uid="{E9E2B748-FE9A-47F8-8E17-2551B5497C38}" name="Column9483"/>
    <tableColumn id="9484" xr3:uid="{74D43229-AD37-4A90-AD54-CE3129C6F23A}" name="Column9484"/>
    <tableColumn id="9485" xr3:uid="{B781AE50-3ADC-4B64-A88A-FCFE6C49FA1A}" name="Column9485"/>
    <tableColumn id="9486" xr3:uid="{308360F4-2FFD-4188-A80D-80F5035C47C2}" name="Column9486"/>
    <tableColumn id="9487" xr3:uid="{DD749840-0C98-45CF-8208-AE53AC9EBEA3}" name="Column9487"/>
    <tableColumn id="9488" xr3:uid="{14CD21B7-4AD8-4E29-B10C-A1EFA367BADE}" name="Column9488"/>
    <tableColumn id="9489" xr3:uid="{540A702E-4AE4-4CFB-ABB5-E415F754DFFE}" name="Column9489"/>
    <tableColumn id="9490" xr3:uid="{4E3F172F-8B04-419D-B8CE-C1F59DB9FA24}" name="Column9490"/>
    <tableColumn id="9491" xr3:uid="{33BD25C4-2627-464E-9C95-2AE82F82E2E4}" name="Column9491"/>
    <tableColumn id="9492" xr3:uid="{98582FC4-F144-43FA-8E14-9A939BC06C24}" name="Column9492"/>
    <tableColumn id="9493" xr3:uid="{9AB65252-BCE8-4D94-BF77-C664CDE9E775}" name="Column9493"/>
    <tableColumn id="9494" xr3:uid="{D698863C-04D4-48FA-BA65-9F2938F7D112}" name="Column9494"/>
    <tableColumn id="9495" xr3:uid="{38DBE30D-7F89-498D-8C58-0F585B5E091A}" name="Column9495"/>
    <tableColumn id="9496" xr3:uid="{E4298E10-B620-4E58-B8FA-3CAAA8D94DE9}" name="Column9496"/>
    <tableColumn id="9497" xr3:uid="{9B55DB5C-D554-40FA-8BAA-0B468203E228}" name="Column9497"/>
    <tableColumn id="9498" xr3:uid="{C061D2AA-136C-448A-B726-02F71149AD4A}" name="Column9498"/>
    <tableColumn id="9499" xr3:uid="{387B3221-7FAF-4D9D-9D37-2A39EB2DEFC3}" name="Column9499"/>
    <tableColumn id="9500" xr3:uid="{A0F59A32-A62C-45FF-980F-E9EAEAB33B9C}" name="Column9500"/>
    <tableColumn id="9501" xr3:uid="{39B72AC1-8574-4CE3-97A2-21B8DAF87EFC}" name="Column9501"/>
    <tableColumn id="9502" xr3:uid="{461E88C7-FB14-4EE5-84BB-962D795CBA02}" name="Column9502"/>
    <tableColumn id="9503" xr3:uid="{3AD67C69-2122-464C-9642-14E7F2639131}" name="Column9503"/>
    <tableColumn id="9504" xr3:uid="{27447EC8-62A1-4975-A367-402798AD1395}" name="Column9504"/>
    <tableColumn id="9505" xr3:uid="{A284BFE8-F97C-4A04-835A-EF3931C903C2}" name="Column9505"/>
    <tableColumn id="9506" xr3:uid="{72534DD9-23D0-4263-AA51-064AE29EC5A0}" name="Column9506"/>
    <tableColumn id="9507" xr3:uid="{9E6D37FD-26AA-4CBC-9A92-B8DA802CEDCA}" name="Column9507"/>
    <tableColumn id="9508" xr3:uid="{52DD74B7-16BB-4D42-A6FE-D46DA3F7D45A}" name="Column9508"/>
    <tableColumn id="9509" xr3:uid="{47A779BA-274B-4216-927D-8E476DCF41B9}" name="Column9509"/>
    <tableColumn id="9510" xr3:uid="{F5E07D49-502D-460D-B7FD-9F5D5F6207E2}" name="Column9510"/>
    <tableColumn id="9511" xr3:uid="{A02630A8-94F7-4F4F-A656-766F1C5C93B9}" name="Column9511"/>
    <tableColumn id="9512" xr3:uid="{E1C55FDB-154D-4E02-BA0B-988A25E3E482}" name="Column9512"/>
    <tableColumn id="9513" xr3:uid="{F6546788-36E9-4A0B-A9D3-5006A9127A17}" name="Column9513"/>
    <tableColumn id="9514" xr3:uid="{E726ABD1-5D7A-49A7-AFB1-AC5D8210F9E5}" name="Column9514"/>
    <tableColumn id="9515" xr3:uid="{05E3BD19-688A-4F27-A657-FCBDE11F25D0}" name="Column9515"/>
    <tableColumn id="9516" xr3:uid="{41A92CEC-09BC-41DC-8F6C-7EEBC55C50A6}" name="Column9516"/>
    <tableColumn id="9517" xr3:uid="{150399F7-1749-4F4F-B81C-8F38BC4143A0}" name="Column9517"/>
    <tableColumn id="9518" xr3:uid="{D0A90566-4FE4-46CB-908B-7529E790EF6F}" name="Column9518"/>
    <tableColumn id="9519" xr3:uid="{C511FEE1-7F47-4BD1-BCA1-20691ED0FA51}" name="Column9519"/>
    <tableColumn id="9520" xr3:uid="{99DA9939-9CE5-40EE-9B21-C3E157CFCACD}" name="Column9520"/>
    <tableColumn id="9521" xr3:uid="{A80CC1CB-78B5-4EBF-B58F-2BD3E81B77BC}" name="Column9521"/>
    <tableColumn id="9522" xr3:uid="{2F40FAAA-0289-4C4D-A6A9-E789FE03142C}" name="Column9522"/>
    <tableColumn id="9523" xr3:uid="{DC0AD9D8-04F9-46F7-8496-0AE3A0E068F0}" name="Column9523"/>
    <tableColumn id="9524" xr3:uid="{5EEAE41F-4E7C-4F03-A750-9718CFF66619}" name="Column9524"/>
    <tableColumn id="9525" xr3:uid="{E3D49708-BA99-408B-9D47-A8770A060281}" name="Column9525"/>
    <tableColumn id="9526" xr3:uid="{169A7A11-8636-46B7-AC5C-DAD02165891B}" name="Column9526"/>
    <tableColumn id="9527" xr3:uid="{D970216C-1D82-4C8E-A290-096A9F57779B}" name="Column9527"/>
    <tableColumn id="9528" xr3:uid="{B0303ADA-B46D-4755-9B75-4299FA2060AB}" name="Column9528"/>
    <tableColumn id="9529" xr3:uid="{F01185F0-F611-440C-AD7D-609A5E3D859F}" name="Column9529"/>
    <tableColumn id="9530" xr3:uid="{21E03CB2-0E3F-4F55-9FFE-786A32DC5B7D}" name="Column9530"/>
    <tableColumn id="9531" xr3:uid="{4A04B4CF-80D4-4CA6-ADB3-53609B422884}" name="Column9531"/>
    <tableColumn id="9532" xr3:uid="{2EFB0A38-C603-4752-86E5-FF6D40F3C6B6}" name="Column9532"/>
    <tableColumn id="9533" xr3:uid="{2DFB936E-FB77-4AE9-B5BB-69013A4E7C7A}" name="Column9533"/>
    <tableColumn id="9534" xr3:uid="{6D1754BC-D40D-49C6-B0D3-44F57862C25A}" name="Column9534"/>
    <tableColumn id="9535" xr3:uid="{D8D3DA91-39BA-4488-8F9B-F808D32AE206}" name="Column9535"/>
    <tableColumn id="9536" xr3:uid="{9BAE5931-55AE-46A5-AD65-0FF44EE8A389}" name="Column9536"/>
    <tableColumn id="9537" xr3:uid="{BA1727DF-797F-442F-885B-008752DEE63D}" name="Column9537"/>
    <tableColumn id="9538" xr3:uid="{6C486E46-42F5-4443-A608-E1ECFE8AD5FA}" name="Column9538"/>
    <tableColumn id="9539" xr3:uid="{2505788E-7BEA-454D-8039-8FA09642F856}" name="Column9539"/>
    <tableColumn id="9540" xr3:uid="{5B549DCE-AA92-40D4-9240-58D977BD7E52}" name="Column9540"/>
    <tableColumn id="9541" xr3:uid="{C5BF4B60-4E5E-417C-9B95-C98CFE605FCD}" name="Column9541"/>
    <tableColumn id="9542" xr3:uid="{589BD8DC-AAE6-421A-9F78-A3A70C33B77D}" name="Column9542"/>
    <tableColumn id="9543" xr3:uid="{0B96CD15-C547-4ACC-8FCB-E4C94271B8A9}" name="Column9543"/>
    <tableColumn id="9544" xr3:uid="{8ED6F068-474F-4167-9216-982658E297B0}" name="Column9544"/>
    <tableColumn id="9545" xr3:uid="{05C29445-5CED-4F6F-9787-E44A334D9B05}" name="Column9545"/>
    <tableColumn id="9546" xr3:uid="{B673D2D3-34E6-47AE-8848-E35E13EAB7B8}" name="Column9546"/>
    <tableColumn id="9547" xr3:uid="{7654DD42-4FF4-4F30-B240-7AE07D7B4B99}" name="Column9547"/>
    <tableColumn id="9548" xr3:uid="{F12B4695-6168-4AB9-AFA6-0E0F3E3128D5}" name="Column9548"/>
    <tableColumn id="9549" xr3:uid="{F888D4EB-8228-49A9-B736-875CD39DD3FE}" name="Column9549"/>
    <tableColumn id="9550" xr3:uid="{D400EF30-F65C-4CE0-8C5D-8B3B9982A4FC}" name="Column9550"/>
    <tableColumn id="9551" xr3:uid="{1544EBBE-8B22-4047-86D7-80A017875FD9}" name="Column9551"/>
    <tableColumn id="9552" xr3:uid="{BEBE4114-5FC2-4438-8623-30743B4A559E}" name="Column9552"/>
    <tableColumn id="9553" xr3:uid="{966D4B98-361C-4D8A-A2A1-164FCC5C1562}" name="Column9553"/>
    <tableColumn id="9554" xr3:uid="{8D4794DA-231E-474C-AF81-6AE855B24699}" name="Column9554"/>
    <tableColumn id="9555" xr3:uid="{DC9E157A-3FDA-49DF-8CDA-0ADC358FA923}" name="Column9555"/>
    <tableColumn id="9556" xr3:uid="{4A3B64BE-34D3-41DA-99B4-BA8B9DD89D96}" name="Column9556"/>
    <tableColumn id="9557" xr3:uid="{7E4E5B7A-03C4-451B-9BF3-C78B685AFB52}" name="Column9557"/>
    <tableColumn id="9558" xr3:uid="{AD197B54-06AF-48A9-B669-A1139CDF612D}" name="Column9558"/>
    <tableColumn id="9559" xr3:uid="{977452E3-1989-437E-9812-B58B2AFBA8E7}" name="Column9559"/>
    <tableColumn id="9560" xr3:uid="{3F4E3962-03BC-439D-9318-A4AACA76CF65}" name="Column9560"/>
    <tableColumn id="9561" xr3:uid="{F701C5E9-B849-403E-A494-6B977475C0DE}" name="Column9561"/>
    <tableColumn id="9562" xr3:uid="{B8B3A5A6-F3B3-4CEA-B7E5-239FA087CE93}" name="Column9562"/>
    <tableColumn id="9563" xr3:uid="{1D8E37BF-27CF-417C-82B3-74308849579C}" name="Column9563"/>
    <tableColumn id="9564" xr3:uid="{771128F9-796F-411A-BFE0-C6182C31FCBA}" name="Column9564"/>
    <tableColumn id="9565" xr3:uid="{E501C3FE-F41C-4CF7-9FFF-F8003C6B5226}" name="Column9565"/>
    <tableColumn id="9566" xr3:uid="{2FCCC3A4-E374-4263-B5B8-46F3523724B7}" name="Column9566"/>
    <tableColumn id="9567" xr3:uid="{F205FA5D-16B1-4A4A-A8DC-5079B7CA3D33}" name="Column9567"/>
    <tableColumn id="9568" xr3:uid="{147A29D4-4063-4A94-A81C-99F4CBA2DB10}" name="Column9568"/>
    <tableColumn id="9569" xr3:uid="{FD658254-0948-41E9-A4F3-EF51D0E6F25A}" name="Column9569"/>
    <tableColumn id="9570" xr3:uid="{10A3EAED-A328-4695-AC21-9B5AB52B0B52}" name="Column9570"/>
    <tableColumn id="9571" xr3:uid="{8229764D-87D4-4939-A742-5FB6A90172DF}" name="Column9571"/>
    <tableColumn id="9572" xr3:uid="{F1B6806B-8C80-4CE6-82DB-55AF4EAC6872}" name="Column9572"/>
    <tableColumn id="9573" xr3:uid="{DD14644A-54CA-4613-A23C-78AE94CAA745}" name="Column9573"/>
    <tableColumn id="9574" xr3:uid="{3D6047DA-4D2B-42FC-AA2B-D22AE551BEEA}" name="Column9574"/>
    <tableColumn id="9575" xr3:uid="{0EA5CF02-CCBD-4FE7-8043-0D90553540FF}" name="Column9575"/>
    <tableColumn id="9576" xr3:uid="{E86C72F6-82EC-4627-A5E2-F9A2F77FAF9E}" name="Column9576"/>
    <tableColumn id="9577" xr3:uid="{C91EFA37-FA4C-4EF6-A27A-C46F22AF070A}" name="Column9577"/>
    <tableColumn id="9578" xr3:uid="{BA58EEC4-BE2E-4C28-90DF-DF2A083D0511}" name="Column9578"/>
    <tableColumn id="9579" xr3:uid="{7A240623-4D05-4ABC-98B5-B1417120BEB5}" name="Column9579"/>
    <tableColumn id="9580" xr3:uid="{3E558E61-36C0-4385-A06B-A0A82AEF0DDE}" name="Column9580"/>
    <tableColumn id="9581" xr3:uid="{4B896D9F-E59A-4F24-AA0D-28C1B9FF6BCF}" name="Column9581"/>
    <tableColumn id="9582" xr3:uid="{862331A4-4324-491D-9BD4-51968869003A}" name="Column9582"/>
    <tableColumn id="9583" xr3:uid="{A3D86D3D-8C0D-4C11-90C2-55A9F6BD2993}" name="Column9583"/>
    <tableColumn id="9584" xr3:uid="{62BA6889-0357-4264-8683-812FE5719D94}" name="Column9584"/>
    <tableColumn id="9585" xr3:uid="{B6FB5AD7-E28D-45C4-8B49-D2C072E76F1B}" name="Column9585"/>
    <tableColumn id="9586" xr3:uid="{2728CF78-958A-4D5F-9867-9E42236236E8}" name="Column9586"/>
    <tableColumn id="9587" xr3:uid="{446FA0F5-A2AB-40A0-8B73-98F6BA4E2FA5}" name="Column9587"/>
    <tableColumn id="9588" xr3:uid="{EC36A8AC-54C6-4778-B913-584698349401}" name="Column9588"/>
    <tableColumn id="9589" xr3:uid="{1CE1DB2C-3B93-427B-9B34-693A9ECA55AD}" name="Column9589"/>
    <tableColumn id="9590" xr3:uid="{93125FF3-ED88-4C38-A03B-763880BBFA2E}" name="Column9590"/>
    <tableColumn id="9591" xr3:uid="{78D0D9B6-FEB4-4BCC-80F6-3EA18034BAA7}" name="Column9591"/>
    <tableColumn id="9592" xr3:uid="{7CF91F99-4A31-45B2-9385-0A9A2675CDCC}" name="Column9592"/>
    <tableColumn id="9593" xr3:uid="{D721FFF3-425D-47E9-B930-B033436D2F75}" name="Column9593"/>
    <tableColumn id="9594" xr3:uid="{D9713798-D093-4245-81C2-BC6F0B8F2467}" name="Column9594"/>
    <tableColumn id="9595" xr3:uid="{8DB9EAF6-798C-441B-B0AC-31259A746E15}" name="Column9595"/>
    <tableColumn id="9596" xr3:uid="{6ACD2465-7527-4C42-B75E-6B0DB65C5446}" name="Column9596"/>
    <tableColumn id="9597" xr3:uid="{E8903A43-8031-4962-90D7-EB5F2DF52E86}" name="Column9597"/>
    <tableColumn id="9598" xr3:uid="{9493911A-A99B-468C-91AA-D0B883F8481C}" name="Column9598"/>
    <tableColumn id="9599" xr3:uid="{09506A3C-6BCA-49C3-A876-9A471B981B13}" name="Column9599"/>
    <tableColumn id="9600" xr3:uid="{CFA15FCF-701C-4CBD-8B01-34618C55178A}" name="Column9600"/>
    <tableColumn id="9601" xr3:uid="{FDF3E8B2-B466-4160-A22B-3173D1D20CD0}" name="Column9601"/>
    <tableColumn id="9602" xr3:uid="{B42EA4F0-0BCA-462D-99D7-E9A3E368B378}" name="Column9602"/>
    <tableColumn id="9603" xr3:uid="{40F2E3FA-41F2-4AD3-B829-7CF05F893337}" name="Column9603"/>
    <tableColumn id="9604" xr3:uid="{B0ADA790-2009-4D31-B382-B47148516D6B}" name="Column9604"/>
    <tableColumn id="9605" xr3:uid="{09ECE5C1-03FD-4608-9F58-09B1510CA007}" name="Column9605"/>
    <tableColumn id="9606" xr3:uid="{52D76103-6970-4093-B62E-0A0399A60AE5}" name="Column9606"/>
    <tableColumn id="9607" xr3:uid="{108C6DD9-B254-4ECE-B65D-7450D198A5AE}" name="Column9607"/>
    <tableColumn id="9608" xr3:uid="{597EC470-4770-4074-9FEE-6F63D6281757}" name="Column9608"/>
    <tableColumn id="9609" xr3:uid="{48548221-B308-443D-879C-B3794D1E4A06}" name="Column9609"/>
    <tableColumn id="9610" xr3:uid="{4AC4DEE7-BC66-417C-BECE-EA8F0567ABD4}" name="Column9610"/>
    <tableColumn id="9611" xr3:uid="{FC55647A-AFA5-4286-A53B-074224FB64FA}" name="Column9611"/>
    <tableColumn id="9612" xr3:uid="{7D5BA937-65B9-4C8C-AEF2-171F88D3F7D9}" name="Column9612"/>
    <tableColumn id="9613" xr3:uid="{243D2C95-448D-435A-A1D1-9AD7C41849EB}" name="Column9613"/>
    <tableColumn id="9614" xr3:uid="{AE1F3C1B-19EA-419C-8876-D4B5D442F0FD}" name="Column9614"/>
    <tableColumn id="9615" xr3:uid="{9F397C87-EDB5-47D6-9125-B99645BC0339}" name="Column9615"/>
    <tableColumn id="9616" xr3:uid="{DB126254-0BE9-4480-93B7-48AE7609A60F}" name="Column9616"/>
    <tableColumn id="9617" xr3:uid="{0BC5A0EA-6F27-4910-85FE-84B7F3757F6D}" name="Column9617"/>
    <tableColumn id="9618" xr3:uid="{802AAF9C-8C9B-4079-82FD-BA04C5D67F89}" name="Column9618"/>
    <tableColumn id="9619" xr3:uid="{6B7FCB9A-7F91-40BE-89AD-3575BCF4D224}" name="Column9619"/>
    <tableColumn id="9620" xr3:uid="{B3BD3B39-BBC4-4A32-A520-D899AB73E515}" name="Column9620"/>
    <tableColumn id="9621" xr3:uid="{09D32FA5-0D67-444D-9BF0-B9375909EDF0}" name="Column9621"/>
    <tableColumn id="9622" xr3:uid="{CE017BAF-70C2-4AE0-9EE4-717BE4E517EE}" name="Column9622"/>
    <tableColumn id="9623" xr3:uid="{901AF02A-570A-46B5-9946-9A34B1864434}" name="Column9623"/>
    <tableColumn id="9624" xr3:uid="{8661A26F-3C88-415F-AFB9-12542F8DE716}" name="Column9624"/>
    <tableColumn id="9625" xr3:uid="{F0BE169C-F7FD-4AA8-B774-DBD7BDFFD2DF}" name="Column9625"/>
    <tableColumn id="9626" xr3:uid="{D106CE20-C6D9-47E7-99C4-5C8F156B6144}" name="Column9626"/>
    <tableColumn id="9627" xr3:uid="{E7C9DF7B-6819-4720-9F85-197CC701E1A4}" name="Column9627"/>
    <tableColumn id="9628" xr3:uid="{32FD764C-3CE6-4DF9-AAD0-FCBFAE4A8849}" name="Column9628"/>
    <tableColumn id="9629" xr3:uid="{A10C35E3-845C-4960-9342-123D6A63B39A}" name="Column9629"/>
    <tableColumn id="9630" xr3:uid="{9F3F85A2-73E8-4DC6-9BFA-0E9E681C7ACB}" name="Column9630"/>
    <tableColumn id="9631" xr3:uid="{D1A97419-522C-48C8-9017-26774DF2896D}" name="Column9631"/>
    <tableColumn id="9632" xr3:uid="{D40BFBDF-EDB6-4B60-95A2-299A361172A4}" name="Column9632"/>
    <tableColumn id="9633" xr3:uid="{67E9E601-F4AC-4D49-BE3E-BEB9469E318B}" name="Column9633"/>
    <tableColumn id="9634" xr3:uid="{461B46FA-E847-4D1F-BD2D-10A59BC2ABD5}" name="Column9634"/>
    <tableColumn id="9635" xr3:uid="{6ADF95F3-176F-4946-8DDC-33CC4652275D}" name="Column9635"/>
    <tableColumn id="9636" xr3:uid="{E84359F1-3713-4132-BA8F-019383570FA7}" name="Column9636"/>
    <tableColumn id="9637" xr3:uid="{C7A73333-AC88-45E5-9A32-FF9319FA25D5}" name="Column9637"/>
    <tableColumn id="9638" xr3:uid="{DD83F038-AF88-4C80-A69D-1979A5A83D8F}" name="Column9638"/>
    <tableColumn id="9639" xr3:uid="{847E7775-1849-44B7-8C16-DA4DD1B0EC35}" name="Column9639"/>
    <tableColumn id="9640" xr3:uid="{29C3D597-7E01-4598-9C14-C54CA76E58DC}" name="Column9640"/>
    <tableColumn id="9641" xr3:uid="{FC23C68E-6F1E-4240-A82D-506EB2BBC5EB}" name="Column9641"/>
    <tableColumn id="9642" xr3:uid="{91F91E23-1F0F-45DF-BFBF-E62521501356}" name="Column9642"/>
    <tableColumn id="9643" xr3:uid="{E3439101-05F0-4E1F-8458-356E5D189211}" name="Column9643"/>
    <tableColumn id="9644" xr3:uid="{FF72D5D7-7D27-4250-B6DE-D33431770361}" name="Column9644"/>
    <tableColumn id="9645" xr3:uid="{96349F4A-DECA-486A-A356-41D80B2069AD}" name="Column9645"/>
    <tableColumn id="9646" xr3:uid="{186C8775-4A29-4F74-9983-6A4D09859E7C}" name="Column9646"/>
    <tableColumn id="9647" xr3:uid="{FD94496A-535F-4748-89B4-D5AEEF645C47}" name="Column9647"/>
    <tableColumn id="9648" xr3:uid="{807B37CF-3615-4F3A-A938-7BC7259F2D43}" name="Column9648"/>
    <tableColumn id="9649" xr3:uid="{1229F686-E098-419F-A9C8-CF60AFCC3A32}" name="Column9649"/>
    <tableColumn id="9650" xr3:uid="{21893511-1DB1-485C-9B92-BF6F7220E9C9}" name="Column9650"/>
    <tableColumn id="9651" xr3:uid="{CBA4D9B4-60DD-425C-A013-774DD803CF87}" name="Column9651"/>
    <tableColumn id="9652" xr3:uid="{5A8364AC-3F34-4151-81FB-086A48FFDA18}" name="Column9652"/>
    <tableColumn id="9653" xr3:uid="{5ADF4C8B-B8DE-473C-8013-A0545284FFDE}" name="Column9653"/>
    <tableColumn id="9654" xr3:uid="{94303712-561B-4CC2-BCDA-1479FC0F4787}" name="Column9654"/>
    <tableColumn id="9655" xr3:uid="{0CB5D3FD-2D8E-4F6E-8248-4687CE92D494}" name="Column9655"/>
    <tableColumn id="9656" xr3:uid="{24A095E4-4D76-45DA-84DF-59BC3D1CE50B}" name="Column9656"/>
    <tableColumn id="9657" xr3:uid="{88EC2E83-D235-45E8-8604-9070C9ADEBE4}" name="Column9657"/>
    <tableColumn id="9658" xr3:uid="{17FF18D7-8461-4915-84B4-9FE83F81C929}" name="Column9658"/>
    <tableColumn id="9659" xr3:uid="{4D57ED52-6344-47F2-86BB-8314742C6072}" name="Column9659"/>
    <tableColumn id="9660" xr3:uid="{696EF11B-2B30-4B68-83AD-39DAA2835034}" name="Column9660"/>
    <tableColumn id="9661" xr3:uid="{9F0A7C1D-3A4C-4F6D-82D5-178B0268D509}" name="Column9661"/>
    <tableColumn id="9662" xr3:uid="{E4407FD1-359A-4FEE-8A49-BFADCDD076BF}" name="Column9662"/>
    <tableColumn id="9663" xr3:uid="{85B9BF17-05B2-4B14-9A33-851344F7B1F1}" name="Column9663"/>
    <tableColumn id="9664" xr3:uid="{32C85C14-6332-48EB-95BF-50565A597E7E}" name="Column9664"/>
    <tableColumn id="9665" xr3:uid="{ECC9A314-2FAD-4A69-AC41-BB7CBBD8F519}" name="Column9665"/>
    <tableColumn id="9666" xr3:uid="{51018596-ECA0-4B4C-8C03-D5463850BBC7}" name="Column9666"/>
    <tableColumn id="9667" xr3:uid="{4DF05D55-80D2-441D-B038-501894DF5594}" name="Column9667"/>
    <tableColumn id="9668" xr3:uid="{D9AF42E5-2718-4013-A80F-593DE733771B}" name="Column9668"/>
    <tableColumn id="9669" xr3:uid="{FC1A457F-2E56-43FB-B19B-1C4AB88F8E9E}" name="Column9669"/>
    <tableColumn id="9670" xr3:uid="{5816472D-C9E9-4690-AEA7-FF8C43AAF501}" name="Column9670"/>
    <tableColumn id="9671" xr3:uid="{A64AFF5C-27BF-4ECA-AAE2-0AED4F681F53}" name="Column9671"/>
    <tableColumn id="9672" xr3:uid="{704AADD9-0315-4B70-B467-0D09D053311D}" name="Column9672"/>
    <tableColumn id="9673" xr3:uid="{23C8F267-3CB5-4F86-A4FE-1FB12C737CFE}" name="Column9673"/>
    <tableColumn id="9674" xr3:uid="{DAB59000-08BF-4767-B92F-116EC3CB68F3}" name="Column9674"/>
    <tableColumn id="9675" xr3:uid="{3F838A19-883F-44AE-8516-CD414E605C88}" name="Column9675"/>
    <tableColumn id="9676" xr3:uid="{0371E270-CFDE-4FCE-A8D9-B86A42211C4C}" name="Column9676"/>
    <tableColumn id="9677" xr3:uid="{4C07A807-97C6-4F6B-9FF3-2AB6F612EA51}" name="Column9677"/>
    <tableColumn id="9678" xr3:uid="{A1A96528-550C-42A8-AFF1-BB43174BB58C}" name="Column9678"/>
    <tableColumn id="9679" xr3:uid="{D8D98D77-9A35-4EA0-A452-45398330747E}" name="Column9679"/>
    <tableColumn id="9680" xr3:uid="{9F885ECD-9AE7-4195-BC3F-903012277BE4}" name="Column9680"/>
    <tableColumn id="9681" xr3:uid="{A04C2A17-BBE0-41F4-BA51-93627F10D42F}" name="Column9681"/>
    <tableColumn id="9682" xr3:uid="{F91EAFC4-8318-4668-AC33-0F03E0D8FC2D}" name="Column9682"/>
    <tableColumn id="9683" xr3:uid="{C6202E1C-CC75-4C03-82CB-838BECC261FF}" name="Column9683"/>
    <tableColumn id="9684" xr3:uid="{7744E6E8-4B21-415E-B995-88C892578A69}" name="Column9684"/>
    <tableColumn id="9685" xr3:uid="{AEC705AF-A878-4386-8366-230BEFCD5EB7}" name="Column9685"/>
    <tableColumn id="9686" xr3:uid="{41B6782B-A961-4EDC-B7DD-D62028D2E96A}" name="Column9686"/>
    <tableColumn id="9687" xr3:uid="{A55A220F-E3D0-4FEA-839F-BAE5F90A33C6}" name="Column9687"/>
    <tableColumn id="9688" xr3:uid="{8D685E41-1B45-4319-8ABA-45D934AB9694}" name="Column9688"/>
    <tableColumn id="9689" xr3:uid="{D43E37A3-D52F-4751-BBBC-5F2A0A0BEB78}" name="Column9689"/>
    <tableColumn id="9690" xr3:uid="{F6C8750C-5EAC-4F95-8ED2-389AC2A8144C}" name="Column9690"/>
    <tableColumn id="9691" xr3:uid="{A7FB5DE4-AE4D-456D-AC87-85991BEF55D7}" name="Column9691"/>
    <tableColumn id="9692" xr3:uid="{2E04895C-0B48-4DF3-86F2-A04CB17B56DF}" name="Column9692"/>
    <tableColumn id="9693" xr3:uid="{8D4C7A76-640F-4D12-B11A-1A0CBBB2E7E2}" name="Column9693"/>
    <tableColumn id="9694" xr3:uid="{53E54772-0646-4971-AEA7-8D8A2BD7BCC5}" name="Column9694"/>
    <tableColumn id="9695" xr3:uid="{D85BE877-6F0A-4ABF-B3F5-17AEE7A084BB}" name="Column9695"/>
    <tableColumn id="9696" xr3:uid="{FAE0D8B6-E657-431B-998C-7242C8FC9CD8}" name="Column9696"/>
    <tableColumn id="9697" xr3:uid="{2058C106-348A-4962-AD75-0A453BA5643C}" name="Column9697"/>
    <tableColumn id="9698" xr3:uid="{5A60843C-5338-41A3-96D3-D3678BD51EBD}" name="Column9698"/>
    <tableColumn id="9699" xr3:uid="{07484B68-0561-4B15-9DA6-8DADE29995A2}" name="Column9699"/>
    <tableColumn id="9700" xr3:uid="{29B3CC1D-D68E-452A-809C-4BFA3CDFB0EA}" name="Column9700"/>
    <tableColumn id="9701" xr3:uid="{92CA35AF-61EF-4B67-9FF0-E29FE65C8770}" name="Column9701"/>
    <tableColumn id="9702" xr3:uid="{75E30F14-B479-45D6-97A2-8A42A0C5684F}" name="Column9702"/>
    <tableColumn id="9703" xr3:uid="{5F4A54A0-DA6C-49DB-AAC8-6E80F43DADA0}" name="Column9703"/>
    <tableColumn id="9704" xr3:uid="{FA8F2CB1-8577-44E8-B031-237FFD8EB76A}" name="Column9704"/>
    <tableColumn id="9705" xr3:uid="{DFF87917-BE99-4ED8-8492-07B68435BB98}" name="Column9705"/>
    <tableColumn id="9706" xr3:uid="{DD480711-C93C-4989-A236-08EA8995A077}" name="Column9706"/>
    <tableColumn id="9707" xr3:uid="{D3CD99A0-407D-4AEB-BBEC-261EFDA679BD}" name="Column9707"/>
    <tableColumn id="9708" xr3:uid="{EEAAEA61-2A6A-4C94-9477-4D32896AC1DF}" name="Column9708"/>
    <tableColumn id="9709" xr3:uid="{645178A8-1B3F-404A-B9C5-60348A16C8CE}" name="Column9709"/>
    <tableColumn id="9710" xr3:uid="{D70ABA72-0701-4622-B772-07D6CDE6309B}" name="Column9710"/>
    <tableColumn id="9711" xr3:uid="{E6551D90-BB12-48E1-8581-AC844F039E35}" name="Column9711"/>
    <tableColumn id="9712" xr3:uid="{CC99AB9D-7269-48F2-8F34-9133CF474FBA}" name="Column9712"/>
    <tableColumn id="9713" xr3:uid="{8447D510-831B-47C2-9B22-99C4AA82E713}" name="Column9713"/>
    <tableColumn id="9714" xr3:uid="{E1A8FF5F-67BC-47EF-82EA-D908B3057B14}" name="Column9714"/>
    <tableColumn id="9715" xr3:uid="{8E01A075-63EE-414D-87D8-EFD5969ACF0C}" name="Column9715"/>
    <tableColumn id="9716" xr3:uid="{9EF44061-8267-4B8A-A483-1A4E7A6310CA}" name="Column9716"/>
    <tableColumn id="9717" xr3:uid="{8E9A5C02-F71B-4A4B-AA1C-956DCC6CACB7}" name="Column9717"/>
    <tableColumn id="9718" xr3:uid="{CA39F64E-F0A9-43BB-B2E7-B4FB7318829A}" name="Column9718"/>
    <tableColumn id="9719" xr3:uid="{908BAAA3-E738-4224-B6A7-A6818048ACB4}" name="Column9719"/>
    <tableColumn id="9720" xr3:uid="{F7E7EA2A-E412-4542-85F6-2097DB9927F5}" name="Column9720"/>
    <tableColumn id="9721" xr3:uid="{48557C8F-8FED-4673-8037-105F091EB9F8}" name="Column9721"/>
    <tableColumn id="9722" xr3:uid="{541CCB96-3C12-4512-9FD2-0E0CE88A436B}" name="Column9722"/>
    <tableColumn id="9723" xr3:uid="{990A1F67-2EE1-4DDE-9739-F0C1350603D3}" name="Column9723"/>
    <tableColumn id="9724" xr3:uid="{34103142-F4B3-4E23-8C84-3591D94144C8}" name="Column9724"/>
    <tableColumn id="9725" xr3:uid="{0FC5D0D1-61B0-4321-B1D4-0BE68B29473A}" name="Column9725"/>
    <tableColumn id="9726" xr3:uid="{FBCD5276-D9B4-4DDC-A4E7-2A3706F0C6F6}" name="Column9726"/>
    <tableColumn id="9727" xr3:uid="{5C339F47-B99D-4529-B711-AEDE0D554ACA}" name="Column9727"/>
    <tableColumn id="9728" xr3:uid="{91C27613-5BF9-440F-B524-B46F2EFA66CD}" name="Column9728"/>
    <tableColumn id="9729" xr3:uid="{1439F1EA-D722-470D-943B-F097734EA890}" name="Column9729"/>
    <tableColumn id="9730" xr3:uid="{0BEE6940-2D4C-4C31-86D8-572629FD3ED2}" name="Column9730"/>
    <tableColumn id="9731" xr3:uid="{B7440960-69C5-44A1-8E3D-8ADDFCEF3E74}" name="Column9731"/>
    <tableColumn id="9732" xr3:uid="{C855805E-BB98-4E89-ACB6-AD9DB67C08DA}" name="Column9732"/>
    <tableColumn id="9733" xr3:uid="{4E390CB9-53DC-4F67-9BF0-5B9E47AC199B}" name="Column9733"/>
    <tableColumn id="9734" xr3:uid="{3401CC1C-937D-4719-A42F-01ABF39C8598}" name="Column9734"/>
    <tableColumn id="9735" xr3:uid="{A2747877-B329-48DA-A972-E890212FA20E}" name="Column9735"/>
    <tableColumn id="9736" xr3:uid="{3FC4DEA6-DDFB-4A60-807E-D269E8937B64}" name="Column9736"/>
    <tableColumn id="9737" xr3:uid="{5DE496CF-2D57-4D34-B239-A2F0792B05F2}" name="Column9737"/>
    <tableColumn id="9738" xr3:uid="{311BA917-FECC-4FA3-8EBA-FA8A74EE7D03}" name="Column9738"/>
    <tableColumn id="9739" xr3:uid="{1FC0CC28-8378-4B74-B0F7-A5AC4961CF8E}" name="Column9739"/>
    <tableColumn id="9740" xr3:uid="{66F88039-F912-4FFB-A443-6274BA513512}" name="Column9740"/>
    <tableColumn id="9741" xr3:uid="{166CF2BA-5E81-435A-8DE1-38464ADACFA9}" name="Column9741"/>
    <tableColumn id="9742" xr3:uid="{4D46ED37-1FD6-4B65-8E07-C6D44975A4F2}" name="Column9742"/>
    <tableColumn id="9743" xr3:uid="{BBF39426-CB11-454C-A5B0-5E48D16C5F9F}" name="Column9743"/>
    <tableColumn id="9744" xr3:uid="{D681151B-9666-4A4A-91A3-F4AB7AA68580}" name="Column9744"/>
    <tableColumn id="9745" xr3:uid="{37D1FAF8-3B95-4F59-9DA4-D2C630DF2914}" name="Column9745"/>
    <tableColumn id="9746" xr3:uid="{38B7D8A9-2BE5-45FD-B42D-84CC2DFA9CB7}" name="Column9746"/>
    <tableColumn id="9747" xr3:uid="{8D525366-A8C2-4A52-9B42-3CBB55DA0003}" name="Column9747"/>
    <tableColumn id="9748" xr3:uid="{B5822428-A0D1-455A-A0E7-BA9DB170188E}" name="Column9748"/>
    <tableColumn id="9749" xr3:uid="{CDEBE3EF-B24D-4613-8B11-7352DDDFDBE9}" name="Column9749"/>
    <tableColumn id="9750" xr3:uid="{46CF889C-2B26-4BEB-8B8C-DBCA64A9B3F4}" name="Column9750"/>
    <tableColumn id="9751" xr3:uid="{883A1C83-36EF-46E8-A505-7F4F341BA070}" name="Column9751"/>
    <tableColumn id="9752" xr3:uid="{70229E54-0DA2-4F03-9F1C-2FC69B406E4A}" name="Column9752"/>
    <tableColumn id="9753" xr3:uid="{DF44A0CB-59B1-4041-92A0-805EDA1C2D04}" name="Column9753"/>
    <tableColumn id="9754" xr3:uid="{ECBC1687-AF6B-4624-9C39-7DFAAC98A37F}" name="Column9754"/>
    <tableColumn id="9755" xr3:uid="{21CF561B-488E-4A2A-8715-31FA8CD5EBE7}" name="Column9755"/>
    <tableColumn id="9756" xr3:uid="{5981C7F1-B378-4599-BE85-98BA2708DCDD}" name="Column9756"/>
    <tableColumn id="9757" xr3:uid="{9F06DDDD-429B-4452-B8A7-4CB8FF2C8EB6}" name="Column9757"/>
    <tableColumn id="9758" xr3:uid="{A35E7900-29EF-456E-BAAE-C051EE22F348}" name="Column9758"/>
    <tableColumn id="9759" xr3:uid="{DD2834FC-145C-4F5B-AF04-EDA63DAAE292}" name="Column9759"/>
    <tableColumn id="9760" xr3:uid="{053DC868-57BB-46BB-B051-18667E79DD7E}" name="Column9760"/>
    <tableColumn id="9761" xr3:uid="{178F0131-3FF6-4DCE-A577-19DE88286E6D}" name="Column9761"/>
    <tableColumn id="9762" xr3:uid="{E4B468BA-14E0-4DA1-B6D2-721AAFC7D496}" name="Column9762"/>
    <tableColumn id="9763" xr3:uid="{1F709B88-1B05-4A5A-B0BA-8077A7AC78CF}" name="Column9763"/>
    <tableColumn id="9764" xr3:uid="{DC5D83B7-8D78-44F0-9E94-CEDD2F7E4A5E}" name="Column9764"/>
    <tableColumn id="9765" xr3:uid="{4B322985-0A39-4EC8-B8EA-F2F02BC577F1}" name="Column9765"/>
    <tableColumn id="9766" xr3:uid="{87F1CF9F-7BCA-42E8-8E80-E1878A503AAD}" name="Column9766"/>
    <tableColumn id="9767" xr3:uid="{2258E308-A98F-4F86-A84C-57C3198DA764}" name="Column9767"/>
    <tableColumn id="9768" xr3:uid="{3D66E516-28DB-4BA2-AC9B-874817614021}" name="Column9768"/>
    <tableColumn id="9769" xr3:uid="{0C2F3C77-7C6B-4D4E-80C3-522F449D7CF8}" name="Column9769"/>
    <tableColumn id="9770" xr3:uid="{99415542-29C7-4D08-ABCE-3051DAB25C9B}" name="Column9770"/>
    <tableColumn id="9771" xr3:uid="{777D1683-2D8A-4705-9371-FBE0BB31A258}" name="Column9771"/>
    <tableColumn id="9772" xr3:uid="{FF13330C-0D86-4C58-8A6A-64CB3C808A8C}" name="Column9772"/>
    <tableColumn id="9773" xr3:uid="{C6A5C08C-084C-4576-A7AF-BBB31BBA9125}" name="Column9773"/>
    <tableColumn id="9774" xr3:uid="{A4FFD5E0-EFFA-4FB0-9752-37A11E53C822}" name="Column9774"/>
    <tableColumn id="9775" xr3:uid="{871934A6-7717-4A3C-A95B-8FC7F60138AC}" name="Column9775"/>
    <tableColumn id="9776" xr3:uid="{465393C7-B3AE-4736-9E87-DDCFFF6EE3BE}" name="Column9776"/>
    <tableColumn id="9777" xr3:uid="{A1BFE4B0-258B-4E4B-A89B-1A33F9E1AE9B}" name="Column9777"/>
    <tableColumn id="9778" xr3:uid="{E440661B-7B7B-4806-89EC-02AB4B386DD3}" name="Column9778"/>
    <tableColumn id="9779" xr3:uid="{A3F5A927-3CB8-4D44-AFB6-FDED383E9E62}" name="Column9779"/>
    <tableColumn id="9780" xr3:uid="{23401348-8ABF-4F96-AD8D-322A31DC19EE}" name="Column9780"/>
    <tableColumn id="9781" xr3:uid="{838575BB-9419-48C7-94AA-82A780EE2A3F}" name="Column9781"/>
    <tableColumn id="9782" xr3:uid="{ACB03395-8CB4-4DBB-BC31-C4225B92EE74}" name="Column9782"/>
    <tableColumn id="9783" xr3:uid="{7AE2C6A9-E2B8-4F6F-AE61-9974ED4B3543}" name="Column9783"/>
    <tableColumn id="9784" xr3:uid="{D736E0E9-0D71-4329-ABE2-B8FC74CFACA0}" name="Column9784"/>
    <tableColumn id="9785" xr3:uid="{4E221680-2903-46C3-A165-C34017F6C09C}" name="Column9785"/>
    <tableColumn id="9786" xr3:uid="{95D4156A-C2B2-4490-9466-17176D7CD699}" name="Column9786"/>
    <tableColumn id="9787" xr3:uid="{179D0EAC-E7E8-41D4-B6BF-6376E07746C3}" name="Column9787"/>
    <tableColumn id="9788" xr3:uid="{420E97CD-982A-43BD-8A39-D2A6D3488B39}" name="Column9788"/>
    <tableColumn id="9789" xr3:uid="{11E02528-7748-428C-BC9C-06994EC73DE6}" name="Column9789"/>
    <tableColumn id="9790" xr3:uid="{BA891BB1-057F-473F-9069-46D8F74D696D}" name="Column9790"/>
    <tableColumn id="9791" xr3:uid="{B9648497-2752-47B9-9C67-FCECB6A4264C}" name="Column9791"/>
    <tableColumn id="9792" xr3:uid="{6AE8389F-A96F-48C0-8EF9-4B49CCA32DBF}" name="Column9792"/>
    <tableColumn id="9793" xr3:uid="{5F7A0EE5-9EE1-4788-A36A-091353192539}" name="Column9793"/>
    <tableColumn id="9794" xr3:uid="{D26699F8-7732-4075-98C8-C1A1A9841A0B}" name="Column9794"/>
    <tableColumn id="9795" xr3:uid="{31630E23-6C63-410E-B804-0B8C18BD0708}" name="Column9795"/>
    <tableColumn id="9796" xr3:uid="{E0DC8720-077A-44A1-A32B-1B46A2A8A803}" name="Column9796"/>
    <tableColumn id="9797" xr3:uid="{DF7730D5-9E7C-4364-ACEE-E26E6813767D}" name="Column9797"/>
    <tableColumn id="9798" xr3:uid="{B8C4E252-011E-44F1-86A3-0DE4A311F4EE}" name="Column9798"/>
    <tableColumn id="9799" xr3:uid="{2323E4EB-691C-4914-B4CF-30332B3DE597}" name="Column9799"/>
    <tableColumn id="9800" xr3:uid="{E677DEA0-E9F0-4630-AB93-88C27DE8B7D3}" name="Column9800"/>
    <tableColumn id="9801" xr3:uid="{29B20DDB-669D-4360-9089-0368698550F3}" name="Column9801"/>
    <tableColumn id="9802" xr3:uid="{AA8F69F6-62C7-411D-BB37-1EADF41F6994}" name="Column9802"/>
    <tableColumn id="9803" xr3:uid="{88DA6910-E1B7-4EA8-845A-C9268B1E87BB}" name="Column9803"/>
    <tableColumn id="9804" xr3:uid="{82393CA3-EEB6-49CC-A0E2-059087015F51}" name="Column9804"/>
    <tableColumn id="9805" xr3:uid="{54322F69-74F3-49AA-A238-427C603C7327}" name="Column9805"/>
    <tableColumn id="9806" xr3:uid="{C63D60DD-6E54-44FC-8E39-823D3D77C205}" name="Column9806"/>
    <tableColumn id="9807" xr3:uid="{D5CB8342-A966-42D3-932D-4B7B4D658950}" name="Column9807"/>
    <tableColumn id="9808" xr3:uid="{20A9EAAE-5DE9-44A9-B1EA-E4E56C97A050}" name="Column9808"/>
    <tableColumn id="9809" xr3:uid="{C4EFE078-FA18-4047-8A92-A17A89A08F5D}" name="Column9809"/>
    <tableColumn id="9810" xr3:uid="{5870B50A-43B2-47C7-95C7-20BEE98EDFA6}" name="Column9810"/>
    <tableColumn id="9811" xr3:uid="{55F14460-561E-40F6-A981-C25FCAF0A7AC}" name="Column9811"/>
    <tableColumn id="9812" xr3:uid="{32E15150-6162-4A6E-B93B-D3367C8EF6C3}" name="Column9812"/>
    <tableColumn id="9813" xr3:uid="{F2FA0905-D290-4C3A-9509-4ADA2EF992BC}" name="Column9813"/>
    <tableColumn id="9814" xr3:uid="{FDC66FC6-520D-4B4A-988C-EE19843B21A4}" name="Column9814"/>
    <tableColumn id="9815" xr3:uid="{AE71DAAE-E6AD-4B96-8F7A-EEC43A1A56DB}" name="Column9815"/>
    <tableColumn id="9816" xr3:uid="{706493A0-F942-438E-A620-CD795332DEC9}" name="Column9816"/>
    <tableColumn id="9817" xr3:uid="{8264E7E9-B906-4CAA-8872-FE2CE4EBD3DA}" name="Column9817"/>
    <tableColumn id="9818" xr3:uid="{9FD67CEA-CA88-4767-81CD-2300AAE8B01A}" name="Column9818"/>
    <tableColumn id="9819" xr3:uid="{2BC893AF-4926-4348-9BD3-B738346DBED5}" name="Column9819"/>
    <tableColumn id="9820" xr3:uid="{66ED0989-0AA8-4612-8F41-4236E1524BD1}" name="Column9820"/>
    <tableColumn id="9821" xr3:uid="{00A6A5CF-E22E-405A-A4EA-BE488AE9E83E}" name="Column9821"/>
    <tableColumn id="9822" xr3:uid="{8EB53397-540E-4BC5-A5AF-612C0842EDB1}" name="Column9822"/>
    <tableColumn id="9823" xr3:uid="{768CE199-5C31-44B5-A0C9-6438676F49B6}" name="Column9823"/>
    <tableColumn id="9824" xr3:uid="{0E343907-D9BD-45FC-9315-BFECB9E09F82}" name="Column9824"/>
    <tableColumn id="9825" xr3:uid="{A6565E3A-F1FD-462E-94AC-CF37CAECF977}" name="Column9825"/>
    <tableColumn id="9826" xr3:uid="{B0A8FA70-ECF3-4F56-9D99-DB94F14A7115}" name="Column9826"/>
    <tableColumn id="9827" xr3:uid="{97FA1FFE-B010-4D15-992E-64EA0C11E1D2}" name="Column9827"/>
    <tableColumn id="9828" xr3:uid="{EA9251B3-4AA9-4B09-956B-5233B57D3E7D}" name="Column9828"/>
    <tableColumn id="9829" xr3:uid="{8A4DABCF-1187-4F51-A408-FA1441F1EA42}" name="Column9829"/>
    <tableColumn id="9830" xr3:uid="{4446A95D-77FB-45F5-ADCF-5867DE79F84D}" name="Column9830"/>
    <tableColumn id="9831" xr3:uid="{6C8B90B1-9A48-4DC8-BABD-EE66E2E73D66}" name="Column9831"/>
    <tableColumn id="9832" xr3:uid="{B1E00778-1D3B-48B1-84C2-D2F8081D0EF9}" name="Column9832"/>
    <tableColumn id="9833" xr3:uid="{083C7898-35EF-4D5B-BC52-2CE7C729A86B}" name="Column9833"/>
    <tableColumn id="9834" xr3:uid="{A6A92F79-B82C-43CB-8D99-3E91B71D7AB4}" name="Column9834"/>
    <tableColumn id="9835" xr3:uid="{08DF6420-C672-4837-A9C2-3F3DFD8730AD}" name="Column9835"/>
    <tableColumn id="9836" xr3:uid="{C4C106F2-44C7-419F-9DE3-E2A035175F7C}" name="Column9836"/>
    <tableColumn id="9837" xr3:uid="{B136128C-BE11-4001-A6F7-573D007C0952}" name="Column9837"/>
    <tableColumn id="9838" xr3:uid="{5CE91590-5A45-494F-BD6A-8B82DD7F1191}" name="Column9838"/>
    <tableColumn id="9839" xr3:uid="{63BEAABB-05C6-4107-8FAD-0BE9581E9FAF}" name="Column9839"/>
    <tableColumn id="9840" xr3:uid="{6EB839DC-FE05-4900-89D0-BF93237B3628}" name="Column9840"/>
    <tableColumn id="9841" xr3:uid="{8272BFB7-8794-4F39-95DA-81BC2F27E121}" name="Column9841"/>
    <tableColumn id="9842" xr3:uid="{420485F7-EC24-4F22-B775-125F2D9C1606}" name="Column9842"/>
    <tableColumn id="9843" xr3:uid="{328B4F38-9943-4FB2-A04C-77E2D7FD4A4B}" name="Column9843"/>
    <tableColumn id="9844" xr3:uid="{CC0DEAB3-859E-49CE-B853-67CD5AE1ACE4}" name="Column9844"/>
    <tableColumn id="9845" xr3:uid="{F8369A2B-B50D-45F0-939E-9F6513BA306F}" name="Column9845"/>
    <tableColumn id="9846" xr3:uid="{4DD6E27D-B499-4CF0-B2C8-14B1D24C0868}" name="Column9846"/>
    <tableColumn id="9847" xr3:uid="{DB83CDB2-DF1F-4E13-96A6-5407EFD4E000}" name="Column9847"/>
    <tableColumn id="9848" xr3:uid="{24A15D1C-1EAF-4B74-89BB-F0D958802ADE}" name="Column9848"/>
    <tableColumn id="9849" xr3:uid="{869E287D-548C-4EA7-BDE8-2915BEAD8DCB}" name="Column9849"/>
    <tableColumn id="9850" xr3:uid="{FAF7DDA8-E611-4478-9D60-BB4C6A8F6B3B}" name="Column9850"/>
    <tableColumn id="9851" xr3:uid="{DF8277DA-7B25-404D-B427-4158E4876876}" name="Column9851"/>
    <tableColumn id="9852" xr3:uid="{814F2923-4944-45A8-BD55-FD49D3888803}" name="Column9852"/>
    <tableColumn id="9853" xr3:uid="{A946CFD7-9E54-42A9-A205-8346D4FFC3BF}" name="Column9853"/>
    <tableColumn id="9854" xr3:uid="{72B2F324-AE73-49F5-8BDB-94B8EF505C07}" name="Column9854"/>
    <tableColumn id="9855" xr3:uid="{D2F50EF8-D349-47BC-859B-9A0DCA023EBB}" name="Column9855"/>
    <tableColumn id="9856" xr3:uid="{68917693-F66B-4A17-B94A-BCC2EE21F54F}" name="Column9856"/>
    <tableColumn id="9857" xr3:uid="{E3ED3CBF-A9E5-4971-9723-5AE10221D6BB}" name="Column9857"/>
    <tableColumn id="9858" xr3:uid="{05045F69-B0F6-465F-AFAB-2109CF378419}" name="Column9858"/>
    <tableColumn id="9859" xr3:uid="{40B0904A-3CE5-4C5C-AA7D-5F2CF6E832D7}" name="Column9859"/>
    <tableColumn id="9860" xr3:uid="{3567F71E-617F-4A28-9134-0E41EFACD212}" name="Column9860"/>
    <tableColumn id="9861" xr3:uid="{4EB52EEE-17CE-46B0-8473-9C8311BD8335}" name="Column9861"/>
    <tableColumn id="9862" xr3:uid="{C8F30F8C-0F1F-4360-9968-9750414E60D7}" name="Column9862"/>
    <tableColumn id="9863" xr3:uid="{E42F067F-8B77-4B27-BCEA-C01C2A625C0A}" name="Column9863"/>
    <tableColumn id="9864" xr3:uid="{F3911122-286F-46E5-8FCE-C85CD30D0CA2}" name="Column9864"/>
    <tableColumn id="9865" xr3:uid="{214046F8-5D0A-49F7-A157-499475DD664D}" name="Column9865"/>
    <tableColumn id="9866" xr3:uid="{B3773E49-0740-4AC2-A57E-8DD122DCD4AC}" name="Column9866"/>
    <tableColumn id="9867" xr3:uid="{997A4A75-BA61-4BC8-83E6-D05A4FF48B06}" name="Column9867"/>
    <tableColumn id="9868" xr3:uid="{5430F4F5-2F86-43B6-8AEE-79EA00059B16}" name="Column9868"/>
    <tableColumn id="9869" xr3:uid="{C13B7FA7-6E99-4BA4-BFCF-F13F14BEDEA2}" name="Column9869"/>
    <tableColumn id="9870" xr3:uid="{5B49D2DB-C127-45F0-9B5E-A7981F46EE30}" name="Column9870"/>
    <tableColumn id="9871" xr3:uid="{E172074E-8585-4260-815E-096A9EF29D83}" name="Column9871"/>
    <tableColumn id="9872" xr3:uid="{8CB35DAB-C20F-4DC1-A09D-C026D463D02C}" name="Column9872"/>
    <tableColumn id="9873" xr3:uid="{04B544AC-7F48-42CC-AC1C-CDD1252A2E64}" name="Column9873"/>
    <tableColumn id="9874" xr3:uid="{4AD685AF-718B-4682-81EE-657FC15011A6}" name="Column9874"/>
    <tableColumn id="9875" xr3:uid="{31F69F42-434B-410C-A06A-7592759077C8}" name="Column9875"/>
    <tableColumn id="9876" xr3:uid="{B96219D7-AC55-4544-B43C-A5C573FFCD68}" name="Column9876"/>
    <tableColumn id="9877" xr3:uid="{21BBB797-C855-419A-A790-4A67ADE36B29}" name="Column9877"/>
    <tableColumn id="9878" xr3:uid="{20E43D39-3E3F-4CAA-BEAA-BB9AB601A108}" name="Column9878"/>
    <tableColumn id="9879" xr3:uid="{2D865EC7-32AC-4651-93B6-7BF05EF0FC04}" name="Column9879"/>
    <tableColumn id="9880" xr3:uid="{C65ACCCB-7135-4C52-9B8C-11E9265CAFA2}" name="Column9880"/>
    <tableColumn id="9881" xr3:uid="{17B2A8B7-5B34-45F2-982D-CA9DE0C97DED}" name="Column9881"/>
    <tableColumn id="9882" xr3:uid="{C8449F49-CDCB-45F6-A421-AFF8FC3441CA}" name="Column9882"/>
    <tableColumn id="9883" xr3:uid="{6344866C-09EC-482A-9EDF-B708B0BAC88B}" name="Column9883"/>
    <tableColumn id="9884" xr3:uid="{00FE6E05-92BC-4C6D-946F-823853ADB9DA}" name="Column9884"/>
    <tableColumn id="9885" xr3:uid="{D4FF7DC7-FDC0-4E18-8B08-1181D784DA29}" name="Column9885"/>
    <tableColumn id="9886" xr3:uid="{BBE8B5B8-B332-4C73-A687-3BFCF4D8382F}" name="Column9886"/>
    <tableColumn id="9887" xr3:uid="{9E34DCD9-E0D9-47DF-B718-5E2E9C4D4BC8}" name="Column9887"/>
    <tableColumn id="9888" xr3:uid="{2840ED48-77BE-4ED3-957E-75CF9BDB7694}" name="Column9888"/>
    <tableColumn id="9889" xr3:uid="{6F2E4B1E-1F7E-4D68-8A48-C7843C48253D}" name="Column9889"/>
    <tableColumn id="9890" xr3:uid="{75628C95-C080-4664-A320-EBB85F2F9615}" name="Column9890"/>
    <tableColumn id="9891" xr3:uid="{1F8C6817-2BAE-4D4B-9201-CFE985E9A750}" name="Column9891"/>
    <tableColumn id="9892" xr3:uid="{E256317C-2532-4CA5-B8BB-0B509F6C0A97}" name="Column9892"/>
    <tableColumn id="9893" xr3:uid="{1A1132B4-93C9-4936-B093-D178A41A1442}" name="Column9893"/>
    <tableColumn id="9894" xr3:uid="{3FF5F9A8-2A74-481A-BA94-EFB15B436A46}" name="Column9894"/>
    <tableColumn id="9895" xr3:uid="{DEB3DE6E-C3CD-4D85-8E9C-ABB95455C3F9}" name="Column9895"/>
    <tableColumn id="9896" xr3:uid="{C53F0CB0-CDA8-4EAE-AFF2-8A7E69C0327B}" name="Column9896"/>
    <tableColumn id="9897" xr3:uid="{C6D602C0-8811-4198-B320-2745D1950A6F}" name="Column9897"/>
    <tableColumn id="9898" xr3:uid="{E61BE1C3-6C4D-4127-B2A6-6A9D8433D2F5}" name="Column9898"/>
    <tableColumn id="9899" xr3:uid="{230947F9-933D-41FC-A548-DA62F6405727}" name="Column9899"/>
    <tableColumn id="9900" xr3:uid="{A10D88D0-7299-4AA9-BCB1-167B6DFA1753}" name="Column9900"/>
    <tableColumn id="9901" xr3:uid="{AE673D36-2AA4-4B0C-8CDA-CAD14759708C}" name="Column9901"/>
    <tableColumn id="9902" xr3:uid="{6B436C26-08BC-4D57-B8C3-0BBBB99CF2CA}" name="Column9902"/>
    <tableColumn id="9903" xr3:uid="{3FC44EF9-0607-41D2-85F5-FBE37B2FBB6D}" name="Column9903"/>
    <tableColumn id="9904" xr3:uid="{1B9C8409-DB6C-46FF-BDA3-EF848496A1E3}" name="Column9904"/>
    <tableColumn id="9905" xr3:uid="{34F7CDA9-1D38-4632-92D8-200B034D49C3}" name="Column9905"/>
    <tableColumn id="9906" xr3:uid="{4EA283C4-FF12-4C03-8BEE-873F8EF5C3F6}" name="Column9906"/>
    <tableColumn id="9907" xr3:uid="{BFD11231-09C4-4BD8-AC41-8421C4FF481F}" name="Column9907"/>
    <tableColumn id="9908" xr3:uid="{15E7EE39-EE4A-4B48-8F32-B66C899814ED}" name="Column9908"/>
    <tableColumn id="9909" xr3:uid="{81EE1025-4E34-430A-A0D0-E59E429FF5C3}" name="Column9909"/>
    <tableColumn id="9910" xr3:uid="{FA96214F-85ED-4A0B-B8C0-3080132290FB}" name="Column9910"/>
    <tableColumn id="9911" xr3:uid="{F4D4020C-4E50-4F06-B117-848E3156E811}" name="Column9911"/>
    <tableColumn id="9912" xr3:uid="{1AD345CE-31B6-4375-B65E-86293CF6ED08}" name="Column9912"/>
    <tableColumn id="9913" xr3:uid="{154F6D06-19B9-4704-91BD-5D4152BBFCD7}" name="Column9913"/>
    <tableColumn id="9914" xr3:uid="{E4349C2C-02B9-4284-BAD6-2601F1612BF0}" name="Column9914"/>
    <tableColumn id="9915" xr3:uid="{DB2AD125-0D98-4067-AC36-680B2E2C93C3}" name="Column9915"/>
    <tableColumn id="9916" xr3:uid="{16D669EC-7379-47D8-86D6-10A11DD84449}" name="Column9916"/>
    <tableColumn id="9917" xr3:uid="{5808A5E8-C835-4C45-B67B-00F24C702E31}" name="Column9917"/>
    <tableColumn id="9918" xr3:uid="{3548DDF0-981C-43A6-B2AE-D3FCEA85800F}" name="Column9918"/>
    <tableColumn id="9919" xr3:uid="{9B5C6894-9BB0-4492-A321-3B729EE54AC5}" name="Column9919"/>
    <tableColumn id="9920" xr3:uid="{20F21963-C786-472A-984B-707085ABE1F6}" name="Column9920"/>
    <tableColumn id="9921" xr3:uid="{1254F7C4-F802-4BB5-9574-DF5402B887EA}" name="Column9921"/>
    <tableColumn id="9922" xr3:uid="{0A925269-29D5-4CFF-8CEB-701ACFB27424}" name="Column9922"/>
    <tableColumn id="9923" xr3:uid="{7ACE957F-CDD4-4899-A75B-03511353374D}" name="Column9923"/>
    <tableColumn id="9924" xr3:uid="{D6BFD4B5-F3BC-4098-8201-71161A7B3D06}" name="Column9924"/>
    <tableColumn id="9925" xr3:uid="{08147DB0-4C27-43F0-9E04-74A755533298}" name="Column9925"/>
    <tableColumn id="9926" xr3:uid="{FB18E810-1A06-4E51-B48D-7A10DBA30844}" name="Column9926"/>
    <tableColumn id="9927" xr3:uid="{A5230BEA-44C4-45EE-BB73-1EBC903AB059}" name="Column9927"/>
    <tableColumn id="9928" xr3:uid="{4AF60175-7872-490E-816B-B44EB078FEB9}" name="Column9928"/>
    <tableColumn id="9929" xr3:uid="{97905351-A7BC-44B5-BE4F-FF3652883E29}" name="Column9929"/>
    <tableColumn id="9930" xr3:uid="{612DD5BD-B65B-4880-9DB4-7CD3C85612D5}" name="Column9930"/>
    <tableColumn id="9931" xr3:uid="{2DF740A1-3C60-4281-96D9-466C39C593BE}" name="Column9931"/>
    <tableColumn id="9932" xr3:uid="{025343E8-9646-4116-B90A-53A6E1FD962F}" name="Column9932"/>
    <tableColumn id="9933" xr3:uid="{DF6A566D-2610-44A6-B4CB-D9BE51CF2849}" name="Column9933"/>
    <tableColumn id="9934" xr3:uid="{82EB966D-B599-4B54-9420-43A11B2244F5}" name="Column9934"/>
    <tableColumn id="9935" xr3:uid="{E4726F1B-6C60-428D-BCE0-00E66C732D24}" name="Column9935"/>
    <tableColumn id="9936" xr3:uid="{A4B6AEEA-91C6-44C8-B697-E97D271F7700}" name="Column9936"/>
    <tableColumn id="9937" xr3:uid="{FA386597-5714-404B-9B8F-47506DCC0451}" name="Column9937"/>
    <tableColumn id="9938" xr3:uid="{5C88CC73-0FEA-47DF-9CF9-CCDFCEE00598}" name="Column9938"/>
    <tableColumn id="9939" xr3:uid="{4897B635-858A-45EA-AF9F-69DD38A2A9F0}" name="Column9939"/>
    <tableColumn id="9940" xr3:uid="{7D689ECF-47EB-4C0F-9CEA-DA668D514950}" name="Column9940"/>
    <tableColumn id="9941" xr3:uid="{5EF8C2BC-AE63-4D3F-921E-07973990730C}" name="Column9941"/>
    <tableColumn id="9942" xr3:uid="{16967171-FDA8-43A0-86CC-AE029FE75ED7}" name="Column9942"/>
    <tableColumn id="9943" xr3:uid="{131D8DC6-B733-4553-86D3-47D174758F28}" name="Column9943"/>
    <tableColumn id="9944" xr3:uid="{9CD3BFC3-7AC1-4247-B8E0-3BC81834EE09}" name="Column9944"/>
    <tableColumn id="9945" xr3:uid="{8B708154-353F-4C55-8A14-C7F5581F50A1}" name="Column9945"/>
    <tableColumn id="9946" xr3:uid="{BE85D3AD-FC50-4396-B471-CCFE528A81C6}" name="Column9946"/>
    <tableColumn id="9947" xr3:uid="{47C9CC84-1FC7-45DB-B09F-85EB027F1ECB}" name="Column9947"/>
    <tableColumn id="9948" xr3:uid="{2D5DADF7-EAE5-4053-8BB9-BFE83DE70B2C}" name="Column9948"/>
    <tableColumn id="9949" xr3:uid="{CB8D7D26-BF5F-4228-9F15-9F63A14E9E6F}" name="Column9949"/>
    <tableColumn id="9950" xr3:uid="{70CDA014-915D-44F3-BA8D-E2E9CB0F27AB}" name="Column9950"/>
    <tableColumn id="9951" xr3:uid="{CBFE06B0-D41B-4974-A67C-1425DA61CE2E}" name="Column9951"/>
    <tableColumn id="9952" xr3:uid="{FD47EAD1-7FAD-4BC6-BAF0-E91700AA0133}" name="Column9952"/>
    <tableColumn id="9953" xr3:uid="{4F90D600-5EC6-46ED-A5F8-95DA16F63E66}" name="Column9953"/>
    <tableColumn id="9954" xr3:uid="{89A096BA-2B50-4C23-9B60-73A5F521FDA9}" name="Column9954"/>
    <tableColumn id="9955" xr3:uid="{378A844F-EE55-4F85-B73D-5C241DF82D8F}" name="Column9955"/>
    <tableColumn id="9956" xr3:uid="{524533AF-D580-455F-9422-D4554745B81F}" name="Column9956"/>
    <tableColumn id="9957" xr3:uid="{931F065C-43F2-41F1-A986-4292B94B48BF}" name="Column9957"/>
    <tableColumn id="9958" xr3:uid="{B6CB2017-6C92-4A12-9630-7DA9545DED81}" name="Column9958"/>
    <tableColumn id="9959" xr3:uid="{0CBA190E-3F6B-43FE-B632-BBC907231919}" name="Column9959"/>
    <tableColumn id="9960" xr3:uid="{BE975E86-1BE2-43ED-84C5-C3E56EDFAC04}" name="Column9960"/>
    <tableColumn id="9961" xr3:uid="{FDE75EEA-8C2A-4C30-8039-5100415CFFC6}" name="Column9961"/>
    <tableColumn id="9962" xr3:uid="{393645F8-6125-408E-85D7-AD05BCE86668}" name="Column9962"/>
    <tableColumn id="9963" xr3:uid="{478416EA-EDC7-4DDE-8BCF-2E356506FD39}" name="Column9963"/>
    <tableColumn id="9964" xr3:uid="{2E83D16A-647B-493A-942C-90503513ED49}" name="Column9964"/>
    <tableColumn id="9965" xr3:uid="{BCC1E175-F0CD-4A36-8BDC-943CE803389B}" name="Column9965"/>
    <tableColumn id="9966" xr3:uid="{859CD9A9-74C2-4A49-A6E4-2FB4F6A0C580}" name="Column9966"/>
    <tableColumn id="9967" xr3:uid="{A11BF120-9FDA-4770-8D43-DF4B6675D74E}" name="Column9967"/>
    <tableColumn id="9968" xr3:uid="{F6F7EC40-EDAC-4512-9B88-F5BC1D90752B}" name="Column9968"/>
    <tableColumn id="9969" xr3:uid="{51481C76-A562-4328-81E8-7D48E31F4727}" name="Column9969"/>
    <tableColumn id="9970" xr3:uid="{4B5F6D90-55A3-4C4A-992D-24C773C84ADD}" name="Column9970"/>
    <tableColumn id="9971" xr3:uid="{CF2C5628-F61E-40FE-9F91-268323EE44E9}" name="Column9971"/>
    <tableColumn id="9972" xr3:uid="{8D60AD05-E661-4625-BDFC-E62A7C419838}" name="Column9972"/>
    <tableColumn id="9973" xr3:uid="{962B83F9-C1BB-43C8-9482-7E3AA98837E3}" name="Column9973"/>
    <tableColumn id="9974" xr3:uid="{FEE858A7-D3AA-4703-A71E-3EE0DB191D6E}" name="Column9974"/>
    <tableColumn id="9975" xr3:uid="{335AFD47-43AC-4C9D-82DC-F1A681E53A2B}" name="Column9975"/>
    <tableColumn id="9976" xr3:uid="{D1048D45-DA6C-4381-ADD0-7E05BBFD5C07}" name="Column9976"/>
    <tableColumn id="9977" xr3:uid="{010DADC0-5627-4AF2-B758-ACA8A48C8B4A}" name="Column9977"/>
    <tableColumn id="9978" xr3:uid="{A4315777-F426-49B0-A63E-A1222C779C21}" name="Column9978"/>
    <tableColumn id="9979" xr3:uid="{ADEE6697-38A5-4B6D-9E83-518AE4967B6C}" name="Column9979"/>
    <tableColumn id="9980" xr3:uid="{1F79B5BE-9B77-4050-80D8-E321DC971623}" name="Column9980"/>
    <tableColumn id="9981" xr3:uid="{33832134-3278-4812-9FA6-ECD61003A1E8}" name="Column9981"/>
    <tableColumn id="9982" xr3:uid="{451CCE01-BE1A-48E3-A585-87E18508AB32}" name="Column9982"/>
    <tableColumn id="9983" xr3:uid="{911BC0E9-F908-4423-9922-366B87AE78AB}" name="Column9983"/>
    <tableColumn id="9984" xr3:uid="{DE8365E0-091B-4938-B86B-9DC27578C6D3}" name="Column9984"/>
    <tableColumn id="9985" xr3:uid="{CE8F1EEC-5961-4D02-8691-240CDB4C6666}" name="Column9985"/>
    <tableColumn id="9986" xr3:uid="{6FFF386D-CEC1-44FC-89F8-5CE0C65FC7E4}" name="Column9986"/>
    <tableColumn id="9987" xr3:uid="{00AABBA1-3B5F-49C3-B70C-7454043A646E}" name="Column9987"/>
    <tableColumn id="9988" xr3:uid="{DB5BEA62-D09D-4275-9F20-8DAF73E2450F}" name="Column9988"/>
    <tableColumn id="9989" xr3:uid="{78DA8C63-F898-47FF-BCF0-1C80C096BC75}" name="Column9989"/>
    <tableColumn id="9990" xr3:uid="{170AAF47-734F-4CCA-B693-97E74596E855}" name="Column9990"/>
    <tableColumn id="9991" xr3:uid="{43552DBD-A97E-4897-B615-D4ED4082EBB3}" name="Column9991"/>
    <tableColumn id="9992" xr3:uid="{3FEC50A6-2A54-4A08-B03E-535A1CD4E811}" name="Column9992"/>
    <tableColumn id="9993" xr3:uid="{A034C413-5183-48D4-92FD-F0F8A3E5B382}" name="Column9993"/>
    <tableColumn id="9994" xr3:uid="{5B4EAE6D-ADC2-4DEE-99FF-FA0C3FC0052A}" name="Column9994"/>
    <tableColumn id="9995" xr3:uid="{5FE1C6FB-8684-4F1B-B276-D867B502FA2C}" name="Column9995"/>
    <tableColumn id="9996" xr3:uid="{85AA8493-5C52-41A3-9753-E9B2258E2915}" name="Column9996"/>
    <tableColumn id="9997" xr3:uid="{E5349118-CAFF-4CD9-9E66-8C942E1A118F}" name="Column9997"/>
    <tableColumn id="9998" xr3:uid="{8DDD955B-9469-4BBB-BD91-4DF99566C94D}" name="Column9998"/>
    <tableColumn id="9999" xr3:uid="{AEF40CB2-9DFC-44D5-890C-17658D6C3268}" name="Column9999"/>
    <tableColumn id="10000" xr3:uid="{B71A4AC8-A383-4F2F-A8D4-C308B183D05C}" name="Column10000"/>
    <tableColumn id="10001" xr3:uid="{7E6B06E6-3A49-448D-A279-0588409C7D7C}" name="Column10001"/>
    <tableColumn id="10002" xr3:uid="{9B440961-1409-486E-8049-522801D697C3}" name="Column10002"/>
    <tableColumn id="10003" xr3:uid="{4AC503E9-FA6E-4CB7-B875-F11F3C66C71B}" name="Column10003"/>
    <tableColumn id="10004" xr3:uid="{2ABC56DF-EA4B-4A08-ADB2-AA11C88BC86F}" name="Column10004"/>
    <tableColumn id="10005" xr3:uid="{3794CC10-41B4-491D-BB88-2AD85B79C073}" name="Column10005"/>
    <tableColumn id="10006" xr3:uid="{6980EFBC-CA8E-415E-9495-3B60BDB10390}" name="Column10006"/>
    <tableColumn id="10007" xr3:uid="{97C7FE8F-4A22-4D3D-B8AA-874CFAE865CF}" name="Column10007"/>
    <tableColumn id="10008" xr3:uid="{E6FDF2FF-0563-44DA-A1D4-076ABD5C9285}" name="Column10008"/>
    <tableColumn id="10009" xr3:uid="{809800D0-E5C8-460A-8575-444A6CB90913}" name="Column10009"/>
    <tableColumn id="10010" xr3:uid="{6FBD487D-7E83-4497-BFAB-A681367D0F6F}" name="Column10010"/>
    <tableColumn id="10011" xr3:uid="{01AEC65A-C962-48B2-97BD-B2BB53CDE5FE}" name="Column10011"/>
    <tableColumn id="10012" xr3:uid="{BA9C4F4F-7737-4B90-A10B-B96FC52309DA}" name="Column10012"/>
    <tableColumn id="10013" xr3:uid="{84B7A432-726B-4D41-820E-ADEE9DA68A40}" name="Column10013"/>
    <tableColumn id="10014" xr3:uid="{504F1276-0B90-4E10-A216-C0A9740F7D27}" name="Column10014"/>
    <tableColumn id="10015" xr3:uid="{CC58C98D-A15C-4CE1-853C-8A3D59F6F40C}" name="Column10015"/>
    <tableColumn id="10016" xr3:uid="{36C20EB3-5B8F-4D31-A13E-6001EC73319C}" name="Column10016"/>
    <tableColumn id="10017" xr3:uid="{A2B0F9D3-F440-426F-91FD-623E81AF3B9A}" name="Column10017"/>
    <tableColumn id="10018" xr3:uid="{E435AEE6-F505-4577-AB61-2E2C82C805B7}" name="Column10018"/>
    <tableColumn id="10019" xr3:uid="{2A45B8C7-0E3F-464D-8224-31B3736CAFAC}" name="Column10019"/>
    <tableColumn id="10020" xr3:uid="{8719286E-30F3-4F77-BCC6-C96D1CD3C8A4}" name="Column10020"/>
    <tableColumn id="10021" xr3:uid="{80D01018-9E06-4ABE-B32C-E6305CEC26F7}" name="Column10021"/>
    <tableColumn id="10022" xr3:uid="{DB0F6B67-1B65-419E-B5F4-9EB5459BC450}" name="Column10022"/>
    <tableColumn id="10023" xr3:uid="{74825AE0-918D-490B-81FD-7C9A5E328C2E}" name="Column10023"/>
    <tableColumn id="10024" xr3:uid="{7748841A-243C-43C9-85A1-0EFF47BB0EDC}" name="Column10024"/>
    <tableColumn id="10025" xr3:uid="{57EE2197-17A7-4CF5-A1DC-23CECA9E96E6}" name="Column10025"/>
    <tableColumn id="10026" xr3:uid="{A0C04558-0711-45E1-BA2B-09A284359C20}" name="Column10026"/>
    <tableColumn id="10027" xr3:uid="{545A3B28-8874-4AF7-84CA-921983FF9F16}" name="Column10027"/>
    <tableColumn id="10028" xr3:uid="{B9910D16-4A60-48A7-9D0E-BC8DEB9F765A}" name="Column10028"/>
    <tableColumn id="10029" xr3:uid="{E4719CF7-3C82-4674-BD0E-479A5983CFB3}" name="Column10029"/>
    <tableColumn id="10030" xr3:uid="{D46FAC3E-A7F6-4E1B-9226-66B317C24205}" name="Column10030"/>
    <tableColumn id="10031" xr3:uid="{3D861EE3-15CF-430E-8C43-15D3F9A24462}" name="Column10031"/>
    <tableColumn id="10032" xr3:uid="{D70AB60D-30D1-4361-9B16-E4EEAAA75251}" name="Column10032"/>
    <tableColumn id="10033" xr3:uid="{52DBEC3E-3BFE-499B-9625-3C73EACB23F8}" name="Column10033"/>
    <tableColumn id="10034" xr3:uid="{CD468529-5966-4C0E-A060-EB4BA4EE8AE2}" name="Column10034"/>
    <tableColumn id="10035" xr3:uid="{611C732A-11E6-4C67-A2F8-15A0951A39B6}" name="Column10035"/>
    <tableColumn id="10036" xr3:uid="{199FC294-705E-488B-B262-FCFB0E5E2EDD}" name="Column10036"/>
    <tableColumn id="10037" xr3:uid="{57B77828-19CE-4A56-AEF9-CAB1490582A7}" name="Column10037"/>
    <tableColumn id="10038" xr3:uid="{8F6EB09B-7C5C-471C-A79C-FDF18737AC9B}" name="Column10038"/>
    <tableColumn id="10039" xr3:uid="{58B13560-E30D-4730-995F-C00A98617746}" name="Column10039"/>
    <tableColumn id="10040" xr3:uid="{2AEFD7D1-4151-4EE3-BB43-0877100E1E8D}" name="Column10040"/>
    <tableColumn id="10041" xr3:uid="{0C802EC3-21FB-4B41-ACEF-6C5F71DE4A0B}" name="Column10041"/>
    <tableColumn id="10042" xr3:uid="{A957A04B-9BB2-43FD-AAF0-DD302A995818}" name="Column10042"/>
    <tableColumn id="10043" xr3:uid="{FEA383CF-88D8-4840-ADA0-06C1579ECE54}" name="Column10043"/>
    <tableColumn id="10044" xr3:uid="{992E1BB7-E231-47C8-89D9-2AA9480D1D3E}" name="Column10044"/>
    <tableColumn id="10045" xr3:uid="{8D1BD11D-890A-4FD5-B15A-49D9210CC2E7}" name="Column10045"/>
    <tableColumn id="10046" xr3:uid="{396096B4-E826-4679-817F-96AC500B67B0}" name="Column10046"/>
    <tableColumn id="10047" xr3:uid="{B98128CE-F17A-4787-ADF5-CCE48D69869E}" name="Column10047"/>
    <tableColumn id="10048" xr3:uid="{9F9C08A4-1FC6-4BEC-91F3-B8CA4BB11DE1}" name="Column10048"/>
    <tableColumn id="10049" xr3:uid="{4FA10618-9803-4F30-AD94-EE6A78A57EA4}" name="Column10049"/>
    <tableColumn id="10050" xr3:uid="{059D0DDF-CDDD-4B14-904C-8863DA137CA8}" name="Column10050"/>
    <tableColumn id="10051" xr3:uid="{28148A6F-39FC-411C-AB76-5D181CE01AB9}" name="Column10051"/>
    <tableColumn id="10052" xr3:uid="{3789F59F-61EB-476B-BA3F-7172C1A37920}" name="Column10052"/>
    <tableColumn id="10053" xr3:uid="{DAAA6C86-E0DF-41EB-86BC-18348896F09C}" name="Column10053"/>
    <tableColumn id="10054" xr3:uid="{BB6F7BE6-AFB8-401A-9204-3ACB044C72A3}" name="Column10054"/>
    <tableColumn id="10055" xr3:uid="{BEB4EFAC-1FEA-4623-8669-6C45ADDFACBF}" name="Column10055"/>
    <tableColumn id="10056" xr3:uid="{F35E31DB-223B-4EFE-9880-560896B3A761}" name="Column10056"/>
    <tableColumn id="10057" xr3:uid="{4153259C-1D8A-440F-9BA8-7D690F47079D}" name="Column10057"/>
    <tableColumn id="10058" xr3:uid="{E16D0546-2728-4D30-97C9-4103B8CF7338}" name="Column10058"/>
    <tableColumn id="10059" xr3:uid="{4B4A0366-71EF-4B70-AA80-5ACDCFD1E160}" name="Column10059"/>
    <tableColumn id="10060" xr3:uid="{BC1D4ECC-16A7-4978-A0D4-20C3D6CC1F61}" name="Column10060"/>
    <tableColumn id="10061" xr3:uid="{67F6710F-2AFB-442C-99B3-0C98E23CE7B2}" name="Column10061"/>
    <tableColumn id="10062" xr3:uid="{55014229-AF76-4A1C-9BAC-DE2E356CDEF9}" name="Column10062"/>
    <tableColumn id="10063" xr3:uid="{7C5A420E-11AD-408B-8AEC-97EAEE11C5DC}" name="Column10063"/>
    <tableColumn id="10064" xr3:uid="{FF5EB5CC-DC36-4291-BCAF-1C662C35BFEF}" name="Column10064"/>
    <tableColumn id="10065" xr3:uid="{ED3C3719-1F8C-473F-B029-F366748FF042}" name="Column10065"/>
    <tableColumn id="10066" xr3:uid="{DBB0AA01-8FB8-4A87-A5AD-82A4C55A1B35}" name="Column10066"/>
    <tableColumn id="10067" xr3:uid="{4ACF6A1A-7CD1-4F89-866B-0C8E616260CE}" name="Column10067"/>
    <tableColumn id="10068" xr3:uid="{A2CF71AD-E382-4C81-B3D3-208A825BCA41}" name="Column10068"/>
    <tableColumn id="10069" xr3:uid="{4458017B-F5AD-4014-A93A-1D5490749D8F}" name="Column10069"/>
    <tableColumn id="10070" xr3:uid="{5BAFA879-7129-4C6A-B21D-32A613C48D00}" name="Column10070"/>
    <tableColumn id="10071" xr3:uid="{6DD751E6-1604-472E-8A59-09BA92C35703}" name="Column10071"/>
    <tableColumn id="10072" xr3:uid="{EDBF1FBA-9BA7-4258-8479-04DC576586A5}" name="Column10072"/>
    <tableColumn id="10073" xr3:uid="{BBF42A5D-B863-45B3-A8B7-A5992313ED62}" name="Column10073"/>
    <tableColumn id="10074" xr3:uid="{E9061BE5-A3FF-41BC-8524-A3F9BC159B36}" name="Column10074"/>
    <tableColumn id="10075" xr3:uid="{1BD397AF-1CFD-48AB-BCEA-F59B3552F29C}" name="Column10075"/>
    <tableColumn id="10076" xr3:uid="{1A2C5574-9561-4241-A159-A05388EE4296}" name="Column10076"/>
    <tableColumn id="10077" xr3:uid="{A6426F5C-B707-41CB-929B-C544ABF90FB3}" name="Column10077"/>
    <tableColumn id="10078" xr3:uid="{8A60D132-BD87-483F-A688-5D16BD348FED}" name="Column10078"/>
    <tableColumn id="10079" xr3:uid="{DB909DB9-0579-4804-8527-B6D8096DAB87}" name="Column10079"/>
    <tableColumn id="10080" xr3:uid="{9CE1CAA3-7EC5-4F05-B783-1182ADD042C9}" name="Column10080"/>
    <tableColumn id="10081" xr3:uid="{6F5D726A-A4D3-486D-A66C-B558BC753292}" name="Column10081"/>
    <tableColumn id="10082" xr3:uid="{95038D13-6733-464F-8B54-269F9BD312DE}" name="Column10082"/>
    <tableColumn id="10083" xr3:uid="{22613B3C-05AC-44CB-AEC7-2015B5BFCB09}" name="Column10083"/>
    <tableColumn id="10084" xr3:uid="{7D686CF2-C15A-4A6F-AFFF-546519EDD86C}" name="Column10084"/>
    <tableColumn id="10085" xr3:uid="{B1F1CE64-7C72-478E-B391-42A8840C5159}" name="Column10085"/>
    <tableColumn id="10086" xr3:uid="{6D058A30-6C67-4A11-8F1B-F3651D769D0C}" name="Column10086"/>
    <tableColumn id="10087" xr3:uid="{A9808416-5CAB-4252-BCA9-2951F794B0AC}" name="Column10087"/>
    <tableColumn id="10088" xr3:uid="{3A4DAB93-8153-4152-A736-74A87B26CA82}" name="Column10088"/>
    <tableColumn id="10089" xr3:uid="{3ACC6A9B-7BF1-44B8-82F1-C21468A0F6CD}" name="Column10089"/>
    <tableColumn id="10090" xr3:uid="{427C989B-5F42-4748-A901-37E1F7EC8144}" name="Column10090"/>
    <tableColumn id="10091" xr3:uid="{227960AD-DF02-40CF-8138-88AC684D0668}" name="Column10091"/>
    <tableColumn id="10092" xr3:uid="{841C19EE-F04E-4B62-9C0E-8EA850542486}" name="Column10092"/>
    <tableColumn id="10093" xr3:uid="{07CF1DF9-A24E-4794-A0D7-81856E2BBE25}" name="Column10093"/>
    <tableColumn id="10094" xr3:uid="{192E813D-C724-4879-9DD5-DC90902784CF}" name="Column10094"/>
    <tableColumn id="10095" xr3:uid="{B7303A9D-3513-4C50-ADB6-BA95CEEC04C3}" name="Column10095"/>
    <tableColumn id="10096" xr3:uid="{6329C59A-64F7-452D-A3B6-58EBD280B954}" name="Column10096"/>
    <tableColumn id="10097" xr3:uid="{75BCCBBA-5EC1-41CC-87DE-02F881C7B826}" name="Column10097"/>
    <tableColumn id="10098" xr3:uid="{1016CC33-C18D-42E4-8510-E8060CFCACFA}" name="Column10098"/>
    <tableColumn id="10099" xr3:uid="{2822115E-D556-4140-BFB6-021A4C6ACD8B}" name="Column10099"/>
    <tableColumn id="10100" xr3:uid="{06A32E03-89B7-4F95-816A-A1D244B74BA6}" name="Column10100"/>
    <tableColumn id="10101" xr3:uid="{188A88E3-21F0-4398-8C09-6050AF1A0727}" name="Column10101"/>
    <tableColumn id="10102" xr3:uid="{9B452B8E-3878-4FE9-968D-DD601B93AE3C}" name="Column10102"/>
    <tableColumn id="10103" xr3:uid="{E4D0CB31-1C8B-4643-84C9-39876202C117}" name="Column10103"/>
    <tableColumn id="10104" xr3:uid="{EDE6F9E8-93E5-4789-9BA3-12BA794DE923}" name="Column10104"/>
    <tableColumn id="10105" xr3:uid="{67C2890C-820B-4505-88E5-BB17B313704C}" name="Column10105"/>
    <tableColumn id="10106" xr3:uid="{B742C2B4-6987-42DE-ACB0-6491BF9573AB}" name="Column10106"/>
    <tableColumn id="10107" xr3:uid="{C85D7837-4B62-495B-BBC9-7E5AF696BE1F}" name="Column10107"/>
    <tableColumn id="10108" xr3:uid="{7A829E2F-14EF-4C5D-8A67-79B1AB9E4E61}" name="Column10108"/>
    <tableColumn id="10109" xr3:uid="{EAEA14CD-878D-450A-BEA6-EE3B6B672E6C}" name="Column10109"/>
    <tableColumn id="10110" xr3:uid="{0C9DEE81-6644-41C3-81A7-C6C6E6842AB4}" name="Column10110"/>
    <tableColumn id="10111" xr3:uid="{AE57F159-22B5-44EF-824B-0DB6D824393D}" name="Column10111"/>
    <tableColumn id="10112" xr3:uid="{063E6878-7422-430E-9384-8657E186C417}" name="Column10112"/>
    <tableColumn id="10113" xr3:uid="{D78070DD-2974-4F23-ADDF-D88076AAA8FF}" name="Column10113"/>
    <tableColumn id="10114" xr3:uid="{FF0A378B-0AA7-49B2-AD0B-C9202A97FBAE}" name="Column10114"/>
    <tableColumn id="10115" xr3:uid="{3C0EA802-15DD-4726-82B0-79728ABB87B0}" name="Column10115"/>
    <tableColumn id="10116" xr3:uid="{76CC553C-0193-45E6-BA68-A9C127C1586B}" name="Column10116"/>
    <tableColumn id="10117" xr3:uid="{686B76BB-438D-46C5-AD1B-E84366DD377E}" name="Column10117"/>
    <tableColumn id="10118" xr3:uid="{53B0EC7E-AD6F-4FF9-8C6E-C2099B932A9A}" name="Column10118"/>
    <tableColumn id="10119" xr3:uid="{97AE24EF-1FD6-4D0B-BEFE-CB9558267276}" name="Column10119"/>
    <tableColumn id="10120" xr3:uid="{36F634AC-8C9B-471F-8AC9-BA17E6B31640}" name="Column10120"/>
    <tableColumn id="10121" xr3:uid="{28E4D56F-BB85-4852-86FB-4AE6153B9FD3}" name="Column10121"/>
    <tableColumn id="10122" xr3:uid="{5EB4B761-4756-44F6-A735-E7FF4710F071}" name="Column10122"/>
    <tableColumn id="10123" xr3:uid="{E5046771-2359-4680-A72E-8D92C8A35CD4}" name="Column10123"/>
    <tableColumn id="10124" xr3:uid="{835B7EB4-FEF1-4CDC-8349-2F942F421AA8}" name="Column10124"/>
    <tableColumn id="10125" xr3:uid="{F0E6F3CE-9316-42F0-BC3F-2C602D0F596A}" name="Column10125"/>
    <tableColumn id="10126" xr3:uid="{601C3CB9-259E-4CB8-89D7-0B02983D2F23}" name="Column10126"/>
    <tableColumn id="10127" xr3:uid="{3D4E8833-3C3F-4606-9ACF-C577A9A99908}" name="Column10127"/>
    <tableColumn id="10128" xr3:uid="{D627E50C-E9CD-4AB6-A7A7-400FD0238A4E}" name="Column10128"/>
    <tableColumn id="10129" xr3:uid="{C9459D2D-E7BA-4173-8C52-2E8A82D297EA}" name="Column10129"/>
    <tableColumn id="10130" xr3:uid="{65E73A2A-DD76-4CA2-90BB-3899B9657452}" name="Column10130"/>
    <tableColumn id="10131" xr3:uid="{6FDB7CC0-2A81-46A0-8ECB-14DFC1888B1A}" name="Column10131"/>
    <tableColumn id="10132" xr3:uid="{3635BE86-ED6B-4AF6-94DE-4A9915B6DFC0}" name="Column10132"/>
    <tableColumn id="10133" xr3:uid="{D1EA6925-3436-490E-B55E-69C201A54863}" name="Column10133"/>
    <tableColumn id="10134" xr3:uid="{96494165-594E-43B8-9DDE-DF2F5A132A84}" name="Column10134"/>
    <tableColumn id="10135" xr3:uid="{C1B26784-C593-462D-A67A-978C9D41241E}" name="Column10135"/>
    <tableColumn id="10136" xr3:uid="{A5785837-56E5-491B-80C7-9EAFF48C186B}" name="Column10136"/>
    <tableColumn id="10137" xr3:uid="{C9EFC470-5190-4EB0-8117-33551D5F8D80}" name="Column10137"/>
    <tableColumn id="10138" xr3:uid="{8C29F443-0C90-4D71-AB88-7773A0CEFCF8}" name="Column10138"/>
    <tableColumn id="10139" xr3:uid="{FE0DBFFC-E5FB-4159-8DB3-DEFD27B43D84}" name="Column10139"/>
    <tableColumn id="10140" xr3:uid="{6142B606-542D-4FE3-8216-D7A781C6783D}" name="Column10140"/>
    <tableColumn id="10141" xr3:uid="{8AC0A16B-5F36-4AE6-88EF-85B334923AE0}" name="Column10141"/>
    <tableColumn id="10142" xr3:uid="{4F1C020B-17D4-4B76-B40F-050F4CF8FE22}" name="Column10142"/>
    <tableColumn id="10143" xr3:uid="{4A07DCC4-2C85-4A50-8760-8C78FDEA3E0E}" name="Column10143"/>
    <tableColumn id="10144" xr3:uid="{25EA1AAA-230B-4FA0-BF9C-173BF5C862A6}" name="Column10144"/>
    <tableColumn id="10145" xr3:uid="{A396F8AD-9EE5-4B3D-9B9D-960682B5C4DB}" name="Column10145"/>
    <tableColumn id="10146" xr3:uid="{F4F7759B-A14E-4E46-8839-E139494C36E6}" name="Column10146"/>
    <tableColumn id="10147" xr3:uid="{760A87FD-B9A0-42CE-9293-379A14D4592D}" name="Column10147"/>
    <tableColumn id="10148" xr3:uid="{9BEA2E16-D39D-4EDC-BA21-9CB89315C87A}" name="Column10148"/>
    <tableColumn id="10149" xr3:uid="{478ACB52-4FDD-428E-99DD-CBC351FD1A0B}" name="Column10149"/>
    <tableColumn id="10150" xr3:uid="{FD836C20-6086-4B82-B036-AF0DC5644532}" name="Column10150"/>
    <tableColumn id="10151" xr3:uid="{42CDAA6A-6992-4CBB-9C8A-275A3F9CE931}" name="Column10151"/>
    <tableColumn id="10152" xr3:uid="{B2078DEF-9283-498F-9BA9-5F9174945E58}" name="Column10152"/>
    <tableColumn id="10153" xr3:uid="{9ADC086F-DEEB-441D-BD83-D06B4DDCF465}" name="Column10153"/>
    <tableColumn id="10154" xr3:uid="{A518F748-FD2D-4161-9560-8167A5AE7B54}" name="Column10154"/>
    <tableColumn id="10155" xr3:uid="{9996D5BC-C6E7-4487-8EA1-859868169A47}" name="Column10155"/>
    <tableColumn id="10156" xr3:uid="{59C9F181-6698-47A1-96A8-7FC728D7C312}" name="Column10156"/>
    <tableColumn id="10157" xr3:uid="{2047ECCD-D8A2-4779-83A3-97879840F20A}" name="Column10157"/>
    <tableColumn id="10158" xr3:uid="{9D074EA8-2903-4F81-A92D-CE3FA11F5C8A}" name="Column10158"/>
    <tableColumn id="10159" xr3:uid="{46DA290D-7AF6-4E07-81A7-5DBEE5BBF96F}" name="Column10159"/>
    <tableColumn id="10160" xr3:uid="{4A6C8BD7-87C0-4279-8683-4D7E4795B2DF}" name="Column10160"/>
    <tableColumn id="10161" xr3:uid="{18F4EFCA-6973-486B-93A6-DFB69695D2DF}" name="Column10161"/>
    <tableColumn id="10162" xr3:uid="{7550E8BE-350A-4C0F-9904-2D2C9FB8E7F4}" name="Column10162"/>
    <tableColumn id="10163" xr3:uid="{6195C435-419F-4083-91F4-49F8140E4335}" name="Column10163"/>
    <tableColumn id="10164" xr3:uid="{EC45E8AF-1FA4-49DC-AB3E-7C8C73AA85A4}" name="Column10164"/>
    <tableColumn id="10165" xr3:uid="{21E62C33-7228-48ED-A594-D859ABE46F19}" name="Column10165"/>
    <tableColumn id="10166" xr3:uid="{925DA2A8-D4AE-4986-BA00-B842BC65DB09}" name="Column10166"/>
    <tableColumn id="10167" xr3:uid="{236C7672-C737-4155-9718-32E738A8F887}" name="Column10167"/>
    <tableColumn id="10168" xr3:uid="{24C3D8FC-152A-4BF1-ACAE-22C2D0EA3BBB}" name="Column10168"/>
    <tableColumn id="10169" xr3:uid="{B82C8397-10D9-4477-AD13-F2AFFF86CBE8}" name="Column10169"/>
    <tableColumn id="10170" xr3:uid="{36C35617-AF4B-48CC-8EA2-092F434B55AA}" name="Column10170"/>
    <tableColumn id="10171" xr3:uid="{B64390F2-20C0-4702-AFA0-5103EF6D0103}" name="Column10171"/>
    <tableColumn id="10172" xr3:uid="{DAA60F21-0DC3-414C-B877-2D18693DFC46}" name="Column10172"/>
    <tableColumn id="10173" xr3:uid="{6B27E0C8-94FA-4062-ADC2-897535B03EBE}" name="Column10173"/>
    <tableColumn id="10174" xr3:uid="{6400A4C1-EB7C-4A8D-BF0E-0EA6AC4AFC4C}" name="Column10174"/>
    <tableColumn id="10175" xr3:uid="{1336E1C8-DCC6-4C87-B1B7-6F1148A453EB}" name="Column10175"/>
    <tableColumn id="10176" xr3:uid="{5E9D2542-291D-40AA-9BA4-784E21DF1F99}" name="Column10176"/>
    <tableColumn id="10177" xr3:uid="{A84B6AF7-8417-4167-AA60-467FC0CC15ED}" name="Column10177"/>
    <tableColumn id="10178" xr3:uid="{422B8F2F-0A1A-4A85-8E6E-BF1A4FB820CE}" name="Column10178"/>
    <tableColumn id="10179" xr3:uid="{EEE3F054-0D40-46DE-AB62-DF803AA78ABF}" name="Column10179"/>
    <tableColumn id="10180" xr3:uid="{F7191FE9-2EFB-47A0-AABF-B159B02AF2EA}" name="Column10180"/>
    <tableColumn id="10181" xr3:uid="{2FD8B5A4-024E-4805-9099-7AB3CCA64476}" name="Column10181"/>
    <tableColumn id="10182" xr3:uid="{A00ECACB-6A44-427D-99A3-09EEE0AA849D}" name="Column10182"/>
    <tableColumn id="10183" xr3:uid="{3FD7C764-E188-4B75-9F59-4C58CA010D17}" name="Column10183"/>
    <tableColumn id="10184" xr3:uid="{4345C088-4AC5-466B-A37E-193737F1F037}" name="Column10184"/>
    <tableColumn id="10185" xr3:uid="{FE58F606-8DE3-40EF-B742-D45F8D7F39B0}" name="Column10185"/>
    <tableColumn id="10186" xr3:uid="{36446585-CB87-4A8F-9C5E-8FFF3AD08771}" name="Column10186"/>
    <tableColumn id="10187" xr3:uid="{6F7BECFE-69E6-4059-802E-DEB54060B6A0}" name="Column10187"/>
    <tableColumn id="10188" xr3:uid="{4B9A8AF2-E13E-4328-A9B0-57E2681810C7}" name="Column10188"/>
    <tableColumn id="10189" xr3:uid="{5F9D9B30-5C52-4AA1-85C0-92EAA1D89DA8}" name="Column10189"/>
    <tableColumn id="10190" xr3:uid="{8F1691F5-5B71-4E13-8B3A-31614459D491}" name="Column10190"/>
    <tableColumn id="10191" xr3:uid="{10490023-D87E-4C24-BFA2-F4CE839BE03D}" name="Column10191"/>
    <tableColumn id="10192" xr3:uid="{E9AEF200-24C4-4E59-84A2-C084D065977B}" name="Column10192"/>
    <tableColumn id="10193" xr3:uid="{5EB1F334-A0E0-4041-A71A-275A50007646}" name="Column10193"/>
    <tableColumn id="10194" xr3:uid="{D23843F8-0F53-47A0-BF9D-57BEC5DAFDE0}" name="Column10194"/>
    <tableColumn id="10195" xr3:uid="{1E89ED9C-1258-4269-AD80-3DA310875A72}" name="Column10195"/>
    <tableColumn id="10196" xr3:uid="{F2B19706-3A5E-4492-9388-12DE41AC4CC5}" name="Column10196"/>
    <tableColumn id="10197" xr3:uid="{CC41FBF8-500D-4211-8065-D875DCE2DBF9}" name="Column10197"/>
    <tableColumn id="10198" xr3:uid="{45D1E767-AA18-41B2-BC99-FBB583D4D3D3}" name="Column10198"/>
    <tableColumn id="10199" xr3:uid="{921BF946-77A9-4534-A58B-ACFB0CAAF532}" name="Column10199"/>
    <tableColumn id="10200" xr3:uid="{5690DEBE-990A-4032-99B4-A5C68963B1BF}" name="Column10200"/>
    <tableColumn id="10201" xr3:uid="{83F9D894-753F-4498-A1C8-786EDF4D90E8}" name="Column10201"/>
    <tableColumn id="10202" xr3:uid="{23BB4158-1E17-40D8-A3B0-1A4187641022}" name="Column10202"/>
    <tableColumn id="10203" xr3:uid="{65002CC3-64B9-4063-B6C8-18A5BC3FD1D5}" name="Column10203"/>
    <tableColumn id="10204" xr3:uid="{24BF7E93-ADC8-46EE-840B-93FA9671649D}" name="Column10204"/>
    <tableColumn id="10205" xr3:uid="{43D4B259-3D21-4C2B-8717-D5A20BC87A02}" name="Column10205"/>
    <tableColumn id="10206" xr3:uid="{A7325D2D-76DE-4D1B-AE31-3E76A30EE51C}" name="Column10206"/>
    <tableColumn id="10207" xr3:uid="{80E67599-9FAE-439B-9EF1-78B37F83EC8E}" name="Column10207"/>
    <tableColumn id="10208" xr3:uid="{3E396574-99BA-4198-8195-0F25DF459F47}" name="Column10208"/>
    <tableColumn id="10209" xr3:uid="{766D155B-3ED2-44D7-88FB-FF3B08AD1968}" name="Column10209"/>
    <tableColumn id="10210" xr3:uid="{54E9E3C7-851D-48BB-AB4A-645B0C2B09E8}" name="Column10210"/>
    <tableColumn id="10211" xr3:uid="{74BA1895-CC78-4EE1-BC2B-FA5C1EE1195C}" name="Column10211"/>
    <tableColumn id="10212" xr3:uid="{1728ABC1-E74E-4EA6-A444-2554B968504B}" name="Column10212"/>
    <tableColumn id="10213" xr3:uid="{DD089C71-B243-47BB-8B1F-C4B4C9CD0E17}" name="Column10213"/>
    <tableColumn id="10214" xr3:uid="{41C3668F-60C3-44DA-8D64-E38602B01CA3}" name="Column10214"/>
    <tableColumn id="10215" xr3:uid="{E6C4D9E2-28BD-4EB2-A886-D8DE8B6279F6}" name="Column10215"/>
    <tableColumn id="10216" xr3:uid="{8F6919EB-CB18-4EF8-8C06-33262F8BB15F}" name="Column10216"/>
    <tableColumn id="10217" xr3:uid="{B75CC286-78DB-4154-9A0B-C9629548F98B}" name="Column10217"/>
    <tableColumn id="10218" xr3:uid="{F61AE7D6-0C4B-4139-ACA3-CB541ED14BDA}" name="Column10218"/>
    <tableColumn id="10219" xr3:uid="{AFD15EE6-78A4-40F0-B1E8-A37D1BD3A82C}" name="Column10219"/>
    <tableColumn id="10220" xr3:uid="{37B37469-17B0-4733-9006-CE05C8BD78E3}" name="Column10220"/>
    <tableColumn id="10221" xr3:uid="{38828A90-C067-446F-9D5A-0F6D2B736D2C}" name="Column10221"/>
    <tableColumn id="10222" xr3:uid="{6C9117E6-86E2-46B4-8C81-8D4B5A469CB1}" name="Column10222"/>
    <tableColumn id="10223" xr3:uid="{619B0101-AFDE-425A-84DE-ECDBFA18B4BB}" name="Column10223"/>
    <tableColumn id="10224" xr3:uid="{EB4B88EA-E567-4DF0-A461-6B932321CE83}" name="Column10224"/>
    <tableColumn id="10225" xr3:uid="{793CFD7E-2210-4047-AC27-AF4125A0B4CC}" name="Column10225"/>
    <tableColumn id="10226" xr3:uid="{AF993595-DA4C-4EDA-B7A2-6F53054A6281}" name="Column10226"/>
    <tableColumn id="10227" xr3:uid="{8FBA7B90-C08F-4F8F-BB44-41B56DEADDEC}" name="Column10227"/>
    <tableColumn id="10228" xr3:uid="{41DEDC73-7A5C-4638-8756-F0A430DB9DBB}" name="Column10228"/>
    <tableColumn id="10229" xr3:uid="{2951C098-EA56-484E-BA9D-295EC4F5165B}" name="Column10229"/>
    <tableColumn id="10230" xr3:uid="{BD2D0A9B-FB8F-4708-BF3F-E14CB7FF0229}" name="Column10230"/>
    <tableColumn id="10231" xr3:uid="{0184D095-1056-4685-B9B9-FFDE028F39F5}" name="Column10231"/>
    <tableColumn id="10232" xr3:uid="{B63121C3-49CF-42C1-BA55-95F92FE8D8D2}" name="Column10232"/>
    <tableColumn id="10233" xr3:uid="{CEBAE860-D8AF-49F4-B051-9FBC7058D38C}" name="Column10233"/>
    <tableColumn id="10234" xr3:uid="{BF00E5A6-30A0-4D45-94FF-72522D1FBA40}" name="Column10234"/>
    <tableColumn id="10235" xr3:uid="{93551FBD-7B9C-432E-A687-1F8B40043EBA}" name="Column10235"/>
    <tableColumn id="10236" xr3:uid="{51E2FE76-4CD1-49A3-B39C-6DDF6C50ED11}" name="Column10236"/>
    <tableColumn id="10237" xr3:uid="{61DDE905-5F52-4C83-8A8E-12FED29B491F}" name="Column10237"/>
    <tableColumn id="10238" xr3:uid="{A978E986-5414-4F7D-862B-1AD36BF3F014}" name="Column10238"/>
    <tableColumn id="10239" xr3:uid="{BD38CF9B-0D8F-413D-9C4F-DC306CA2EC15}" name="Column10239"/>
    <tableColumn id="10240" xr3:uid="{BC79ACCD-5526-4613-97DC-0AFB4569D7D4}" name="Column10240"/>
    <tableColumn id="10241" xr3:uid="{B47B3D7F-68D2-46B6-817B-16F070D004D1}" name="Column10241"/>
    <tableColumn id="10242" xr3:uid="{70654303-A20A-4ED2-97DF-236166A7B5A8}" name="Column10242"/>
    <tableColumn id="10243" xr3:uid="{56228EDB-2DC7-46F6-84B6-A1D8FC01E456}" name="Column10243"/>
    <tableColumn id="10244" xr3:uid="{906EB436-EE4C-4E9E-8BB4-94B9145947E6}" name="Column10244"/>
    <tableColumn id="10245" xr3:uid="{7858B915-B0B6-44EA-AD4E-6CC637116C00}" name="Column10245"/>
    <tableColumn id="10246" xr3:uid="{337F67D5-57CF-40ED-A865-07A127F36A62}" name="Column10246"/>
    <tableColumn id="10247" xr3:uid="{0846FCAE-534E-4AC6-9AAF-CDD6F9A4015B}" name="Column10247"/>
    <tableColumn id="10248" xr3:uid="{84275365-D98B-4BB0-ADC9-0CA75F79B82C}" name="Column10248"/>
    <tableColumn id="10249" xr3:uid="{C4180024-C89A-49FA-A679-1E7906709144}" name="Column10249"/>
    <tableColumn id="10250" xr3:uid="{26F3FD31-0C3E-4664-9835-DD472ECA780C}" name="Column10250"/>
    <tableColumn id="10251" xr3:uid="{E69AB55F-20DB-4674-9818-04EB87DA3354}" name="Column10251"/>
    <tableColumn id="10252" xr3:uid="{2EB12BAC-535A-47ED-B280-9078A63B618D}" name="Column10252"/>
    <tableColumn id="10253" xr3:uid="{C8BDBF4B-849A-43FB-8841-969116DF1656}" name="Column10253"/>
    <tableColumn id="10254" xr3:uid="{2F0D5DDD-27F8-4CF6-989D-487C4123C1D2}" name="Column10254"/>
    <tableColumn id="10255" xr3:uid="{7464A19B-B0F8-49E1-A126-D4012EAF1AC5}" name="Column10255"/>
    <tableColumn id="10256" xr3:uid="{DD2DE430-1BD6-4B94-89D4-886DA98657A0}" name="Column10256"/>
    <tableColumn id="10257" xr3:uid="{92A9009D-189C-4EF0-BC91-48F1058319DD}" name="Column10257"/>
    <tableColumn id="10258" xr3:uid="{621420DE-0AD9-498C-BC18-D9EC4A87B2CF}" name="Column10258"/>
    <tableColumn id="10259" xr3:uid="{8EF18133-F9EA-45A5-9D7E-42FD4667F0C6}" name="Column10259"/>
    <tableColumn id="10260" xr3:uid="{82244ECA-B93C-4B18-B5EC-068B853C8B4F}" name="Column10260"/>
    <tableColumn id="10261" xr3:uid="{99D4A597-105C-4FAC-9D2C-F2D65A5DB01A}" name="Column10261"/>
    <tableColumn id="10262" xr3:uid="{B917CBB0-C9CF-4364-97F6-28D2B7727454}" name="Column10262"/>
    <tableColumn id="10263" xr3:uid="{4912A84F-E59B-4705-8185-5AEB8FEBED14}" name="Column10263"/>
    <tableColumn id="10264" xr3:uid="{F3291B9E-6CA4-453C-9616-71C3BD80E272}" name="Column10264"/>
    <tableColumn id="10265" xr3:uid="{A2B669FE-0DE2-4992-A71A-2D4DB62F84A3}" name="Column10265"/>
    <tableColumn id="10266" xr3:uid="{72062436-53E6-4754-BC19-676E15D2025B}" name="Column10266"/>
    <tableColumn id="10267" xr3:uid="{AB67F55B-B420-4302-9429-4B91451FC759}" name="Column10267"/>
    <tableColumn id="10268" xr3:uid="{91318A10-23C1-48A5-A30E-0EEFD4ED16BE}" name="Column10268"/>
    <tableColumn id="10269" xr3:uid="{2CD179DC-5EE0-43C3-AAE9-99962C2AC655}" name="Column10269"/>
    <tableColumn id="10270" xr3:uid="{3E543B06-7333-43C0-8BEC-713C58359365}" name="Column10270"/>
    <tableColumn id="10271" xr3:uid="{F3580DC8-1DC6-44FA-910C-D74F5BE492A4}" name="Column10271"/>
    <tableColumn id="10272" xr3:uid="{4328AF09-A856-47EC-B5C8-B4C6B5D8710C}" name="Column10272"/>
    <tableColumn id="10273" xr3:uid="{F83FCCD7-5EBE-4871-8F80-0B25B5F7E275}" name="Column10273"/>
    <tableColumn id="10274" xr3:uid="{CE7B22BB-5E53-44AE-A05F-8608380FBFE6}" name="Column10274"/>
    <tableColumn id="10275" xr3:uid="{9253276F-4D2A-4D7E-96A8-19247E0FA769}" name="Column10275"/>
    <tableColumn id="10276" xr3:uid="{4149CE86-C592-4EE3-9994-46AE65220E5A}" name="Column10276"/>
    <tableColumn id="10277" xr3:uid="{B6F5F371-8D9C-43C3-B610-61D67FD02DB2}" name="Column10277"/>
    <tableColumn id="10278" xr3:uid="{BB07DB20-745F-4ED0-8E36-C080951B0B01}" name="Column10278"/>
    <tableColumn id="10279" xr3:uid="{3E2A77BA-F403-4F0C-882F-2F8B96CBCC24}" name="Column10279"/>
    <tableColumn id="10280" xr3:uid="{BB863847-DB63-4B78-9218-25F8BB437AEC}" name="Column10280"/>
    <tableColumn id="10281" xr3:uid="{6068F216-3AF7-4B2F-8E10-9B141F0F1B6D}" name="Column10281"/>
    <tableColumn id="10282" xr3:uid="{1828E011-3020-4BEB-B611-9C8E3DF74BB6}" name="Column10282"/>
    <tableColumn id="10283" xr3:uid="{F177DB53-366E-4351-BB59-1EC0281314D4}" name="Column10283"/>
    <tableColumn id="10284" xr3:uid="{968A70EF-FEF3-408A-8927-E1DD4CE54733}" name="Column10284"/>
    <tableColumn id="10285" xr3:uid="{1754CC44-9A52-4945-BC8C-1E0A9CDB74CD}" name="Column10285"/>
    <tableColumn id="10286" xr3:uid="{22F73639-7B71-4538-B9EB-B59530EE00BB}" name="Column10286"/>
    <tableColumn id="10287" xr3:uid="{E538FEF3-B628-473F-8952-511163AF286F}" name="Column10287"/>
    <tableColumn id="10288" xr3:uid="{838F6A58-9BF0-45F2-B44C-75B35F02174C}" name="Column10288"/>
    <tableColumn id="10289" xr3:uid="{CDA2E0B0-49AB-4F4F-BA94-685384369E27}" name="Column10289"/>
    <tableColumn id="10290" xr3:uid="{763E0E38-EB44-4D00-B1EA-C303DAB872E0}" name="Column10290"/>
    <tableColumn id="10291" xr3:uid="{9907CFB9-91A6-477E-A757-B2F4E8497A49}" name="Column10291"/>
    <tableColumn id="10292" xr3:uid="{ABE858A4-5ABC-4BE8-9F30-D5240AB13888}" name="Column10292"/>
    <tableColumn id="10293" xr3:uid="{BC894C4B-BE8A-42B8-926C-CF32ABC3CB47}" name="Column10293"/>
    <tableColumn id="10294" xr3:uid="{798B67E6-5892-4E02-B0AE-6DB9E06F6495}" name="Column10294"/>
    <tableColumn id="10295" xr3:uid="{84713079-9D1E-46ED-85E4-E672D4D6B94D}" name="Column10295"/>
    <tableColumn id="10296" xr3:uid="{3C55C338-3F01-46B9-849A-BB8212FA5BC9}" name="Column10296"/>
    <tableColumn id="10297" xr3:uid="{231F3F57-C0CB-4459-BFF2-3A4E12CC1B39}" name="Column10297"/>
    <tableColumn id="10298" xr3:uid="{DCADC888-FB56-4B55-BB6B-386EA7265686}" name="Column10298"/>
    <tableColumn id="10299" xr3:uid="{0DCC297D-5291-4ACA-8849-19BBC134DFA4}" name="Column10299"/>
    <tableColumn id="10300" xr3:uid="{CB020926-1517-4BB8-B298-F23911CA9771}" name="Column10300"/>
    <tableColumn id="10301" xr3:uid="{159A3B0E-56B8-4A88-B355-7EF4E280878C}" name="Column10301"/>
    <tableColumn id="10302" xr3:uid="{E9A2FE3A-52E4-43D3-9BD1-AF6A073F293A}" name="Column10302"/>
    <tableColumn id="10303" xr3:uid="{3D97E3EA-2D2A-4DE2-B624-7B7C5FFA8029}" name="Column10303"/>
    <tableColumn id="10304" xr3:uid="{D3AC56D7-479F-4D42-B729-F8DE7B379015}" name="Column10304"/>
    <tableColumn id="10305" xr3:uid="{F50543AC-95C7-4372-90CA-EE7C6A481A1D}" name="Column10305"/>
    <tableColumn id="10306" xr3:uid="{323619E8-1006-47FB-ADDE-C051B56DD2F1}" name="Column10306"/>
    <tableColumn id="10307" xr3:uid="{30212C86-6894-48D3-970C-3BCB5F2B66B4}" name="Column10307"/>
    <tableColumn id="10308" xr3:uid="{50A99914-7223-4BAD-AB3C-CB382243CA7F}" name="Column10308"/>
    <tableColumn id="10309" xr3:uid="{31A0199A-DDA0-48DD-B1B0-D4B55D56BD5E}" name="Column10309"/>
    <tableColumn id="10310" xr3:uid="{34532A44-F835-4015-81EB-27C81F9FFE3F}" name="Column10310"/>
    <tableColumn id="10311" xr3:uid="{665BFE31-13A5-4B77-B05F-C52F2D50D36B}" name="Column10311"/>
    <tableColumn id="10312" xr3:uid="{78583DD9-9D69-47EA-9A18-0C9C182424CC}" name="Column10312"/>
    <tableColumn id="10313" xr3:uid="{9F0CDE7A-A7A0-4705-88DC-6693B889FB4D}" name="Column10313"/>
    <tableColumn id="10314" xr3:uid="{2ADA3C62-0847-4B6E-AFEF-29B5753F8801}" name="Column10314"/>
    <tableColumn id="10315" xr3:uid="{41A7B0F4-AE98-4150-A46C-315689FE5025}" name="Column10315"/>
    <tableColumn id="10316" xr3:uid="{37B70D6A-DBF0-42C6-ABDE-C74D369689A0}" name="Column10316"/>
    <tableColumn id="10317" xr3:uid="{97560AF7-02DC-4A32-B012-28B48F4967CF}" name="Column10317"/>
    <tableColumn id="10318" xr3:uid="{D4215604-DE8A-4B8B-9EE4-11FEBBBE67C6}" name="Column10318"/>
    <tableColumn id="10319" xr3:uid="{4C610A44-361E-4DAC-9F71-44E8429BCE93}" name="Column10319"/>
    <tableColumn id="10320" xr3:uid="{C2C44AC6-062D-4D0D-B83D-4E406ACE1733}" name="Column10320"/>
    <tableColumn id="10321" xr3:uid="{1A89FE6B-7946-49C4-A805-97ACFDA40019}" name="Column10321"/>
    <tableColumn id="10322" xr3:uid="{8C2D3E72-D6C1-44F1-88F6-82A1FBB4762A}" name="Column10322"/>
    <tableColumn id="10323" xr3:uid="{12A4F3A7-9C26-47E9-BC61-FFCE66F5BCA6}" name="Column10323"/>
    <tableColumn id="10324" xr3:uid="{F6EB256B-B81E-45D0-833F-F281A27DFE64}" name="Column10324"/>
    <tableColumn id="10325" xr3:uid="{5A7F8811-ECC7-4553-902A-6316282922C0}" name="Column10325"/>
    <tableColumn id="10326" xr3:uid="{E180DC15-880D-4C36-B0EE-DD094BCC323E}" name="Column10326"/>
    <tableColumn id="10327" xr3:uid="{7B8510F2-31EA-4136-8A5D-C1A7BC01B5A3}" name="Column10327"/>
    <tableColumn id="10328" xr3:uid="{EBC0A896-C4EF-4192-A712-F81D25115E84}" name="Column10328"/>
    <tableColumn id="10329" xr3:uid="{39E15097-6C2D-4800-9CBD-8758F7859A67}" name="Column10329"/>
    <tableColumn id="10330" xr3:uid="{E812B4CC-B96D-4967-B9E0-62514C799E8D}" name="Column10330"/>
    <tableColumn id="10331" xr3:uid="{C30DD738-FF00-4A1D-A92D-37BB839A8D03}" name="Column10331"/>
    <tableColumn id="10332" xr3:uid="{28A2957B-B789-4873-8967-BB5D44DF3F9F}" name="Column10332"/>
    <tableColumn id="10333" xr3:uid="{E23F91B9-E6F7-4B55-8510-5541E0682B51}" name="Column10333"/>
    <tableColumn id="10334" xr3:uid="{9F5D6B9B-F2C3-4BDF-82AA-FB9C216F1971}" name="Column10334"/>
    <tableColumn id="10335" xr3:uid="{19A69458-4D34-4AD4-BE8A-2F72D7D7EF79}" name="Column10335"/>
    <tableColumn id="10336" xr3:uid="{C2474F02-31D5-428B-8DF6-3D8F67605DEA}" name="Column10336"/>
    <tableColumn id="10337" xr3:uid="{87131BBB-F740-4CD2-AD4C-C6E0E7377943}" name="Column10337"/>
    <tableColumn id="10338" xr3:uid="{5F372085-A53B-4C3F-A06E-5E9473AB9904}" name="Column10338"/>
    <tableColumn id="10339" xr3:uid="{8EBE6436-025E-4EDD-8087-3628A302A9CA}" name="Column10339"/>
    <tableColumn id="10340" xr3:uid="{768323FD-BAF6-43A9-8A3C-B2F37A82CDC1}" name="Column10340"/>
    <tableColumn id="10341" xr3:uid="{34125B1D-0481-4CCF-9B1F-0B4B2EB44000}" name="Column10341"/>
    <tableColumn id="10342" xr3:uid="{73C48E58-BAE5-4864-9713-B63CD6EDEC6E}" name="Column10342"/>
    <tableColumn id="10343" xr3:uid="{77F06910-BCEE-4F3F-AE48-A9FD964A5473}" name="Column10343"/>
    <tableColumn id="10344" xr3:uid="{A465F1B7-3310-4570-B468-1FEC0E8EEFB8}" name="Column10344"/>
    <tableColumn id="10345" xr3:uid="{0934A9BC-FBD0-455E-8595-6F83D9B0987A}" name="Column10345"/>
    <tableColumn id="10346" xr3:uid="{C0A84B5C-2AAE-4B30-B20B-ACA337CC86CC}" name="Column10346"/>
    <tableColumn id="10347" xr3:uid="{9B7569BE-7FC7-4E70-812F-15F83F433848}" name="Column10347"/>
    <tableColumn id="10348" xr3:uid="{2210399F-10E5-4A66-B750-D63AFA3EAEBA}" name="Column10348"/>
    <tableColumn id="10349" xr3:uid="{25A4B80E-72F9-43F2-A6B6-2FBA726AEC43}" name="Column10349"/>
    <tableColumn id="10350" xr3:uid="{8CC781EE-E311-4CAC-A5CF-4B1170151609}" name="Column10350"/>
    <tableColumn id="10351" xr3:uid="{C2778D45-691C-4C6B-BE60-2AFC439B6D44}" name="Column10351"/>
    <tableColumn id="10352" xr3:uid="{1100CD8C-643A-4E8F-A151-74C66A102C37}" name="Column10352"/>
    <tableColumn id="10353" xr3:uid="{D46FE8F0-105D-4DD0-B7A9-D162CF1EA9FD}" name="Column10353"/>
    <tableColumn id="10354" xr3:uid="{170F9589-0033-4EE6-9DC7-11C8CAEE6231}" name="Column10354"/>
    <tableColumn id="10355" xr3:uid="{783D704F-70E0-438A-B94E-AD2A748224B5}" name="Column10355"/>
    <tableColumn id="10356" xr3:uid="{644C6DEA-6231-42D7-9C1F-CCC7CA25F8CC}" name="Column10356"/>
    <tableColumn id="10357" xr3:uid="{B3D8CE94-0910-4839-B128-AA85861AA647}" name="Column10357"/>
    <tableColumn id="10358" xr3:uid="{1382B002-531B-4B27-B719-0EFD176DCA2A}" name="Column10358"/>
    <tableColumn id="10359" xr3:uid="{AE38508C-4E5A-41F6-9E0E-30658F2EFC2A}" name="Column10359"/>
    <tableColumn id="10360" xr3:uid="{B1E8AB36-17F8-420A-8E9E-8DFC0016DA84}" name="Column10360"/>
    <tableColumn id="10361" xr3:uid="{371339D6-5DE2-438C-9C95-D1D7BB86344A}" name="Column10361"/>
    <tableColumn id="10362" xr3:uid="{D76838AE-DE23-4507-8D56-0246BF69B3CC}" name="Column10362"/>
    <tableColumn id="10363" xr3:uid="{6AF43FE0-F6B6-4AF7-895C-E59EDB995F52}" name="Column10363"/>
    <tableColumn id="10364" xr3:uid="{0CF4554A-9554-46BF-8D77-C6E1C902AEA0}" name="Column10364"/>
    <tableColumn id="10365" xr3:uid="{BC8E79D3-C9AE-420D-99B6-B89C0B6E81E1}" name="Column10365"/>
    <tableColumn id="10366" xr3:uid="{4D9F2B07-C6E3-47D1-B238-6C8969080AB0}" name="Column10366"/>
    <tableColumn id="10367" xr3:uid="{9FF72239-2341-4AA7-84AC-D854F8DB489C}" name="Column10367"/>
    <tableColumn id="10368" xr3:uid="{4CB53B18-5402-4B37-BA9B-20A930A1EECB}" name="Column10368"/>
    <tableColumn id="10369" xr3:uid="{324EE155-07D8-45B0-BCF6-7395F130C8E6}" name="Column10369"/>
    <tableColumn id="10370" xr3:uid="{A4D2C6B9-075A-4947-962F-B2412A353C68}" name="Column10370"/>
    <tableColumn id="10371" xr3:uid="{87F76B1B-1FB8-4A66-9928-4465D53B1A21}" name="Column10371"/>
    <tableColumn id="10372" xr3:uid="{5D5E6895-BB91-4934-AF39-BDC58CB0D6D4}" name="Column10372"/>
    <tableColumn id="10373" xr3:uid="{1761BF2D-269C-4D1E-AE05-981D685A1131}" name="Column10373"/>
    <tableColumn id="10374" xr3:uid="{1298CECF-0774-4550-AB84-43F1EA6900DF}" name="Column10374"/>
    <tableColumn id="10375" xr3:uid="{5F9BA257-7556-45F2-87E3-790FC45D0330}" name="Column10375"/>
    <tableColumn id="10376" xr3:uid="{89943272-74FE-46A8-8E5E-E34EE4199FBB}" name="Column10376"/>
    <tableColumn id="10377" xr3:uid="{99711DD6-54CE-49FF-9C80-29EF2E2F2F0D}" name="Column10377"/>
    <tableColumn id="10378" xr3:uid="{20DA59B0-A48B-4D89-8F02-03BF3B68C2C7}" name="Column10378"/>
    <tableColumn id="10379" xr3:uid="{7972359D-B9E3-4EE4-B015-D9453AC4D568}" name="Column10379"/>
    <tableColumn id="10380" xr3:uid="{A7A66C1C-094E-4FE4-B415-52ADF54316F9}" name="Column10380"/>
    <tableColumn id="10381" xr3:uid="{A5CFBF22-CB75-43BE-9E7A-6FA077AAC74A}" name="Column10381"/>
    <tableColumn id="10382" xr3:uid="{E2329D76-1E48-4D55-B5D4-4D89DB3EC176}" name="Column10382"/>
    <tableColumn id="10383" xr3:uid="{0763EF15-F587-4F4C-BBF7-CA29421D25CA}" name="Column10383"/>
    <tableColumn id="10384" xr3:uid="{86D79AF6-8744-4120-9126-98E56924FAC8}" name="Column10384"/>
    <tableColumn id="10385" xr3:uid="{50554855-3378-4DC7-9586-EDF328830941}" name="Column10385"/>
    <tableColumn id="10386" xr3:uid="{EEEF986E-E2ED-489B-A2F6-3711A37B127A}" name="Column10386"/>
    <tableColumn id="10387" xr3:uid="{8AAF1D53-564F-43AF-8B62-3C158CB673C5}" name="Column10387"/>
    <tableColumn id="10388" xr3:uid="{F466BBFF-B21F-4394-93A7-CDF07D5D6D5F}" name="Column10388"/>
    <tableColumn id="10389" xr3:uid="{D13FB5E0-9D5F-435E-8FBE-0DF2FC4ADC27}" name="Column10389"/>
    <tableColumn id="10390" xr3:uid="{21BD6EFF-280F-477B-A42B-53686119C6D9}" name="Column10390"/>
    <tableColumn id="10391" xr3:uid="{51C04969-3724-4E9C-9CE8-42A1FEA787EC}" name="Column10391"/>
    <tableColumn id="10392" xr3:uid="{A8252A48-8800-4BAD-B3F9-75D8AADB4E29}" name="Column10392"/>
    <tableColumn id="10393" xr3:uid="{DDA9A35B-76BD-4E9E-A648-E937E0756AF1}" name="Column10393"/>
    <tableColumn id="10394" xr3:uid="{C1FD883E-8443-4A23-809E-DF9F373E7A05}" name="Column10394"/>
    <tableColumn id="10395" xr3:uid="{B15CF9F6-E3C0-4ED7-BBBE-EE8DB2DAC02D}" name="Column10395"/>
    <tableColumn id="10396" xr3:uid="{DBACA455-066C-47DA-8A2D-C7966D870B6A}" name="Column10396"/>
    <tableColumn id="10397" xr3:uid="{73CA5C99-ED33-4298-B66A-A6D3AC8FB5A6}" name="Column10397"/>
    <tableColumn id="10398" xr3:uid="{BFB3F707-1EB0-47A9-BB50-8C428BA9FC0A}" name="Column10398"/>
    <tableColumn id="10399" xr3:uid="{24BB1AB7-1B09-4D40-87EF-3A0197F69CEB}" name="Column10399"/>
    <tableColumn id="10400" xr3:uid="{8DCD2C18-FC05-4242-8ED7-7262987DC437}" name="Column10400"/>
    <tableColumn id="10401" xr3:uid="{A55C409F-E681-4764-947B-FA6FC25D1014}" name="Column10401"/>
    <tableColumn id="10402" xr3:uid="{96102AD4-AF66-46DC-AB7C-5D14CF9C7731}" name="Column10402"/>
    <tableColumn id="10403" xr3:uid="{9E952BAF-4F89-47BE-8DBD-1FD0258D3496}" name="Column10403"/>
    <tableColumn id="10404" xr3:uid="{0EBCC122-268C-4CC5-AFF9-5C1594871178}" name="Column10404"/>
    <tableColumn id="10405" xr3:uid="{69983181-56C4-44CA-8758-5657680F1DE3}" name="Column10405"/>
    <tableColumn id="10406" xr3:uid="{51BF9739-8E69-4A94-8CA0-AB88B4C15DD9}" name="Column10406"/>
    <tableColumn id="10407" xr3:uid="{B31D9DA9-4506-490F-BB48-CD9226683BFE}" name="Column10407"/>
    <tableColumn id="10408" xr3:uid="{BDF7F781-52E9-48BD-8AF6-CD6A70A899E1}" name="Column10408"/>
    <tableColumn id="10409" xr3:uid="{D4E2536B-1A95-4533-9DD5-C188FA863DBA}" name="Column10409"/>
    <tableColumn id="10410" xr3:uid="{18B9D5AB-D86F-47FE-AE55-67831A803034}" name="Column10410"/>
    <tableColumn id="10411" xr3:uid="{7D00EFFA-1620-4535-B54A-BBCAFE9D5C76}" name="Column10411"/>
    <tableColumn id="10412" xr3:uid="{A3FF6534-1A49-4DAF-8F91-4B2C06C78ADC}" name="Column10412"/>
    <tableColumn id="10413" xr3:uid="{02F3BF95-C449-42F5-8D99-0FD681903D1F}" name="Column10413"/>
    <tableColumn id="10414" xr3:uid="{3993A25B-572A-4034-B5F5-E3177FFEA1A7}" name="Column10414"/>
    <tableColumn id="10415" xr3:uid="{92842D1B-CF18-4966-B95F-E0AA4C6C2986}" name="Column10415"/>
    <tableColumn id="10416" xr3:uid="{D4A766F4-D782-441F-806A-29CE2469CE7F}" name="Column10416"/>
    <tableColumn id="10417" xr3:uid="{4CFC3E39-2C8C-4228-9F88-C61CFDEBD160}" name="Column10417"/>
    <tableColumn id="10418" xr3:uid="{E6AAC28C-5198-42D7-8B32-E5D9EEAF632F}" name="Column10418"/>
    <tableColumn id="10419" xr3:uid="{FE083D2E-196A-4F0D-BD3B-940BCEDD3A54}" name="Column10419"/>
    <tableColumn id="10420" xr3:uid="{B7235911-37C6-4849-95A6-A0D1940BD816}" name="Column10420"/>
    <tableColumn id="10421" xr3:uid="{AE6C2C12-A82E-4DA3-A60E-634BF9D3A8F6}" name="Column10421"/>
    <tableColumn id="10422" xr3:uid="{273C02FB-1814-4ED3-B2BA-97138B797007}" name="Column10422"/>
    <tableColumn id="10423" xr3:uid="{89341D22-61FD-44F0-A7EB-8CFB3D11EEEC}" name="Column10423"/>
    <tableColumn id="10424" xr3:uid="{AA36BE20-F73B-447C-AF65-339E9B5C05DD}" name="Column10424"/>
    <tableColumn id="10425" xr3:uid="{3B867240-2B8D-459D-8CC1-B43352C84AFE}" name="Column10425"/>
    <tableColumn id="10426" xr3:uid="{47DE3EC3-C0F2-452D-8B53-BF0E3CC6800C}" name="Column10426"/>
    <tableColumn id="10427" xr3:uid="{459C7BE6-4755-4D7D-A3DC-55983A1EEC42}" name="Column10427"/>
    <tableColumn id="10428" xr3:uid="{E092C794-FD94-458E-A751-9C45622A3C84}" name="Column10428"/>
    <tableColumn id="10429" xr3:uid="{3F8F0A22-D02E-4526-AFF5-17523E6C4667}" name="Column10429"/>
    <tableColumn id="10430" xr3:uid="{B06D5279-30F9-4834-AB31-D39BF9C52E16}" name="Column10430"/>
    <tableColumn id="10431" xr3:uid="{F9407CB6-23E7-4FB9-9888-AD1855E30715}" name="Column10431"/>
    <tableColumn id="10432" xr3:uid="{FC77F211-7052-4130-8602-427443A80BE0}" name="Column10432"/>
    <tableColumn id="10433" xr3:uid="{FD49D23F-9380-4357-99F5-F9D00C75BC29}" name="Column10433"/>
    <tableColumn id="10434" xr3:uid="{40BC2640-2B3E-45B9-8CAE-7CF63EFF0C2F}" name="Column10434"/>
    <tableColumn id="10435" xr3:uid="{DBA4C272-AE1B-4CB7-8B1C-251BC30DEEAA}" name="Column10435"/>
    <tableColumn id="10436" xr3:uid="{AF6D3E79-2F5E-4641-906C-2EB6CAD99B5F}" name="Column10436"/>
    <tableColumn id="10437" xr3:uid="{EA511028-97E8-480C-93CB-92B598004187}" name="Column10437"/>
    <tableColumn id="10438" xr3:uid="{B37933DA-EB5C-49F0-B31E-B94484D4305A}" name="Column10438"/>
    <tableColumn id="10439" xr3:uid="{F40791DD-BDFA-47FB-AF59-B10D354F0B9D}" name="Column10439"/>
    <tableColumn id="10440" xr3:uid="{6CAA396F-BF1E-4AE4-927E-E30DBA20536E}" name="Column10440"/>
    <tableColumn id="10441" xr3:uid="{6C2B4DC9-66C2-412B-AB6D-BCB752FEB8CC}" name="Column10441"/>
    <tableColumn id="10442" xr3:uid="{FA5002F5-896C-4052-B88E-4918191A327A}" name="Column10442"/>
    <tableColumn id="10443" xr3:uid="{38E72405-ACDB-4A61-B87F-155A10D4F472}" name="Column10443"/>
    <tableColumn id="10444" xr3:uid="{97432907-4473-4628-8CB7-EF473C5D2CDA}" name="Column10444"/>
    <tableColumn id="10445" xr3:uid="{6A7B1741-699B-435D-9D9C-82E6CA420CCB}" name="Column10445"/>
    <tableColumn id="10446" xr3:uid="{785A0A7E-069E-46EB-88C0-1620EAFFFCFE}" name="Column10446"/>
    <tableColumn id="10447" xr3:uid="{96B602BD-E539-4126-BCF7-A20779FD6C5E}" name="Column10447"/>
    <tableColumn id="10448" xr3:uid="{93D00E1E-DD70-488B-B5C9-D579C74FFF66}" name="Column10448"/>
    <tableColumn id="10449" xr3:uid="{F1C80A7E-D64E-41D3-A021-3515C07D83C4}" name="Column10449"/>
    <tableColumn id="10450" xr3:uid="{13E81AB1-96AB-48CF-8576-0AD84B0E4A39}" name="Column10450"/>
    <tableColumn id="10451" xr3:uid="{8F9738F6-3FCD-4FF3-B4E9-D45D4E33FF90}" name="Column10451"/>
    <tableColumn id="10452" xr3:uid="{9DB46FD8-CC8D-41ED-86C4-7D38987D42B2}" name="Column10452"/>
    <tableColumn id="10453" xr3:uid="{84B96882-EC41-4D32-AE01-1A3B66E546B6}" name="Column10453"/>
    <tableColumn id="10454" xr3:uid="{731B832F-3336-406E-9889-7055FD5D5D8E}" name="Column10454"/>
    <tableColumn id="10455" xr3:uid="{4F0B9665-D5F4-4C95-8AE9-79B7ED9EF687}" name="Column10455"/>
    <tableColumn id="10456" xr3:uid="{9AD1AC46-6E83-49EF-B84A-B30CC4603F63}" name="Column10456"/>
    <tableColumn id="10457" xr3:uid="{6AB2B236-0374-4677-934E-9311D73716DD}" name="Column10457"/>
    <tableColumn id="10458" xr3:uid="{1183DB1B-328E-4D3D-A819-13E1A5F247CC}" name="Column10458"/>
    <tableColumn id="10459" xr3:uid="{781BB504-73B1-446C-857D-801167BC5739}" name="Column10459"/>
    <tableColumn id="10460" xr3:uid="{8F6D4796-5CDE-4483-A602-F3AABF66EA98}" name="Column10460"/>
    <tableColumn id="10461" xr3:uid="{EBC9E576-0665-49B0-9EB4-164B2C763FEB}" name="Column10461"/>
    <tableColumn id="10462" xr3:uid="{8373611A-173F-4A1F-BDB8-D49D60E81F74}" name="Column10462"/>
    <tableColumn id="10463" xr3:uid="{F8C5BE8C-8045-47CC-A8A2-43FF3977EA49}" name="Column10463"/>
    <tableColumn id="10464" xr3:uid="{F4C24FF8-BABF-4D81-8A8E-26928EE7D89C}" name="Column10464"/>
    <tableColumn id="10465" xr3:uid="{15C27316-34AB-4790-BA44-F1BE1EA03B3F}" name="Column10465"/>
    <tableColumn id="10466" xr3:uid="{A949D02C-1F5D-4F73-9C6F-59F72020AE35}" name="Column10466"/>
    <tableColumn id="10467" xr3:uid="{60B59D4C-398F-4D27-A4DE-25EE9E798D1A}" name="Column10467"/>
    <tableColumn id="10468" xr3:uid="{7125A286-EF41-4D82-AB3E-91C1EE20C6CD}" name="Column10468"/>
    <tableColumn id="10469" xr3:uid="{E5D6AFA0-896F-491D-A8AF-9A2B7186713E}" name="Column10469"/>
    <tableColumn id="10470" xr3:uid="{471082BD-40ED-487F-B04D-FFD94C91EFCD}" name="Column10470"/>
    <tableColumn id="10471" xr3:uid="{662DCB72-8E35-40AE-BE38-6C79E096A315}" name="Column10471"/>
    <tableColumn id="10472" xr3:uid="{6370FB96-3E8E-4D8D-9FFE-79D96B9DA4BB}" name="Column10472"/>
    <tableColumn id="10473" xr3:uid="{F2588185-FF98-4087-A9DA-C544F928632A}" name="Column10473"/>
    <tableColumn id="10474" xr3:uid="{1868F531-37D9-4A6E-8C69-A02EEF624852}" name="Column10474"/>
    <tableColumn id="10475" xr3:uid="{27F855D4-7C0F-4429-9700-36F347232CFD}" name="Column10475"/>
    <tableColumn id="10476" xr3:uid="{0BB147FA-160C-45DC-92A1-937EC764F8A0}" name="Column10476"/>
    <tableColumn id="10477" xr3:uid="{015E2A11-208D-40D4-9FA0-FA0DDFB14897}" name="Column10477"/>
    <tableColumn id="10478" xr3:uid="{7D1031C3-CF18-4F5C-8815-FB9F5078EF7B}" name="Column10478"/>
    <tableColumn id="10479" xr3:uid="{61E55C54-3243-41B1-A473-656B4143708E}" name="Column10479"/>
    <tableColumn id="10480" xr3:uid="{470C2EF2-9E8B-45BA-BE80-A25F191A3E2F}" name="Column10480"/>
    <tableColumn id="10481" xr3:uid="{DCE55DC4-BF86-4240-95C3-24EB75D12574}" name="Column10481"/>
    <tableColumn id="10482" xr3:uid="{5F114AA7-8B40-4845-A46B-4FFD18890FF4}" name="Column10482"/>
    <tableColumn id="10483" xr3:uid="{21E67F6A-77CB-402F-BAE9-B456E7F59EE1}" name="Column10483"/>
    <tableColumn id="10484" xr3:uid="{0D640572-20AA-4256-BEC3-FED5F60A17ED}" name="Column10484"/>
    <tableColumn id="10485" xr3:uid="{F0C6993B-20E0-4906-99A4-F274BE92ED28}" name="Column10485"/>
    <tableColumn id="10486" xr3:uid="{48D6CAF3-E8C7-4CBE-90B2-23CE2C14C22F}" name="Column10486"/>
    <tableColumn id="10487" xr3:uid="{D8C8C98C-AE2C-4E0B-834D-B4891ACA8A0A}" name="Column10487"/>
    <tableColumn id="10488" xr3:uid="{9B0E1ADA-5564-4E6E-AF77-6B42E3E8D848}" name="Column10488"/>
    <tableColumn id="10489" xr3:uid="{B679B778-87A2-45B6-9A79-B7B3C4484958}" name="Column10489"/>
    <tableColumn id="10490" xr3:uid="{63C9D1B3-9484-4C46-A66F-63A5962D823F}" name="Column10490"/>
    <tableColumn id="10491" xr3:uid="{8FC8502D-A717-4577-8510-9DD374637A48}" name="Column10491"/>
    <tableColumn id="10492" xr3:uid="{78BA8F4B-AF69-46D5-B462-33D16DA831AA}" name="Column10492"/>
    <tableColumn id="10493" xr3:uid="{CCEEB58F-14F3-430A-8B24-E96E07DF70BB}" name="Column10493"/>
    <tableColumn id="10494" xr3:uid="{6280FF50-9300-4C39-B222-EFA96F76A8B4}" name="Column10494"/>
    <tableColumn id="10495" xr3:uid="{EC162EA0-3A48-47E8-8D4D-7950EE7EC2AE}" name="Column10495"/>
    <tableColumn id="10496" xr3:uid="{A0C9311D-F573-428C-9C27-86B932E79728}" name="Column10496"/>
    <tableColumn id="10497" xr3:uid="{353F6DE9-EB3A-4FCF-9A4C-5D7C8A495003}" name="Column10497"/>
    <tableColumn id="10498" xr3:uid="{0DE527C3-4A90-4B2D-8F73-24A0C98B98B3}" name="Column10498"/>
    <tableColumn id="10499" xr3:uid="{F5474489-EACB-4951-9835-FE654A88B8D6}" name="Column10499"/>
    <tableColumn id="10500" xr3:uid="{F12F61A8-AA6C-4B14-A852-BA7A3C0BFFAC}" name="Column10500"/>
    <tableColumn id="10501" xr3:uid="{566FCF51-A430-47F3-83D3-E181E63E7C51}" name="Column10501"/>
    <tableColumn id="10502" xr3:uid="{5022DD2B-BF26-42AD-8180-C375026D1FAE}" name="Column10502"/>
    <tableColumn id="10503" xr3:uid="{81EA3950-10CF-43B1-9A14-99F37534F9EF}" name="Column10503"/>
    <tableColumn id="10504" xr3:uid="{3E4BD736-83B7-4E76-9EF4-47A9EFEE97B0}" name="Column10504"/>
    <tableColumn id="10505" xr3:uid="{EEBFF3AE-9863-474A-8074-CDE09CDDCA98}" name="Column10505"/>
    <tableColumn id="10506" xr3:uid="{C869837F-7947-44A9-80EE-E9612F81E969}" name="Column10506"/>
    <tableColumn id="10507" xr3:uid="{EEFB29DE-60AA-4BBE-BB9C-232E4DB16A92}" name="Column10507"/>
    <tableColumn id="10508" xr3:uid="{C2972A9E-BE87-4F3E-B3C1-DE2CA5C02E1B}" name="Column10508"/>
    <tableColumn id="10509" xr3:uid="{F54C69EE-C4BD-4881-8D41-D05117BE7851}" name="Column10509"/>
    <tableColumn id="10510" xr3:uid="{F33393EC-0D80-4410-87D3-A251AF86626D}" name="Column10510"/>
    <tableColumn id="10511" xr3:uid="{D35A3A6F-20AB-46B0-985F-CCF727ACFF6A}" name="Column10511"/>
    <tableColumn id="10512" xr3:uid="{4BC63405-A8B8-4AC9-88E6-E63CD847DB39}" name="Column10512"/>
    <tableColumn id="10513" xr3:uid="{353FE22F-5B91-41FB-98E3-983840958183}" name="Column10513"/>
    <tableColumn id="10514" xr3:uid="{960641B8-5E82-489A-AEB9-E47E359ED566}" name="Column10514"/>
    <tableColumn id="10515" xr3:uid="{1C631D31-58C3-4AB5-9376-07557A2EB606}" name="Column10515"/>
    <tableColumn id="10516" xr3:uid="{93FD3F48-7A9E-4016-852D-AF01EBD4358A}" name="Column10516"/>
    <tableColumn id="10517" xr3:uid="{F94FB5D4-2EEE-4E40-B887-B25BBA08C8E6}" name="Column10517"/>
    <tableColumn id="10518" xr3:uid="{7298E024-B0B8-426F-9500-7E73C7048F04}" name="Column10518"/>
    <tableColumn id="10519" xr3:uid="{AC103BF9-3D4B-4CAB-B702-4B67C1D7597E}" name="Column10519"/>
    <tableColumn id="10520" xr3:uid="{38502473-DA58-4896-8F6A-B287C59F7275}" name="Column10520"/>
    <tableColumn id="10521" xr3:uid="{DE559F01-CA2E-4950-9ED2-26593F00763E}" name="Column10521"/>
    <tableColumn id="10522" xr3:uid="{D36E8034-BCC0-423F-998F-1D9CEC2B88D2}" name="Column10522"/>
    <tableColumn id="10523" xr3:uid="{7EDFBDC1-A4AC-496F-9AA6-2EC4739C3BD1}" name="Column10523"/>
    <tableColumn id="10524" xr3:uid="{77FE9D83-C954-4E88-ACA6-1F4DF1B57A2F}" name="Column10524"/>
    <tableColumn id="10525" xr3:uid="{C8393CC0-FB38-4B8C-8F31-78F140CF2AF6}" name="Column10525"/>
    <tableColumn id="10526" xr3:uid="{5100A96D-94C7-4F38-B5C5-92DECEBDCEE6}" name="Column10526"/>
    <tableColumn id="10527" xr3:uid="{DCEBBCA2-D13B-43F6-8C8E-2890B9EE4924}" name="Column10527"/>
    <tableColumn id="10528" xr3:uid="{FD2C0A45-E7F0-4BA2-9FD2-7490B0554A29}" name="Column10528"/>
    <tableColumn id="10529" xr3:uid="{230BDB22-BA76-4221-A122-32FA43BCACAC}" name="Column10529"/>
    <tableColumn id="10530" xr3:uid="{5BEC4340-C1C8-4CC7-8D7E-B007A904E4C2}" name="Column10530"/>
    <tableColumn id="10531" xr3:uid="{5904686C-8757-48F2-B338-3080A71F8ADA}" name="Column10531"/>
    <tableColumn id="10532" xr3:uid="{E63122EB-8953-4A72-A24F-4A69AAB10BFF}" name="Column10532"/>
    <tableColumn id="10533" xr3:uid="{741A4F0B-6904-4110-B8B5-94B568623041}" name="Column10533"/>
    <tableColumn id="10534" xr3:uid="{489C0250-D046-4FFC-A577-EBACDF3CFBB1}" name="Column10534"/>
    <tableColumn id="10535" xr3:uid="{47B39FB0-50B2-47BD-BA7B-BC5F1672CB3B}" name="Column10535"/>
    <tableColumn id="10536" xr3:uid="{7D0DBC7B-C4EC-489A-85BF-5A1AABAA0C5A}" name="Column10536"/>
    <tableColumn id="10537" xr3:uid="{37B1FF14-DA96-4907-A7A4-D57DB50B7965}" name="Column10537"/>
    <tableColumn id="10538" xr3:uid="{E0B8B457-4975-4BA8-9DD8-1135EF2A6A9C}" name="Column10538"/>
    <tableColumn id="10539" xr3:uid="{504E114A-7AA4-425C-B663-420270E3C4B4}" name="Column10539"/>
    <tableColumn id="10540" xr3:uid="{CCC76003-F5BE-465E-B849-4FE0B6CE0711}" name="Column10540"/>
    <tableColumn id="10541" xr3:uid="{9EB45966-473C-4F02-8344-37923089CF19}" name="Column10541"/>
    <tableColumn id="10542" xr3:uid="{B763B469-3093-4B95-9394-879674DFCCF0}" name="Column10542"/>
    <tableColumn id="10543" xr3:uid="{F9939B93-7572-4075-AF90-11DA64D22F0D}" name="Column10543"/>
    <tableColumn id="10544" xr3:uid="{5221D170-1B58-40CB-B38A-E86F48CE618F}" name="Column10544"/>
    <tableColumn id="10545" xr3:uid="{5E4B2608-3A7D-4BCD-B6B5-6C75903862A8}" name="Column10545"/>
    <tableColumn id="10546" xr3:uid="{60DE10EF-B1D7-4CC1-9708-5FD334FB34A4}" name="Column10546"/>
    <tableColumn id="10547" xr3:uid="{56105DCE-E803-4458-8058-26590C67CF37}" name="Column10547"/>
    <tableColumn id="10548" xr3:uid="{717926CF-ACBC-471C-B2A8-C3DDFB6AF1F0}" name="Column10548"/>
    <tableColumn id="10549" xr3:uid="{33A8009A-7320-46B6-86C4-CC117C6EBC35}" name="Column10549"/>
    <tableColumn id="10550" xr3:uid="{EC792721-031E-4ACA-9002-7DB57A72A520}" name="Column10550"/>
    <tableColumn id="10551" xr3:uid="{AAECED79-9846-47BF-A322-614CB4062958}" name="Column10551"/>
    <tableColumn id="10552" xr3:uid="{43DD953F-3E31-4B1A-A836-5234659436A2}" name="Column10552"/>
    <tableColumn id="10553" xr3:uid="{A030A18E-2170-4064-8D83-11BA3268F33E}" name="Column10553"/>
    <tableColumn id="10554" xr3:uid="{3262427B-4BD6-4AC6-AA1F-2F81C23EBE4D}" name="Column10554"/>
    <tableColumn id="10555" xr3:uid="{7A208A17-B689-4FD7-A447-C95326F9B410}" name="Column10555"/>
    <tableColumn id="10556" xr3:uid="{2656C819-C444-4CEB-B547-59C88741301F}" name="Column10556"/>
    <tableColumn id="10557" xr3:uid="{12D8C288-3E34-4505-A696-85D97606A7E1}" name="Column10557"/>
    <tableColumn id="10558" xr3:uid="{29A5B7AA-5EE8-4308-B406-C2E2D5F4B6D8}" name="Column10558"/>
    <tableColumn id="10559" xr3:uid="{92B5D768-73C4-4083-9F62-A25D2E8E0855}" name="Column10559"/>
    <tableColumn id="10560" xr3:uid="{75320590-98C9-40AD-B69F-D641F2A3BF4A}" name="Column10560"/>
    <tableColumn id="10561" xr3:uid="{A7342D37-81C5-4A9E-B44F-6537D9C61909}" name="Column10561"/>
    <tableColumn id="10562" xr3:uid="{1095C1D7-E3F3-4CBC-9C14-B966CCF54892}" name="Column10562"/>
    <tableColumn id="10563" xr3:uid="{1EC7133C-E417-49A1-9E84-89F3F6320225}" name="Column10563"/>
    <tableColumn id="10564" xr3:uid="{BD1AD0DB-D1F7-4870-94D4-6F716F07B8A2}" name="Column10564"/>
    <tableColumn id="10565" xr3:uid="{FCBA5223-4DA2-409C-A054-AF84A4B2D76F}" name="Column10565"/>
    <tableColumn id="10566" xr3:uid="{35285E74-B285-461E-8343-E6CFD057A599}" name="Column10566"/>
    <tableColumn id="10567" xr3:uid="{AB7CE7E2-986D-4A25-9255-B822865CF8D7}" name="Column10567"/>
    <tableColumn id="10568" xr3:uid="{9B6F1A4D-4E95-4FEE-8ADD-2B9E66878C61}" name="Column10568"/>
    <tableColumn id="10569" xr3:uid="{955DC9C3-1646-479A-8ADE-D33ABD213545}" name="Column10569"/>
    <tableColumn id="10570" xr3:uid="{E7541769-0DAB-43EA-9200-863D34570E45}" name="Column10570"/>
    <tableColumn id="10571" xr3:uid="{EB3074DA-E9F5-445D-9A4B-8279A45FAA64}" name="Column10571"/>
    <tableColumn id="10572" xr3:uid="{BDEA9F23-E71E-4199-A3D4-8557AC615C3C}" name="Column10572"/>
    <tableColumn id="10573" xr3:uid="{271917EF-F8C3-4B6D-8880-5583CC380023}" name="Column10573"/>
    <tableColumn id="10574" xr3:uid="{EA3FA31B-A8BB-4776-94E1-5F1AA79B14EA}" name="Column10574"/>
    <tableColumn id="10575" xr3:uid="{CF4E6605-A1AD-4D16-9A66-1826CC50B78A}" name="Column10575"/>
    <tableColumn id="10576" xr3:uid="{E993E5CD-D735-4924-9E02-D548984F97C3}" name="Column10576"/>
    <tableColumn id="10577" xr3:uid="{E145827B-0742-4C82-8D40-0CAF6FFCFCC1}" name="Column10577"/>
    <tableColumn id="10578" xr3:uid="{250D754D-D495-46E9-B612-3D7342E72175}" name="Column10578"/>
    <tableColumn id="10579" xr3:uid="{E9608F6A-2961-409E-8C52-AA034A18C69C}" name="Column10579"/>
    <tableColumn id="10580" xr3:uid="{CB4D7822-5B49-4BC0-BF97-C87DF92733E8}" name="Column10580"/>
    <tableColumn id="10581" xr3:uid="{80C5249B-7E24-4E9D-A5B9-9AB6F0BE41CC}" name="Column10581"/>
    <tableColumn id="10582" xr3:uid="{E60BFBB5-8189-4BDD-B604-DDA39AAB5114}" name="Column10582"/>
    <tableColumn id="10583" xr3:uid="{A87EBE8C-B988-4737-BA73-9FC5A2351720}" name="Column10583"/>
    <tableColumn id="10584" xr3:uid="{8345D2F6-7184-475E-987A-68579A6C06D7}" name="Column10584"/>
    <tableColumn id="10585" xr3:uid="{342FAC65-EB0E-478C-8516-5B7319A0D772}" name="Column10585"/>
    <tableColumn id="10586" xr3:uid="{89A54534-563E-48BB-A3FE-1EF3B2114F7C}" name="Column10586"/>
    <tableColumn id="10587" xr3:uid="{B9D1A552-7FF3-4DB8-9A12-4B5E870F9659}" name="Column10587"/>
    <tableColumn id="10588" xr3:uid="{B0CD0D36-FC12-41A5-8E6E-46CFC7C56B2E}" name="Column10588"/>
    <tableColumn id="10589" xr3:uid="{6B333B6A-C7D0-4BED-A952-95692DA54852}" name="Column10589"/>
    <tableColumn id="10590" xr3:uid="{E7856216-4146-40BD-BBE7-2F44627D5FEB}" name="Column10590"/>
    <tableColumn id="10591" xr3:uid="{89A5FA02-330D-4BF8-B9FA-32077996EAA0}" name="Column10591"/>
    <tableColumn id="10592" xr3:uid="{D2E3839E-01AF-41A9-BB15-90F78A40C164}" name="Column10592"/>
    <tableColumn id="10593" xr3:uid="{CC7DC14A-575C-487B-9813-73F2CBB2791A}" name="Column10593"/>
    <tableColumn id="10594" xr3:uid="{ADD78DF9-C50F-4303-A047-804B4F20DAF3}" name="Column10594"/>
    <tableColumn id="10595" xr3:uid="{9BD046A0-71F3-4F90-9182-5DF6B6A37611}" name="Column10595"/>
    <tableColumn id="10596" xr3:uid="{2E982811-BEF8-401D-A080-F65C48FE7AA4}" name="Column10596"/>
    <tableColumn id="10597" xr3:uid="{01609640-C016-489F-B435-C98F3C64F25E}" name="Column10597"/>
    <tableColumn id="10598" xr3:uid="{9BCF0461-630F-471E-9899-A64DCA0874A3}" name="Column10598"/>
    <tableColumn id="10599" xr3:uid="{1D7BA25F-9E20-4BF6-B5DF-7BA9787FDB19}" name="Column10599"/>
    <tableColumn id="10600" xr3:uid="{0DA062E6-82FC-4383-8D7A-857BB5150259}" name="Column10600"/>
    <tableColumn id="10601" xr3:uid="{EE71688D-2497-4D93-B836-62B6A432244D}" name="Column10601"/>
    <tableColumn id="10602" xr3:uid="{89A14836-E0D8-450D-AE37-8C433BA7EBD1}" name="Column10602"/>
    <tableColumn id="10603" xr3:uid="{A2C1CE4A-B0AD-4DCD-B3FD-E35A4AEBD7EA}" name="Column10603"/>
    <tableColumn id="10604" xr3:uid="{784C9AD5-C245-4C0C-ABA8-1498FDAE5505}" name="Column10604"/>
    <tableColumn id="10605" xr3:uid="{0BE69E29-3CBC-4C06-9A94-49009D0AC4BB}" name="Column10605"/>
    <tableColumn id="10606" xr3:uid="{D176221F-C9E6-434F-9715-ED97B276BADF}" name="Column10606"/>
    <tableColumn id="10607" xr3:uid="{897EAB69-600F-49E2-B9F2-2F8504F0936A}" name="Column10607"/>
    <tableColumn id="10608" xr3:uid="{13096339-159D-4EF1-B6AB-23242F949157}" name="Column10608"/>
    <tableColumn id="10609" xr3:uid="{D96B5891-609B-4CEC-8E0D-010E803DC0D3}" name="Column10609"/>
    <tableColumn id="10610" xr3:uid="{541D8283-CAD0-4E63-A5FA-14432EF8570F}" name="Column10610"/>
    <tableColumn id="10611" xr3:uid="{E6185B75-DF72-4416-B930-7A710297F1CA}" name="Column10611"/>
    <tableColumn id="10612" xr3:uid="{665B13B7-648D-45FE-9633-27E99CA34126}" name="Column10612"/>
    <tableColumn id="10613" xr3:uid="{FFA77C8E-A4E3-4190-92F3-56AD05DCFC0A}" name="Column10613"/>
    <tableColumn id="10614" xr3:uid="{14938796-9A14-4244-A2BA-B9F146A47821}" name="Column10614"/>
    <tableColumn id="10615" xr3:uid="{D9E4F513-F140-4EEA-9BB3-5A45160B2DA9}" name="Column10615"/>
    <tableColumn id="10616" xr3:uid="{90477292-B728-4E23-9A36-1904465769B0}" name="Column10616"/>
    <tableColumn id="10617" xr3:uid="{3A235FC3-DD98-493D-A31D-0F25CFE5F225}" name="Column10617"/>
    <tableColumn id="10618" xr3:uid="{75103B43-BC40-4196-830F-AED5F17E46C7}" name="Column10618"/>
    <tableColumn id="10619" xr3:uid="{0EDA3C95-AAC4-4096-BA73-C684ADB0C28B}" name="Column10619"/>
    <tableColumn id="10620" xr3:uid="{6B0A375B-0670-4154-A46D-0B40E60A742B}" name="Column10620"/>
    <tableColumn id="10621" xr3:uid="{8C000DBA-9828-497A-A05D-3241823760E3}" name="Column10621"/>
    <tableColumn id="10622" xr3:uid="{2F976A83-AC50-41C4-A422-0EA311A744EB}" name="Column10622"/>
    <tableColumn id="10623" xr3:uid="{563D7564-B7E8-4BA1-B4BA-35BEFF3C8D26}" name="Column10623"/>
    <tableColumn id="10624" xr3:uid="{B4479A90-5027-4216-A195-5067B43A03C5}" name="Column10624"/>
    <tableColumn id="10625" xr3:uid="{9E1CE250-5889-423A-A6E5-4B9B8F739D7C}" name="Column10625"/>
    <tableColumn id="10626" xr3:uid="{30E378B4-636C-49C6-9D01-01F9CC720675}" name="Column10626"/>
    <tableColumn id="10627" xr3:uid="{A1949572-1681-4875-900E-71E19E8EBF3F}" name="Column10627"/>
    <tableColumn id="10628" xr3:uid="{46263A19-36CC-4BF3-B822-D03D287C95E6}" name="Column10628"/>
    <tableColumn id="10629" xr3:uid="{EABAB3B6-69EE-4168-AC78-B932B0DA3576}" name="Column10629"/>
    <tableColumn id="10630" xr3:uid="{9E62A1B6-DA48-451E-B753-8B71A5504C0F}" name="Column10630"/>
    <tableColumn id="10631" xr3:uid="{3F495AD7-D9C7-4B13-8A32-8EDB9B25AF76}" name="Column10631"/>
    <tableColumn id="10632" xr3:uid="{2649C361-80EB-4910-AB43-EC833809CA7C}" name="Column10632"/>
    <tableColumn id="10633" xr3:uid="{3E46949F-1B96-46DB-8C0D-9F6AA1498CA7}" name="Column10633"/>
    <tableColumn id="10634" xr3:uid="{59570C9F-C1D7-43EB-B492-995463023500}" name="Column10634"/>
    <tableColumn id="10635" xr3:uid="{E76B5AF1-31E8-46B1-9D17-3B24427A5702}" name="Column10635"/>
    <tableColumn id="10636" xr3:uid="{9ED307C3-0B18-4482-86A2-A5C7141A3680}" name="Column10636"/>
    <tableColumn id="10637" xr3:uid="{A7EF55E3-941B-4810-A5D9-1D8E0864A677}" name="Column10637"/>
    <tableColumn id="10638" xr3:uid="{8711FE3B-AF1D-449B-9427-499E93DB3970}" name="Column10638"/>
    <tableColumn id="10639" xr3:uid="{260F444C-3C9D-4F44-8FB2-531DAD796291}" name="Column10639"/>
    <tableColumn id="10640" xr3:uid="{15560DD1-5C8B-44CF-BDE5-0912A1988C1F}" name="Column10640"/>
    <tableColumn id="10641" xr3:uid="{34E70118-5E9C-4F7C-858C-F26C697F5B55}" name="Column10641"/>
    <tableColumn id="10642" xr3:uid="{90807F4B-DB87-4510-BD45-A8DEE266354D}" name="Column10642"/>
    <tableColumn id="10643" xr3:uid="{E4F7A192-B0F9-4AB2-893C-37D72CCEDCEF}" name="Column10643"/>
    <tableColumn id="10644" xr3:uid="{B1D02AAB-9B55-424A-A5C9-8A1EEE4D2BFB}" name="Column10644"/>
    <tableColumn id="10645" xr3:uid="{227901AC-22B3-49D9-A642-78242DD320CD}" name="Column10645"/>
    <tableColumn id="10646" xr3:uid="{6FD41623-4CD9-409F-9BF1-B5CEDE3B1BFF}" name="Column10646"/>
    <tableColumn id="10647" xr3:uid="{5A9D0DA4-3C7C-425F-8BA8-BF033BCF5A6C}" name="Column10647"/>
    <tableColumn id="10648" xr3:uid="{79C1A9A1-A29D-4ADB-B2E9-2ADEB01CA65F}" name="Column10648"/>
    <tableColumn id="10649" xr3:uid="{ABECB031-E3C1-440B-900D-6B20FD8A3D40}" name="Column10649"/>
    <tableColumn id="10650" xr3:uid="{6737485F-B877-4775-AA59-1AAD7A3EBD61}" name="Column10650"/>
    <tableColumn id="10651" xr3:uid="{A40E3DD3-A99B-4F1C-A65E-A85D255C448E}" name="Column10651"/>
    <tableColumn id="10652" xr3:uid="{06605682-E8FC-4F9F-AE21-7428B61EC94B}" name="Column10652"/>
    <tableColumn id="10653" xr3:uid="{A1DB20EF-AA8E-47F6-AEFD-EBBA3CAF3129}" name="Column10653"/>
    <tableColumn id="10654" xr3:uid="{E55FED33-4C4F-47CF-9783-BC2F1F414CA5}" name="Column10654"/>
    <tableColumn id="10655" xr3:uid="{70E92CF3-A41E-403A-AD83-7C93226B6645}" name="Column10655"/>
    <tableColumn id="10656" xr3:uid="{5C136BCA-AD00-4400-9074-3B31B3169432}" name="Column10656"/>
    <tableColumn id="10657" xr3:uid="{F567788A-485D-434B-A648-5637E0E3C7CA}" name="Column10657"/>
    <tableColumn id="10658" xr3:uid="{9138D700-1C4A-4879-8971-2F236D2E7505}" name="Column10658"/>
    <tableColumn id="10659" xr3:uid="{9D192CAD-836C-465A-A6EC-5E2F5C6CF7FF}" name="Column10659"/>
    <tableColumn id="10660" xr3:uid="{209B39BB-9B18-4D30-B833-6F0C1CA1725A}" name="Column10660"/>
    <tableColumn id="10661" xr3:uid="{693DD6D5-A2D8-469B-BDD4-9C6983D17653}" name="Column10661"/>
    <tableColumn id="10662" xr3:uid="{9CBDE0A9-478D-4778-8BC4-4F618C8CF981}" name="Column10662"/>
    <tableColumn id="10663" xr3:uid="{E5277B8E-9725-4DB6-BF6D-3D4F5266C919}" name="Column10663"/>
    <tableColumn id="10664" xr3:uid="{604F9B1B-E7A1-491F-B539-C1BF18FFBFCF}" name="Column10664"/>
    <tableColumn id="10665" xr3:uid="{B1E9C1C3-B67D-4900-9D3D-9D8952A9BB73}" name="Column10665"/>
    <tableColumn id="10666" xr3:uid="{3D92EDF7-E46F-41E7-8FF9-2652AA68F220}" name="Column10666"/>
    <tableColumn id="10667" xr3:uid="{9EDDCF38-5B16-4771-9730-23A4DE547B10}" name="Column10667"/>
    <tableColumn id="10668" xr3:uid="{57F4A808-71C0-4176-8044-082D30E5FC7D}" name="Column10668"/>
    <tableColumn id="10669" xr3:uid="{236577BD-6043-4323-9326-F2785BA3D05D}" name="Column10669"/>
    <tableColumn id="10670" xr3:uid="{84BC3577-7798-4A58-B578-F9BCE0EDA5F8}" name="Column10670"/>
    <tableColumn id="10671" xr3:uid="{C1BA6D43-324B-4AC5-8CD0-1439312930A8}" name="Column10671"/>
    <tableColumn id="10672" xr3:uid="{2CD50557-B625-4282-8087-570D2DF043D0}" name="Column10672"/>
    <tableColumn id="10673" xr3:uid="{FC33887C-C79B-4156-A18B-95771D7CD810}" name="Column10673"/>
    <tableColumn id="10674" xr3:uid="{5E9ACE94-FE65-43F1-B2BB-6C341D1E2B4E}" name="Column10674"/>
    <tableColumn id="10675" xr3:uid="{AD7BCDCD-4DA3-40BB-AB23-93E2F48C92F0}" name="Column10675"/>
    <tableColumn id="10676" xr3:uid="{D3DAD589-B226-4DAC-BC69-DD0F6CC1B9AB}" name="Column10676"/>
    <tableColumn id="10677" xr3:uid="{04DDBCE4-370F-46C8-B5BF-B36A93A10368}" name="Column10677"/>
    <tableColumn id="10678" xr3:uid="{2D867561-B93D-40E0-8E6E-0B80A63C4FBF}" name="Column10678"/>
    <tableColumn id="10679" xr3:uid="{F6A3646E-E3F0-44C9-BF86-0545351569D3}" name="Column10679"/>
    <tableColumn id="10680" xr3:uid="{2D37E133-1FD1-4818-91D8-9F50EABF51A8}" name="Column10680"/>
    <tableColumn id="10681" xr3:uid="{E1D21E49-249A-411D-BD77-0549828FA1D3}" name="Column10681"/>
    <tableColumn id="10682" xr3:uid="{BA488765-E006-42E1-B47F-42FA8114115B}" name="Column10682"/>
    <tableColumn id="10683" xr3:uid="{04FD9161-7DEF-4673-801D-48382E53A9A6}" name="Column10683"/>
    <tableColumn id="10684" xr3:uid="{DA77665F-6C7C-4B41-893B-22826A565173}" name="Column10684"/>
    <tableColumn id="10685" xr3:uid="{B3DC111A-195B-4014-93BB-089D1968D1E6}" name="Column10685"/>
    <tableColumn id="10686" xr3:uid="{2B7C59E4-E2A3-461C-8C6C-4F35DBDCB901}" name="Column10686"/>
    <tableColumn id="10687" xr3:uid="{A26CE213-CA2C-4000-AF86-3F89BF12C7D8}" name="Column10687"/>
    <tableColumn id="10688" xr3:uid="{81B77584-C24B-44EF-BF94-056D59A0C11D}" name="Column10688"/>
    <tableColumn id="10689" xr3:uid="{5A271384-C488-4966-A3F0-BB78C7706C72}" name="Column10689"/>
    <tableColumn id="10690" xr3:uid="{F88946DD-14A6-4242-86B4-3FDC4E19C8F8}" name="Column10690"/>
    <tableColumn id="10691" xr3:uid="{0A919FBE-55FF-4D15-96D2-959611E2BF1E}" name="Column10691"/>
    <tableColumn id="10692" xr3:uid="{231C8C52-00C2-4CA2-85F0-74F187F1DD2B}" name="Column10692"/>
    <tableColumn id="10693" xr3:uid="{392A1FC2-470D-4EEE-9E2C-2AD0952B9D32}" name="Column10693"/>
    <tableColumn id="10694" xr3:uid="{41612498-96E9-418C-ADB7-D53B9F654FC0}" name="Column10694"/>
    <tableColumn id="10695" xr3:uid="{B64331B3-E955-4618-A0A2-CBC4CE904C68}" name="Column10695"/>
    <tableColumn id="10696" xr3:uid="{F42DF804-4431-429D-9809-D573E38E1A9C}" name="Column10696"/>
    <tableColumn id="10697" xr3:uid="{2522B618-F70D-43EB-83CB-68FF4DBA3A33}" name="Column10697"/>
    <tableColumn id="10698" xr3:uid="{AF2CA5D0-3097-4CCE-821D-0AE9AA9C74DD}" name="Column10698"/>
    <tableColumn id="10699" xr3:uid="{0D760D5F-F7B5-49E2-9E69-6C6F2839A792}" name="Column10699"/>
    <tableColumn id="10700" xr3:uid="{6D8B81FD-B573-4EC1-B6D2-85C4644645B0}" name="Column10700"/>
    <tableColumn id="10701" xr3:uid="{1E99B3D2-F456-4A78-9B96-43B2D60EA63E}" name="Column10701"/>
    <tableColumn id="10702" xr3:uid="{3E60A856-2892-46A9-88CE-858A5A3C7B2A}" name="Column10702"/>
    <tableColumn id="10703" xr3:uid="{2BC6E8B4-465D-41F2-877D-D437F0E9BDA6}" name="Column10703"/>
    <tableColumn id="10704" xr3:uid="{597E2D01-3407-4ED2-BFE4-47B21A67A25C}" name="Column10704"/>
    <tableColumn id="10705" xr3:uid="{D1AE707C-FE01-4EA2-B552-518223908290}" name="Column10705"/>
    <tableColumn id="10706" xr3:uid="{3052C1FB-623A-40D1-B78A-98E0201DA667}" name="Column10706"/>
    <tableColumn id="10707" xr3:uid="{9C525B3A-BDD4-432B-BF4B-A6324B24C905}" name="Column10707"/>
    <tableColumn id="10708" xr3:uid="{EA1FD0F4-5531-43D4-A409-884A1E068077}" name="Column10708"/>
    <tableColumn id="10709" xr3:uid="{85C3CB47-FFC3-456E-8DE0-8B403FB4AA6E}" name="Column10709"/>
    <tableColumn id="10710" xr3:uid="{E1D5B8A3-A0D4-4713-99B2-3CBED85792DC}" name="Column10710"/>
    <tableColumn id="10711" xr3:uid="{CBC4D5E1-99D5-41BB-9899-F4164CC30F0B}" name="Column10711"/>
    <tableColumn id="10712" xr3:uid="{D8347FF4-C264-4AD9-AB2A-FC8D796587D2}" name="Column10712"/>
    <tableColumn id="10713" xr3:uid="{556ABB38-58BA-4847-B760-EB5CA4860D4D}" name="Column10713"/>
    <tableColumn id="10714" xr3:uid="{1CC91C0E-A9A4-4D4F-9D08-7D664936A9FB}" name="Column10714"/>
    <tableColumn id="10715" xr3:uid="{B65F6649-EFCC-4921-BE1D-7B825D3E5FD1}" name="Column10715"/>
    <tableColumn id="10716" xr3:uid="{A2042357-D886-4C34-93C9-973543E85492}" name="Column10716"/>
    <tableColumn id="10717" xr3:uid="{A614697F-2F2C-4EE6-964F-7F66CA3A5BA0}" name="Column10717"/>
    <tableColumn id="10718" xr3:uid="{BA601F51-B785-4F41-B3E2-AE9F88A2320D}" name="Column10718"/>
    <tableColumn id="10719" xr3:uid="{AB4FE654-4B36-493D-8A55-9DF8CADCAE25}" name="Column10719"/>
    <tableColumn id="10720" xr3:uid="{4B8F4369-E5DE-400A-BFC0-2C581BB6A191}" name="Column10720"/>
    <tableColumn id="10721" xr3:uid="{0C59F6C0-B22B-4472-A5E9-E95344CF8FC8}" name="Column10721"/>
    <tableColumn id="10722" xr3:uid="{AD7C75DF-6563-410F-B8DD-BFFAB95FE1D4}" name="Column10722"/>
    <tableColumn id="10723" xr3:uid="{903F60E3-FDAB-4514-A56C-2A45F62AF049}" name="Column10723"/>
    <tableColumn id="10724" xr3:uid="{6172EABD-F793-4B4C-8C3D-7396ECA720EF}" name="Column10724"/>
    <tableColumn id="10725" xr3:uid="{4BFB572D-FDC6-49C7-B875-8484EDDE6E49}" name="Column10725"/>
    <tableColumn id="10726" xr3:uid="{DF0529FA-704E-4D27-9E49-2E3C7EF8E365}" name="Column10726"/>
    <tableColumn id="10727" xr3:uid="{5647E3D9-D1BC-4184-80D4-AA60F0BE90AB}" name="Column10727"/>
    <tableColumn id="10728" xr3:uid="{75E008CA-FF03-429B-A901-E27893CB5267}" name="Column10728"/>
    <tableColumn id="10729" xr3:uid="{79C93E20-C66A-4B26-A644-01B887ECD5B2}" name="Column10729"/>
    <tableColumn id="10730" xr3:uid="{E09E6D97-C704-4973-93B2-504BE78D1C71}" name="Column10730"/>
    <tableColumn id="10731" xr3:uid="{42989AAD-C45C-4565-9DAB-00635595091B}" name="Column10731"/>
    <tableColumn id="10732" xr3:uid="{8AA89CDA-D1F1-4FDC-A34D-74D62337D214}" name="Column10732"/>
    <tableColumn id="10733" xr3:uid="{C11A97BA-C24E-4E5D-8C8D-A205C0802CA4}" name="Column10733"/>
    <tableColumn id="10734" xr3:uid="{AE522F1C-795E-4ABD-94B2-B643F9B84742}" name="Column10734"/>
    <tableColumn id="10735" xr3:uid="{F3E9C7F2-C85A-4D51-88FA-4DF89325E69D}" name="Column10735"/>
    <tableColumn id="10736" xr3:uid="{B83A909C-4877-4B49-960A-3A88F8958311}" name="Column10736"/>
    <tableColumn id="10737" xr3:uid="{26DD18D7-6FDB-49F5-BF84-7C55C5D04FB8}" name="Column10737"/>
    <tableColumn id="10738" xr3:uid="{0F931AAB-D5A7-4087-BD95-78D6AE8B467E}" name="Column10738"/>
    <tableColumn id="10739" xr3:uid="{2D1DFC95-3191-4644-8BCB-5699180FDE9A}" name="Column10739"/>
    <tableColumn id="10740" xr3:uid="{B6223F04-99C1-48A3-B228-08A8BDB37954}" name="Column10740"/>
    <tableColumn id="10741" xr3:uid="{DE120F94-3DEC-493F-BDEC-925A5C15482B}" name="Column10741"/>
    <tableColumn id="10742" xr3:uid="{233774A1-72D3-4F65-96A4-0F8AEDE77BBC}" name="Column10742"/>
    <tableColumn id="10743" xr3:uid="{F9A9BE73-654B-412D-AADE-091FE8D42C46}" name="Column10743"/>
    <tableColumn id="10744" xr3:uid="{F72D68E9-F2DA-4FA6-B982-73A63074BBFD}" name="Column10744"/>
    <tableColumn id="10745" xr3:uid="{7B6FD726-6BA2-4AA3-B6E8-F4DB18DC94C8}" name="Column10745"/>
    <tableColumn id="10746" xr3:uid="{801056C3-0FA2-4150-9FF0-B291D08403D7}" name="Column10746"/>
    <tableColumn id="10747" xr3:uid="{78CC9A9A-351C-4750-BC07-D02E496A00E7}" name="Column10747"/>
    <tableColumn id="10748" xr3:uid="{E8D5AE61-BB40-4AEA-942B-CE8E4F9F4757}" name="Column10748"/>
    <tableColumn id="10749" xr3:uid="{D48109E6-8E5C-40A3-9602-4235426B6903}" name="Column10749"/>
    <tableColumn id="10750" xr3:uid="{81F2408B-8E8C-4D92-9117-2D33648A564B}" name="Column10750"/>
    <tableColumn id="10751" xr3:uid="{6E73C02E-A6D2-46A5-A31D-E39388A0FF36}" name="Column10751"/>
    <tableColumn id="10752" xr3:uid="{C0A89C41-21B1-4531-8F14-6DC9DD0A7B88}" name="Column10752"/>
    <tableColumn id="10753" xr3:uid="{C502496D-3837-4553-AD87-4E5960D7BF52}" name="Column10753"/>
    <tableColumn id="10754" xr3:uid="{104BE665-91F7-4D0C-9E69-7D1A42A18FE6}" name="Column10754"/>
    <tableColumn id="10755" xr3:uid="{B6D8725B-4739-4B37-AE7A-312BB98CB623}" name="Column10755"/>
    <tableColumn id="10756" xr3:uid="{3275939B-0EB3-44F7-B161-1166C6394C7F}" name="Column10756"/>
    <tableColumn id="10757" xr3:uid="{D4BAEB9A-67ED-400E-90BD-A779A598E14F}" name="Column10757"/>
    <tableColumn id="10758" xr3:uid="{AF5D3CC8-692B-45BF-9217-B0623BEEB8C1}" name="Column10758"/>
    <tableColumn id="10759" xr3:uid="{809EA691-2D59-4770-B08F-7FDDADA8893C}" name="Column10759"/>
    <tableColumn id="10760" xr3:uid="{E7E735A9-D9E6-4968-8920-95EC66CC2838}" name="Column10760"/>
    <tableColumn id="10761" xr3:uid="{0A5FF853-B873-4297-BBF4-6C26190553B7}" name="Column10761"/>
    <tableColumn id="10762" xr3:uid="{1BE3894F-49AA-48BC-A651-D32209CC9A08}" name="Column10762"/>
    <tableColumn id="10763" xr3:uid="{669B7688-1AE8-47A3-BF89-D04D4C95333C}" name="Column10763"/>
    <tableColumn id="10764" xr3:uid="{EF8A5E43-BE12-422A-B3D4-A6F9F3E06419}" name="Column10764"/>
    <tableColumn id="10765" xr3:uid="{2DD891E8-9B8D-4BCC-9508-C4FDEE46B5BA}" name="Column10765"/>
    <tableColumn id="10766" xr3:uid="{33B12D9A-768E-4532-A70B-41FDEEA53AFB}" name="Column10766"/>
    <tableColumn id="10767" xr3:uid="{02656971-20DF-4A51-A6CB-1D6463E3530F}" name="Column10767"/>
    <tableColumn id="10768" xr3:uid="{31EA8870-3700-46CC-A9F4-EC770DC41A0F}" name="Column10768"/>
    <tableColumn id="10769" xr3:uid="{DB0FDFD5-7F40-49B5-B496-B2E0F5B2273D}" name="Column10769"/>
    <tableColumn id="10770" xr3:uid="{B132FE1B-2B5C-424C-B67F-A6A4564684C5}" name="Column10770"/>
    <tableColumn id="10771" xr3:uid="{CC60FD25-C704-497A-9A8F-39B2AD60FC3D}" name="Column10771"/>
    <tableColumn id="10772" xr3:uid="{BD5F7B3C-4A6F-4B51-8939-E529CD6AB6A3}" name="Column10772"/>
    <tableColumn id="10773" xr3:uid="{60568787-76C4-4581-AF58-022D6F7F358E}" name="Column10773"/>
    <tableColumn id="10774" xr3:uid="{B06A3E37-14CC-41C7-90B7-3553B2C0EDEA}" name="Column10774"/>
    <tableColumn id="10775" xr3:uid="{5777DE63-9F18-4223-8ECA-2424C97E9C80}" name="Column10775"/>
    <tableColumn id="10776" xr3:uid="{B805FD43-404E-4A89-A082-6275DC1C5836}" name="Column10776"/>
    <tableColumn id="10777" xr3:uid="{690109E4-8680-4D7B-80A0-5E42C1F847F5}" name="Column10777"/>
    <tableColumn id="10778" xr3:uid="{03912D59-DC2B-4540-905A-185E5599B03B}" name="Column10778"/>
    <tableColumn id="10779" xr3:uid="{FF0AD997-2DEF-441A-ADC4-EF5AB2AB4686}" name="Column10779"/>
    <tableColumn id="10780" xr3:uid="{CAF1AC5B-AAC3-46BC-8A56-2F9BBF389507}" name="Column10780"/>
    <tableColumn id="10781" xr3:uid="{7E66B450-587C-4391-AB80-06B512D34572}" name="Column10781"/>
    <tableColumn id="10782" xr3:uid="{BF74ED10-B799-4DA6-B5E5-90CF8F65B21B}" name="Column10782"/>
    <tableColumn id="10783" xr3:uid="{47890A52-FCC4-4222-A458-6A96DD9ADB68}" name="Column10783"/>
    <tableColumn id="10784" xr3:uid="{E5FFEBFA-440B-4EB9-A2D3-ACE299853144}" name="Column10784"/>
    <tableColumn id="10785" xr3:uid="{A0805DA8-793F-418C-91C3-13B6BAD8E22E}" name="Column10785"/>
    <tableColumn id="10786" xr3:uid="{EEE154B8-FFE5-40DC-99A8-CDBF70062347}" name="Column10786"/>
    <tableColumn id="10787" xr3:uid="{D8EEAEE1-7787-45E0-9F6B-C0ED292A091C}" name="Column10787"/>
    <tableColumn id="10788" xr3:uid="{94549360-8309-402D-A61A-13882D89EF4F}" name="Column10788"/>
    <tableColumn id="10789" xr3:uid="{18795B5D-3E8E-43F9-832B-7324C9D54A79}" name="Column10789"/>
    <tableColumn id="10790" xr3:uid="{1AC0636A-9378-48A7-BE5F-83490063AEDC}" name="Column10790"/>
    <tableColumn id="10791" xr3:uid="{AC5E26DD-4802-4E43-B9FD-5DB18AB02D6E}" name="Column10791"/>
    <tableColumn id="10792" xr3:uid="{015314E3-6C83-4E63-808B-AB0D4DE90176}" name="Column10792"/>
    <tableColumn id="10793" xr3:uid="{F2E4629F-32A2-4AA2-99CA-BC2247400911}" name="Column10793"/>
    <tableColumn id="10794" xr3:uid="{5DDAD473-32DF-4D09-BD35-DC81049C0369}" name="Column10794"/>
    <tableColumn id="10795" xr3:uid="{6952A1EE-085B-4152-9B55-F723C557AFD2}" name="Column10795"/>
    <tableColumn id="10796" xr3:uid="{26304182-9CE0-4D0C-86AF-FE7B0740E87B}" name="Column10796"/>
    <tableColumn id="10797" xr3:uid="{48AAEEA1-C611-4BA4-B262-A8821501F2D8}" name="Column10797"/>
    <tableColumn id="10798" xr3:uid="{AA45E2FA-1D3D-4E4A-8041-2C2C16FBD74E}" name="Column10798"/>
    <tableColumn id="10799" xr3:uid="{C71C0D8A-C4F1-4F5E-9B8F-46BAF4C14B22}" name="Column10799"/>
    <tableColumn id="10800" xr3:uid="{1671E6BB-5312-461A-B764-9C86DDEB2BB3}" name="Column10800"/>
    <tableColumn id="10801" xr3:uid="{670731E4-B2E9-4195-920B-411A2B05ADFF}" name="Column10801"/>
    <tableColumn id="10802" xr3:uid="{D2A4842D-C704-4A21-A87D-430826DC3B71}" name="Column10802"/>
    <tableColumn id="10803" xr3:uid="{5E4AC023-0B78-4D57-86FF-8441E5142731}" name="Column10803"/>
    <tableColumn id="10804" xr3:uid="{77A5ECBC-DB14-4314-8BCE-E21703681F9F}" name="Column10804"/>
    <tableColumn id="10805" xr3:uid="{A2F33DFA-07C2-4840-A061-BE222147C4DD}" name="Column10805"/>
    <tableColumn id="10806" xr3:uid="{242A405B-B101-4EE7-A2F3-F2E4AFEAFA7E}" name="Column10806"/>
    <tableColumn id="10807" xr3:uid="{8F9A5749-21B5-48B4-9934-B9BB60258FF3}" name="Column10807"/>
    <tableColumn id="10808" xr3:uid="{F88445F6-DE79-412E-9C79-ED302B128E3D}" name="Column10808"/>
    <tableColumn id="10809" xr3:uid="{798ACC0E-F863-4E61-8663-FBE888C82CB3}" name="Column10809"/>
    <tableColumn id="10810" xr3:uid="{2A2D64C4-BDE4-491B-A2E1-3917245370C7}" name="Column10810"/>
    <tableColumn id="10811" xr3:uid="{31D5A1ED-0711-4796-8B18-D99F6E15B090}" name="Column10811"/>
    <tableColumn id="10812" xr3:uid="{22E2238D-368B-46B1-84DD-B12ABDBBB6FA}" name="Column10812"/>
    <tableColumn id="10813" xr3:uid="{F49C2AFE-7EB2-4EA5-9FC4-F9A00E9D1CBF}" name="Column10813"/>
    <tableColumn id="10814" xr3:uid="{7754002C-4518-4960-AB66-C4817E227FB5}" name="Column10814"/>
    <tableColumn id="10815" xr3:uid="{94B49067-4410-41BE-9B3E-247C683031AD}" name="Column10815"/>
    <tableColumn id="10816" xr3:uid="{CC248749-26B7-461C-A740-4848AACAFAAE}" name="Column10816"/>
    <tableColumn id="10817" xr3:uid="{EDB3B290-F176-498B-A9AE-9DC5072ED17F}" name="Column10817"/>
    <tableColumn id="10818" xr3:uid="{12321A44-97BE-4E9D-B864-1305A45AEE31}" name="Column10818"/>
    <tableColumn id="10819" xr3:uid="{4F10680F-1326-4D96-8095-2D14E7B45013}" name="Column10819"/>
    <tableColumn id="10820" xr3:uid="{787938D7-759E-4142-9FC5-7B2F683F394E}" name="Column10820"/>
    <tableColumn id="10821" xr3:uid="{9775BB63-1056-4385-BB46-1F0D160B7865}" name="Column10821"/>
    <tableColumn id="10822" xr3:uid="{3109C1CA-28AA-4A12-94FB-67824288968F}" name="Column10822"/>
    <tableColumn id="10823" xr3:uid="{3AF6DAA6-FEF8-4806-A3CD-E50D0C53DD80}" name="Column10823"/>
    <tableColumn id="10824" xr3:uid="{A66F8A7C-2365-4654-B704-B21864D631C5}" name="Column10824"/>
    <tableColumn id="10825" xr3:uid="{745C20C7-4E84-46CB-A425-27DA77A7AD03}" name="Column10825"/>
    <tableColumn id="10826" xr3:uid="{5BE88E6D-15AC-415B-B59D-2A05076E27D4}" name="Column10826"/>
    <tableColumn id="10827" xr3:uid="{C0B46355-4DC6-4D9E-A6B7-B119D8B22C58}" name="Column10827"/>
    <tableColumn id="10828" xr3:uid="{CCD76384-B021-417B-95D9-7FE062F2EB1F}" name="Column10828"/>
    <tableColumn id="10829" xr3:uid="{53F97740-B16F-4169-9885-974D775C4853}" name="Column10829"/>
    <tableColumn id="10830" xr3:uid="{4D91099A-76B6-43BB-8A8D-B11BB2CED58C}" name="Column10830"/>
    <tableColumn id="10831" xr3:uid="{A95BF20C-6114-4B3E-9B27-697F9D98FABD}" name="Column10831"/>
    <tableColumn id="10832" xr3:uid="{BB5BE0FF-A0D8-4014-9FAF-A9BD553D8120}" name="Column10832"/>
    <tableColumn id="10833" xr3:uid="{4AFEC370-B574-40DA-B75C-BBBE08C7DED5}" name="Column10833"/>
    <tableColumn id="10834" xr3:uid="{AD01D0EE-557C-49C8-9160-E8EA55CCED73}" name="Column10834"/>
    <tableColumn id="10835" xr3:uid="{A5B97F16-DCD8-4D75-AC37-DC8F168D923D}" name="Column10835"/>
    <tableColumn id="10836" xr3:uid="{E22FAAF1-EDB7-4D00-BCE9-5F190C5A43AD}" name="Column10836"/>
    <tableColumn id="10837" xr3:uid="{98EF2E75-53A2-41E7-9175-65F57645D071}" name="Column10837"/>
    <tableColumn id="10838" xr3:uid="{1F0E60A2-ECCC-4A7F-ADB1-D85BFD96B85A}" name="Column10838"/>
    <tableColumn id="10839" xr3:uid="{682C175B-604D-4C91-97AC-E70CFFB41F1A}" name="Column10839"/>
    <tableColumn id="10840" xr3:uid="{58C582ED-545E-446C-93AB-58B7FA655F3B}" name="Column10840"/>
    <tableColumn id="10841" xr3:uid="{D2412990-83DF-4459-90C2-7FD84F56C21D}" name="Column10841"/>
    <tableColumn id="10842" xr3:uid="{4D0A2FF0-002C-4135-979C-6D96582BBFE6}" name="Column10842"/>
    <tableColumn id="10843" xr3:uid="{DAD8239A-9265-4B0E-9FC9-3EBC7C839C77}" name="Column10843"/>
    <tableColumn id="10844" xr3:uid="{60F0604D-2EFB-45E2-9E6B-F61C21978DE7}" name="Column10844"/>
    <tableColumn id="10845" xr3:uid="{57D9BEA4-0C98-48FB-9DB7-016F69D2DF6D}" name="Column10845"/>
    <tableColumn id="10846" xr3:uid="{7E7FD518-8CF7-4E65-8CCA-E8AB3C6FF143}" name="Column10846"/>
    <tableColumn id="10847" xr3:uid="{2E4BDD4E-403A-4C91-AFEB-19753120E7BD}" name="Column10847"/>
    <tableColumn id="10848" xr3:uid="{45D4FC95-9B74-4B8E-ABB6-F88A50226D2B}" name="Column10848"/>
    <tableColumn id="10849" xr3:uid="{5B3CF7B9-791E-4C08-A559-E20AEEAF280C}" name="Column10849"/>
    <tableColumn id="10850" xr3:uid="{2A91D235-5F50-4823-8DB4-F5023404D4CB}" name="Column10850"/>
    <tableColumn id="10851" xr3:uid="{EF53DC5F-F765-4BAB-9855-D7D368F73062}" name="Column10851"/>
    <tableColumn id="10852" xr3:uid="{6CA39BB1-D8A0-42C7-8142-03F3FA734727}" name="Column10852"/>
    <tableColumn id="10853" xr3:uid="{60B95733-1608-4EDA-8A39-33031419E309}" name="Column10853"/>
    <tableColumn id="10854" xr3:uid="{571D4496-0096-4C5E-A15E-0BD5A75F141F}" name="Column10854"/>
    <tableColumn id="10855" xr3:uid="{BDE22429-698C-4764-8BAA-3D821F47E2BE}" name="Column10855"/>
    <tableColumn id="10856" xr3:uid="{CBC9FEF1-B384-4B4C-B252-94D2F783A82F}" name="Column10856"/>
    <tableColumn id="10857" xr3:uid="{DFE8F772-18BD-4883-8698-FCF4F77C1C5F}" name="Column10857"/>
    <tableColumn id="10858" xr3:uid="{1B61F900-E568-4CC4-9075-893B0918BF28}" name="Column10858"/>
    <tableColumn id="10859" xr3:uid="{39E865EA-E304-4422-A074-DD9844EC265F}" name="Column10859"/>
    <tableColumn id="10860" xr3:uid="{CB9DC3BB-443B-40F8-B117-4563F060B064}" name="Column10860"/>
    <tableColumn id="10861" xr3:uid="{97CE1D44-9142-4DDE-9BE7-12F0B5801597}" name="Column10861"/>
    <tableColumn id="10862" xr3:uid="{A82D530E-CBEB-4FD0-8E02-F8B5D3E509FD}" name="Column10862"/>
    <tableColumn id="10863" xr3:uid="{4C3C3CEA-8757-4651-8B36-CAEFA82D2D8F}" name="Column10863"/>
    <tableColumn id="10864" xr3:uid="{16549892-333A-4D47-9B3A-2881BA72059D}" name="Column10864"/>
    <tableColumn id="10865" xr3:uid="{96BCCC6E-9BB4-4928-9DC4-80FF0A1105AA}" name="Column10865"/>
    <tableColumn id="10866" xr3:uid="{D2E47F7D-8643-47A5-89F0-64B917EF7506}" name="Column10866"/>
    <tableColumn id="10867" xr3:uid="{7EAEE421-15F3-41ED-A205-5B72B2454812}" name="Column10867"/>
    <tableColumn id="10868" xr3:uid="{324D6FC7-4E10-4FC1-BC23-1B14CD71A382}" name="Column10868"/>
    <tableColumn id="10869" xr3:uid="{64D44075-EB5B-4D4E-835E-88A63DC8CE72}" name="Column10869"/>
    <tableColumn id="10870" xr3:uid="{B979E597-F7A4-4870-A659-1DBBB7F6D254}" name="Column10870"/>
    <tableColumn id="10871" xr3:uid="{71932C5F-A984-4CB3-B4A1-B6C3CB3EB15C}" name="Column10871"/>
    <tableColumn id="10872" xr3:uid="{FC54C6A5-C8F5-449D-8FD0-9333047518F4}" name="Column10872"/>
    <tableColumn id="10873" xr3:uid="{9EE87889-FC24-4BFE-98F6-98E8BBC0C291}" name="Column10873"/>
    <tableColumn id="10874" xr3:uid="{4A686A07-A61D-4D6A-B671-9E96E356E334}" name="Column10874"/>
    <tableColumn id="10875" xr3:uid="{DB98FBD8-17D3-4DB3-814E-4463D8872E49}" name="Column10875"/>
    <tableColumn id="10876" xr3:uid="{2808C953-0C1C-457E-8724-996616507B2B}" name="Column10876"/>
    <tableColumn id="10877" xr3:uid="{A9C5E038-ABB6-4EBE-B0E1-2FE7E8A142AF}" name="Column10877"/>
    <tableColumn id="10878" xr3:uid="{35783FFD-A949-414E-87DA-91705D1CAA87}" name="Column10878"/>
    <tableColumn id="10879" xr3:uid="{BD7F4CA1-C37B-4826-AE64-277B7ADF1A62}" name="Column10879"/>
    <tableColumn id="10880" xr3:uid="{882403A6-196A-4708-942F-7BA5D6D9C872}" name="Column10880"/>
    <tableColumn id="10881" xr3:uid="{26A69A76-273C-422E-A0A8-C4213D9C91AF}" name="Column10881"/>
    <tableColumn id="10882" xr3:uid="{16CA2BCE-73FC-44DE-87A4-7850AEF07C83}" name="Column10882"/>
    <tableColumn id="10883" xr3:uid="{554C1A38-2DE6-4DF7-AFC7-F7B4CA1CBBF3}" name="Column10883"/>
    <tableColumn id="10884" xr3:uid="{F985863E-6BF7-4C1C-AAE6-EA7C7CD10700}" name="Column10884"/>
    <tableColumn id="10885" xr3:uid="{EE73100C-142E-48E4-ADD9-5A66ABA2D718}" name="Column10885"/>
    <tableColumn id="10886" xr3:uid="{A08079D6-B5B9-445E-ACB9-207E9EC3E8DA}" name="Column10886"/>
    <tableColumn id="10887" xr3:uid="{21C69F14-6CAB-4B1D-9EA3-AE60BC265302}" name="Column10887"/>
    <tableColumn id="10888" xr3:uid="{984193AB-E489-49B5-AC17-DC42BB79FB3C}" name="Column10888"/>
    <tableColumn id="10889" xr3:uid="{2CA1C8DC-0331-44EB-A403-789A20C39751}" name="Column10889"/>
    <tableColumn id="10890" xr3:uid="{13BB1F6D-A388-4229-ABB9-EF88124374A7}" name="Column10890"/>
    <tableColumn id="10891" xr3:uid="{5B368D71-A7CF-4F9F-83B9-BE8AC34D66F1}" name="Column10891"/>
    <tableColumn id="10892" xr3:uid="{D081EEF8-EBFA-4621-B306-FE44E7F34610}" name="Column10892"/>
    <tableColumn id="10893" xr3:uid="{D59DF8D0-DB15-413F-A56C-6524D955A814}" name="Column10893"/>
    <tableColumn id="10894" xr3:uid="{F1690672-226F-4F41-826E-F2CB2ED5E336}" name="Column10894"/>
    <tableColumn id="10895" xr3:uid="{4508156E-285A-43DF-A0AF-1D2B761B1AC2}" name="Column10895"/>
    <tableColumn id="10896" xr3:uid="{4190DC55-C35B-494D-845A-D4774D20FC64}" name="Column10896"/>
    <tableColumn id="10897" xr3:uid="{DDCCE0F7-FB4D-4207-B6DC-3C862C638929}" name="Column10897"/>
    <tableColumn id="10898" xr3:uid="{31BC246D-BD0E-473B-851D-58073FE3B438}" name="Column10898"/>
    <tableColumn id="10899" xr3:uid="{68F58EEE-40AF-488C-8E7D-8DB03CB300E3}" name="Column10899"/>
    <tableColumn id="10900" xr3:uid="{8F0B72B3-4284-4FA2-A5F7-17CAF81DE69E}" name="Column10900"/>
    <tableColumn id="10901" xr3:uid="{2AA9454E-8D47-40DC-B021-B214AA3A5B48}" name="Column10901"/>
    <tableColumn id="10902" xr3:uid="{E8FBAD54-08ED-4283-9819-F565473500C2}" name="Column10902"/>
    <tableColumn id="10903" xr3:uid="{E0D2E1C4-E38D-43AB-BBDD-B49844462254}" name="Column10903"/>
    <tableColumn id="10904" xr3:uid="{87AF1B1B-E862-4AA5-8D77-990100FF2CA4}" name="Column10904"/>
    <tableColumn id="10905" xr3:uid="{6A69FAB9-EB85-49C9-BD9D-1BF87D6D2948}" name="Column10905"/>
    <tableColumn id="10906" xr3:uid="{3079458D-1716-4CDE-BA55-E084E8F2DC6F}" name="Column10906"/>
    <tableColumn id="10907" xr3:uid="{63E3DD70-72C7-4D49-ABBB-1064BE42985B}" name="Column10907"/>
    <tableColumn id="10908" xr3:uid="{8A26F766-0461-4AD2-B763-2B26DD590626}" name="Column10908"/>
    <tableColumn id="10909" xr3:uid="{F3FF4B51-3EA3-41CE-BEAB-0577AD175201}" name="Column10909"/>
    <tableColumn id="10910" xr3:uid="{68E3AD6E-ADCC-4A89-A713-5BBE1C65895D}" name="Column10910"/>
    <tableColumn id="10911" xr3:uid="{81B3122B-D3CA-43F1-B30D-DD5384FBEFAC}" name="Column10911"/>
    <tableColumn id="10912" xr3:uid="{CBC50059-A080-4DD5-8678-26457D10EA32}" name="Column10912"/>
    <tableColumn id="10913" xr3:uid="{5DFED27E-2A6D-44D9-BDCA-4BADF39EB272}" name="Column10913"/>
    <tableColumn id="10914" xr3:uid="{75A76BDA-6CEB-409C-8398-FBCFFFCFAF54}" name="Column10914"/>
    <tableColumn id="10915" xr3:uid="{BA540982-98A7-4370-87CF-D99E27128E30}" name="Column10915"/>
    <tableColumn id="10916" xr3:uid="{747CD787-1FBD-405F-A948-A70B199A820C}" name="Column10916"/>
    <tableColumn id="10917" xr3:uid="{7DC2EF6F-ADF6-40AE-9FB8-C438FFA52C46}" name="Column10917"/>
    <tableColumn id="10918" xr3:uid="{0B76BF81-3202-485B-9BD4-194C51FEE7BC}" name="Column10918"/>
    <tableColumn id="10919" xr3:uid="{34F78D9B-310C-4DCB-BA97-B5FC457472AB}" name="Column10919"/>
    <tableColumn id="10920" xr3:uid="{0E9B9BA0-62A8-419F-A2D1-524B603482DA}" name="Column10920"/>
    <tableColumn id="10921" xr3:uid="{8BAB1ED6-9799-4801-A93E-8AED4E897D7F}" name="Column10921"/>
    <tableColumn id="10922" xr3:uid="{32888496-DA44-46CE-8538-7D2423D6A8AE}" name="Column10922"/>
    <tableColumn id="10923" xr3:uid="{D0DCD2C1-0DDC-4E8F-B04C-2C55A1A5F490}" name="Column10923"/>
    <tableColumn id="10924" xr3:uid="{D61CC0F7-E6A5-49D2-B98B-E266E8EECB30}" name="Column10924"/>
    <tableColumn id="10925" xr3:uid="{160C57D5-207F-484E-A951-67AC4EAEF702}" name="Column10925"/>
    <tableColumn id="10926" xr3:uid="{4A2D2E9C-5C4D-4081-932F-25E98C43B72E}" name="Column10926"/>
    <tableColumn id="10927" xr3:uid="{E851357D-A024-49C6-A6EE-4FEE7A673F96}" name="Column10927"/>
    <tableColumn id="10928" xr3:uid="{B6049867-8482-4D99-9257-3712EB09884E}" name="Column10928"/>
    <tableColumn id="10929" xr3:uid="{51092B74-FB36-404A-8311-B0DC585C0FCA}" name="Column10929"/>
    <tableColumn id="10930" xr3:uid="{114E3093-55EC-4184-8688-44628BCC0F4A}" name="Column10930"/>
    <tableColumn id="10931" xr3:uid="{5ABAF393-77DC-4AF1-99ED-D11FB9C67C0A}" name="Column10931"/>
    <tableColumn id="10932" xr3:uid="{DCCD9D1D-948B-4F21-9074-FAD27E812E16}" name="Column10932"/>
    <tableColumn id="10933" xr3:uid="{D2FF1162-7B12-4FDA-93F5-4D4379609633}" name="Column10933"/>
    <tableColumn id="10934" xr3:uid="{A1253455-B082-4CC1-AF5E-E713B2409ADA}" name="Column10934"/>
    <tableColumn id="10935" xr3:uid="{F2CCCB85-723B-4D09-8F2D-D8EDC0DBC704}" name="Column10935"/>
    <tableColumn id="10936" xr3:uid="{BDEB566F-7475-431A-A177-35026534376E}" name="Column10936"/>
    <tableColumn id="10937" xr3:uid="{94F73717-32A4-4E2B-A962-FB17DBE5BA6A}" name="Column10937"/>
    <tableColumn id="10938" xr3:uid="{4560EDB3-5CD0-47F6-8A49-8D77E110F6D8}" name="Column10938"/>
    <tableColumn id="10939" xr3:uid="{49F6B9BE-BF39-4FAA-AEA8-C74F6883C4D8}" name="Column10939"/>
    <tableColumn id="10940" xr3:uid="{97FF5639-77D7-4191-A752-0659E8955D9B}" name="Column10940"/>
    <tableColumn id="10941" xr3:uid="{DDF05D97-060C-4463-A0BC-5B8B7938FA36}" name="Column10941"/>
    <tableColumn id="10942" xr3:uid="{D0C9B24B-FE59-4E02-B8B4-2F0912ADD748}" name="Column10942"/>
    <tableColumn id="10943" xr3:uid="{015C83DE-FD14-486C-B93B-FA50DFE6EDC9}" name="Column10943"/>
    <tableColumn id="10944" xr3:uid="{F91C80D9-0FE6-47D0-A5D4-603FF1EC8F73}" name="Column10944"/>
    <tableColumn id="10945" xr3:uid="{E1C2851E-B198-404B-A82F-F92D01247878}" name="Column10945"/>
    <tableColumn id="10946" xr3:uid="{DC6646AF-65C5-4CDE-9E07-4E9A3A474B1F}" name="Column10946"/>
    <tableColumn id="10947" xr3:uid="{65FB3842-0767-4A8F-9799-D1A84C0E528E}" name="Column10947"/>
    <tableColumn id="10948" xr3:uid="{12BC6CEF-76C2-44B9-BA70-12362B486079}" name="Column10948"/>
    <tableColumn id="10949" xr3:uid="{3A556CEB-C04D-430E-A8B4-26B51CD7BBEB}" name="Column10949"/>
    <tableColumn id="10950" xr3:uid="{E307CA57-DC7F-46B7-8C3B-31B4CB536972}" name="Column10950"/>
    <tableColumn id="10951" xr3:uid="{9C4E8B95-39F6-4375-99BA-DFC54DB4145F}" name="Column10951"/>
    <tableColumn id="10952" xr3:uid="{7EB3EBF4-1417-4E75-A9D6-33D71627AF7A}" name="Column10952"/>
    <tableColumn id="10953" xr3:uid="{25FB2C2B-156F-46AA-98F6-C867EBA6B6CD}" name="Column10953"/>
    <tableColumn id="10954" xr3:uid="{BA1EC03F-3FCE-47F0-8BCE-8E04A058A2BC}" name="Column10954"/>
    <tableColumn id="10955" xr3:uid="{2C83F0B6-9F4A-4363-8ED6-42B29E2461DE}" name="Column10955"/>
    <tableColumn id="10956" xr3:uid="{DD58EB0E-8B02-4F96-92CE-6BA9E9DA0786}" name="Column10956"/>
    <tableColumn id="10957" xr3:uid="{7CBE0A51-DF5C-48DE-A059-55EC9AF4F10C}" name="Column10957"/>
    <tableColumn id="10958" xr3:uid="{CC7D68CA-8789-4EEC-B288-CA97C1C1A323}" name="Column10958"/>
    <tableColumn id="10959" xr3:uid="{F63275F4-6BD9-4844-A403-64C5A91C5DF8}" name="Column10959"/>
    <tableColumn id="10960" xr3:uid="{47ED7BD0-E3C6-47C5-8D50-E1E726A9F594}" name="Column10960"/>
    <tableColumn id="10961" xr3:uid="{85F974C1-D98C-4B78-A874-08ABCD67CB31}" name="Column10961"/>
    <tableColumn id="10962" xr3:uid="{3D1683A1-2DAC-41E2-821A-65D910D7A6E0}" name="Column10962"/>
    <tableColumn id="10963" xr3:uid="{B7BA42F2-C0A9-44B3-83CC-ECFCF24A64FC}" name="Column10963"/>
    <tableColumn id="10964" xr3:uid="{D0CE4ECB-43A7-4E8B-81D7-4F9C9D502657}" name="Column10964"/>
    <tableColumn id="10965" xr3:uid="{1B95B9C7-676E-4350-AA2F-B1367F8900AE}" name="Column10965"/>
    <tableColumn id="10966" xr3:uid="{D761EAE7-E938-42BA-AE41-71D31B2020C9}" name="Column10966"/>
    <tableColumn id="10967" xr3:uid="{E08A1203-DB16-4C01-A742-2330318F630D}" name="Column10967"/>
    <tableColumn id="10968" xr3:uid="{DC9A74E9-31A5-4762-B9A6-3F6BE362C2AA}" name="Column10968"/>
    <tableColumn id="10969" xr3:uid="{72F09E89-F7D5-4645-8F7C-640DD3CCAF24}" name="Column10969"/>
    <tableColumn id="10970" xr3:uid="{9813AF50-07E6-4B62-BBD3-C6E404F2D233}" name="Column10970"/>
    <tableColumn id="10971" xr3:uid="{19DE5644-7D4A-44D5-9809-BF84DF8B4876}" name="Column10971"/>
    <tableColumn id="10972" xr3:uid="{848A3CDC-8517-4199-BAEC-0FF9BAE805F2}" name="Column10972"/>
    <tableColumn id="10973" xr3:uid="{A8CF231C-42EF-4FCD-8D0A-C8ABA0118823}" name="Column10973"/>
    <tableColumn id="10974" xr3:uid="{239B3777-02F5-4DF4-9A8B-3517E54AFC63}" name="Column10974"/>
    <tableColumn id="10975" xr3:uid="{8A76C4B0-B6B3-4876-97CD-39295C82B33C}" name="Column10975"/>
    <tableColumn id="10976" xr3:uid="{E9BF56D1-3CAF-489F-A1C6-1340A85E2877}" name="Column10976"/>
    <tableColumn id="10977" xr3:uid="{373AA977-C730-44E2-AD9F-DAFDA04A40CC}" name="Column10977"/>
    <tableColumn id="10978" xr3:uid="{F837ACBC-358E-406B-87F6-34EDB35C0378}" name="Column10978"/>
    <tableColumn id="10979" xr3:uid="{D5A99208-C355-4058-9FFB-C6F9D90F8857}" name="Column10979"/>
    <tableColumn id="10980" xr3:uid="{48E28769-D6CB-4B6D-9B1B-96A29059BD28}" name="Column10980"/>
    <tableColumn id="10981" xr3:uid="{DBD248DA-C1CD-4680-A817-FB211CAF8D05}" name="Column10981"/>
    <tableColumn id="10982" xr3:uid="{17DA3BEA-5DAB-4496-8C61-E0C313750631}" name="Column10982"/>
    <tableColumn id="10983" xr3:uid="{C7712009-0162-4710-B71E-9E181C21EBB8}" name="Column10983"/>
    <tableColumn id="10984" xr3:uid="{6BC54B9F-C5B6-4258-855D-6216A35085AE}" name="Column10984"/>
    <tableColumn id="10985" xr3:uid="{757B0DCF-65B3-4254-A279-2963E41E752C}" name="Column10985"/>
    <tableColumn id="10986" xr3:uid="{33E8E39D-20D7-4AF7-8D31-DA0AA16B21DA}" name="Column10986"/>
    <tableColumn id="10987" xr3:uid="{EFAC6266-6C92-4BC0-B724-5441652B6434}" name="Column10987"/>
    <tableColumn id="10988" xr3:uid="{6B353FCB-2121-4B66-916F-CD9FCBC2D8B6}" name="Column10988"/>
    <tableColumn id="10989" xr3:uid="{8998B292-5D2B-4478-BDAD-F977E3208C25}" name="Column10989"/>
    <tableColumn id="10990" xr3:uid="{73A4E222-9C3F-446A-A19C-9937FC6BD39C}" name="Column10990"/>
    <tableColumn id="10991" xr3:uid="{D4D94FCB-51E2-488A-A7F8-C5B97789D4E3}" name="Column10991"/>
    <tableColumn id="10992" xr3:uid="{DFDF265C-F0D7-43F5-94D6-E03E67A85C6D}" name="Column10992"/>
    <tableColumn id="10993" xr3:uid="{1B59CC83-674D-48A6-B6E6-1399FB5124C4}" name="Column10993"/>
    <tableColumn id="10994" xr3:uid="{4EA4AB28-C29E-460A-A5E9-06BF7B59685D}" name="Column10994"/>
    <tableColumn id="10995" xr3:uid="{44A76817-F69F-4BBB-8038-7C2D613FD851}" name="Column10995"/>
    <tableColumn id="10996" xr3:uid="{BB83D468-AD25-4921-B3DF-10B3C79F414A}" name="Column10996"/>
    <tableColumn id="10997" xr3:uid="{3151AC50-C576-47AD-826E-1A4049E99F50}" name="Column10997"/>
    <tableColumn id="10998" xr3:uid="{07FCFE30-0B71-49DD-AFD8-4D0DD95D70C9}" name="Column10998"/>
    <tableColumn id="10999" xr3:uid="{7F0230E7-46D6-4D59-A7F7-FBE09DB969E7}" name="Column10999"/>
    <tableColumn id="11000" xr3:uid="{C2D7C728-C291-46CF-AB8D-245AB24D4CA8}" name="Column11000"/>
    <tableColumn id="11001" xr3:uid="{4C3A40D1-7F77-4F2A-97C2-A870C8E059C0}" name="Column11001"/>
    <tableColumn id="11002" xr3:uid="{DE012C63-3E8A-47BB-BBB7-BE6708C3B3D1}" name="Column11002"/>
    <tableColumn id="11003" xr3:uid="{E1769CA4-D661-47D6-80A0-53FEF03878E9}" name="Column11003"/>
    <tableColumn id="11004" xr3:uid="{D0EF62C0-76A6-4212-B0F1-9F4F0BDBDCD6}" name="Column11004"/>
    <tableColumn id="11005" xr3:uid="{0C722582-E76A-4603-91FB-AE37C340B36F}" name="Column11005"/>
    <tableColumn id="11006" xr3:uid="{8BB54CE8-ED1C-42E7-9E86-6DD0A3A97E32}" name="Column11006"/>
    <tableColumn id="11007" xr3:uid="{0C2168FD-53BC-48AA-99C2-7B8E784CA232}" name="Column11007"/>
    <tableColumn id="11008" xr3:uid="{022462A4-07D3-4C0F-9F2F-0BC08DF92D98}" name="Column11008"/>
    <tableColumn id="11009" xr3:uid="{EAEB2760-0722-45BB-B0C7-57E014E480A7}" name="Column11009"/>
    <tableColumn id="11010" xr3:uid="{6CB8A9FF-8EC9-4102-B6D9-2A9E76A59AA4}" name="Column11010"/>
    <tableColumn id="11011" xr3:uid="{8F430A4E-2253-45C4-8369-BBE01B4BFF2E}" name="Column11011"/>
    <tableColumn id="11012" xr3:uid="{F63A1621-B457-4F50-B26D-B9FCD00AC47B}" name="Column11012"/>
    <tableColumn id="11013" xr3:uid="{DBF228D7-DD5B-4244-9488-B1FEF3718A56}" name="Column11013"/>
    <tableColumn id="11014" xr3:uid="{92FC6AF4-EA7C-4021-8348-278BA6664FEA}" name="Column11014"/>
    <tableColumn id="11015" xr3:uid="{F2A3B7FC-3071-4462-8937-CA80D75E9C38}" name="Column11015"/>
    <tableColumn id="11016" xr3:uid="{229EAD88-786F-46B0-A689-021E7A73C34E}" name="Column11016"/>
    <tableColumn id="11017" xr3:uid="{2D74A1C2-DA97-4E37-967A-FD1085F2095F}" name="Column11017"/>
    <tableColumn id="11018" xr3:uid="{A5D06F4C-6DBC-420A-9FA6-C2BEACF5327F}" name="Column11018"/>
    <tableColumn id="11019" xr3:uid="{ED3C3228-E92A-4236-8AD5-450AA2D7308E}" name="Column11019"/>
    <tableColumn id="11020" xr3:uid="{12061A17-749F-4A09-BEC3-A7BC42355AD3}" name="Column11020"/>
    <tableColumn id="11021" xr3:uid="{DAD10864-604A-47F8-8774-4A6030576B9A}" name="Column11021"/>
    <tableColumn id="11022" xr3:uid="{5295F080-D12E-4CBF-A4DB-C4C75AD930B4}" name="Column11022"/>
    <tableColumn id="11023" xr3:uid="{B11BC5DA-AB53-4F10-96BA-C7A2EB35557E}" name="Column11023"/>
    <tableColumn id="11024" xr3:uid="{27F5C127-0F9B-494E-B409-31F370855E6C}" name="Column11024"/>
    <tableColumn id="11025" xr3:uid="{96E5452E-658D-4601-B825-5FC409550B41}" name="Column11025"/>
    <tableColumn id="11026" xr3:uid="{3A05DFFE-848C-4A21-8B77-8AB090DA6651}" name="Column11026"/>
    <tableColumn id="11027" xr3:uid="{A8BDF052-330B-4A07-A1BF-FE92846B70E6}" name="Column11027"/>
    <tableColumn id="11028" xr3:uid="{A1C2E9D5-AC8F-4B69-AF57-3D9E3F2DFA8D}" name="Column11028"/>
    <tableColumn id="11029" xr3:uid="{A2AE1258-1772-4541-943D-823E35CD6999}" name="Column11029"/>
    <tableColumn id="11030" xr3:uid="{9FE64B24-37F7-4CE9-8F8E-FD09101233F2}" name="Column11030"/>
    <tableColumn id="11031" xr3:uid="{04A3660E-5F98-4B33-850F-4481D22331B0}" name="Column11031"/>
    <tableColumn id="11032" xr3:uid="{043E3D4B-901C-4DD3-80F1-AC27167539B1}" name="Column11032"/>
    <tableColumn id="11033" xr3:uid="{F6E5875E-B9E7-46BE-A54F-AF35B1CE7C54}" name="Column11033"/>
    <tableColumn id="11034" xr3:uid="{CA05DC7D-2418-4DC9-9772-DC9A22FF98E4}" name="Column11034"/>
    <tableColumn id="11035" xr3:uid="{92464DC3-D1D7-4B41-A9BB-DFA4A3B0F06C}" name="Column11035"/>
    <tableColumn id="11036" xr3:uid="{37647CB5-B7A4-48DF-B41F-FAE8CB72A174}" name="Column11036"/>
    <tableColumn id="11037" xr3:uid="{AD5AD333-B5CA-4310-A1F7-780CA8BCBDE5}" name="Column11037"/>
    <tableColumn id="11038" xr3:uid="{AD1979DA-D7AD-4B16-8834-D41E1BDC97E8}" name="Column11038"/>
    <tableColumn id="11039" xr3:uid="{4354BC73-9ECE-4432-958A-9F743AF2EA7B}" name="Column11039"/>
    <tableColumn id="11040" xr3:uid="{133AEFAC-F763-43C3-9AA9-BF60BC06F893}" name="Column11040"/>
    <tableColumn id="11041" xr3:uid="{C9675C03-8A61-43D4-B666-440F4E3B293E}" name="Column11041"/>
    <tableColumn id="11042" xr3:uid="{08A39B0C-99B9-4920-AFF2-2C07C96BE230}" name="Column11042"/>
    <tableColumn id="11043" xr3:uid="{FA14803F-BB60-4F1A-9C54-40129F1F8749}" name="Column11043"/>
    <tableColumn id="11044" xr3:uid="{5066F3C0-2C6F-406C-B2CC-EECEBFC21C6B}" name="Column11044"/>
    <tableColumn id="11045" xr3:uid="{F8FC9BC9-0F89-4E68-A749-9B8EFE3B86C1}" name="Column11045"/>
    <tableColumn id="11046" xr3:uid="{FE73028F-6C6B-455D-86AD-7527E57BC800}" name="Column11046"/>
    <tableColumn id="11047" xr3:uid="{FFF15399-D41C-42D3-8959-5717EA45A841}" name="Column11047"/>
    <tableColumn id="11048" xr3:uid="{23CE97AF-E11B-444D-AF9E-7161A75197B4}" name="Column11048"/>
    <tableColumn id="11049" xr3:uid="{213F996E-F988-4D94-8672-FCBBD7D616E0}" name="Column11049"/>
    <tableColumn id="11050" xr3:uid="{AAE6A92B-600B-4262-85F5-0B298B1B23D9}" name="Column11050"/>
    <tableColumn id="11051" xr3:uid="{64878BCC-C10C-43C8-81B8-CCB00C592301}" name="Column11051"/>
    <tableColumn id="11052" xr3:uid="{6A537CEB-A362-4B27-9C26-78DAE61290B9}" name="Column11052"/>
    <tableColumn id="11053" xr3:uid="{A0079E52-7CEB-4189-98F7-AA72FCE564AC}" name="Column11053"/>
    <tableColumn id="11054" xr3:uid="{E97E2978-97D0-427E-9E8F-A13E3E7A6999}" name="Column11054"/>
    <tableColumn id="11055" xr3:uid="{709EED6F-E02A-494E-ABB4-E511D79E5CF5}" name="Column11055"/>
    <tableColumn id="11056" xr3:uid="{3D5DB2F2-3169-45B0-8EA0-C3D85D96EBDE}" name="Column11056"/>
    <tableColumn id="11057" xr3:uid="{41E2F572-9093-470D-BC28-F78C92599AC0}" name="Column11057"/>
    <tableColumn id="11058" xr3:uid="{CF9142B3-746D-48C5-A783-F193C968F648}" name="Column11058"/>
    <tableColumn id="11059" xr3:uid="{90197BF6-B0BC-40C1-846D-F59378D7CC52}" name="Column11059"/>
    <tableColumn id="11060" xr3:uid="{633C72D3-B791-4266-BC78-9B2A7431B879}" name="Column11060"/>
    <tableColumn id="11061" xr3:uid="{4FE6F68C-757C-45B9-9215-0F56E3738372}" name="Column11061"/>
    <tableColumn id="11062" xr3:uid="{4FF37796-87B4-4323-9FD1-1DF5DC47B49A}" name="Column11062"/>
    <tableColumn id="11063" xr3:uid="{55B45FBE-6969-4011-9DCF-9AC4A5621892}" name="Column11063"/>
    <tableColumn id="11064" xr3:uid="{A63297E9-59E8-487E-82AB-B775A14FC3E1}" name="Column11064"/>
    <tableColumn id="11065" xr3:uid="{C2393B14-0C7B-4EBB-933E-5A71650D2EB0}" name="Column11065"/>
    <tableColumn id="11066" xr3:uid="{3B626804-6FE2-4F6B-877C-D4AC898561C6}" name="Column11066"/>
    <tableColumn id="11067" xr3:uid="{92F4DF5C-D206-41D8-BACD-5AC39A364E0B}" name="Column11067"/>
    <tableColumn id="11068" xr3:uid="{40CCDDB5-C6B8-46FD-85A3-06420ABDADDB}" name="Column11068"/>
    <tableColumn id="11069" xr3:uid="{1D8E7C18-CA00-4E65-80E7-B314895F5938}" name="Column11069"/>
    <tableColumn id="11070" xr3:uid="{46D51F4F-1502-4FEA-951E-3E1C7B091F1A}" name="Column11070"/>
    <tableColumn id="11071" xr3:uid="{4696E2CD-1E03-4F66-9343-D1B32BD1F322}" name="Column11071"/>
    <tableColumn id="11072" xr3:uid="{A4640B81-979C-444E-AE3B-64911F9E0428}" name="Column11072"/>
    <tableColumn id="11073" xr3:uid="{EEA17C6C-4F1C-4B71-80E4-5C1F4AA7A548}" name="Column11073"/>
    <tableColumn id="11074" xr3:uid="{640A8252-CAD5-42B5-BCB7-0FC3DAD45C52}" name="Column11074"/>
    <tableColumn id="11075" xr3:uid="{B902A6BC-88AD-489F-93E8-BBF6453E93E9}" name="Column11075"/>
    <tableColumn id="11076" xr3:uid="{CB3D9D4B-AE7B-446D-8EE0-1A4267862223}" name="Column11076"/>
    <tableColumn id="11077" xr3:uid="{8E068882-3BB2-40B1-A44D-4A6F7F64F63E}" name="Column11077"/>
    <tableColumn id="11078" xr3:uid="{11600A26-BDB7-4C97-9932-2B09F0CC0F11}" name="Column11078"/>
    <tableColumn id="11079" xr3:uid="{08CD239B-8728-4A72-9E3D-A83153061393}" name="Column11079"/>
    <tableColumn id="11080" xr3:uid="{E2DE4AC1-8F06-4427-A7AB-ADBB75BA6A1C}" name="Column11080"/>
    <tableColumn id="11081" xr3:uid="{06BFA283-65D2-440A-8095-196539D5FD44}" name="Column11081"/>
    <tableColumn id="11082" xr3:uid="{441A41DE-DF17-4BD8-A19C-96DADED11784}" name="Column11082"/>
    <tableColumn id="11083" xr3:uid="{EACB6C1A-3623-4308-81A6-40526707C7CD}" name="Column11083"/>
    <tableColumn id="11084" xr3:uid="{166F1DE4-043F-4ED7-8761-7EA3AA2B22FE}" name="Column11084"/>
    <tableColumn id="11085" xr3:uid="{E66D6CC9-B8A9-49E9-A6EB-816F71920ACD}" name="Column11085"/>
    <tableColumn id="11086" xr3:uid="{D0F5498F-F4C2-4953-9B90-6E8222705843}" name="Column11086"/>
    <tableColumn id="11087" xr3:uid="{48513D63-D999-4F03-8A34-B5E9318F7D0D}" name="Column11087"/>
    <tableColumn id="11088" xr3:uid="{1B01885A-ADFF-4694-971D-3D8DECDF1627}" name="Column11088"/>
    <tableColumn id="11089" xr3:uid="{98489AAB-9B06-4012-9CC0-3AB5BF5C9810}" name="Column11089"/>
    <tableColumn id="11090" xr3:uid="{FD09C8D3-4094-40AF-96D0-AB411E6D729C}" name="Column11090"/>
    <tableColumn id="11091" xr3:uid="{2354BC71-041A-40A7-B4B8-94E239549D4A}" name="Column11091"/>
    <tableColumn id="11092" xr3:uid="{122579ED-5175-4681-908B-9DE234DE95D6}" name="Column11092"/>
    <tableColumn id="11093" xr3:uid="{5ADA49AA-52FE-46F5-8E74-8258F8F96B7F}" name="Column11093"/>
    <tableColumn id="11094" xr3:uid="{1724314A-33CD-4875-938E-DBD8DBA4432B}" name="Column11094"/>
    <tableColumn id="11095" xr3:uid="{D3CB79B5-802A-4FFD-8F0E-2195E14BF636}" name="Column11095"/>
    <tableColumn id="11096" xr3:uid="{4128F3BF-577C-4F9F-ACB7-D2C4322E31B5}" name="Column11096"/>
    <tableColumn id="11097" xr3:uid="{38112C34-7C2A-48A0-B024-64C67F74499D}" name="Column11097"/>
    <tableColumn id="11098" xr3:uid="{0756A800-8E3B-4091-ABE9-83D16D5CA86C}" name="Column11098"/>
    <tableColumn id="11099" xr3:uid="{FDE924E2-8CCD-4479-BDFF-F27D980BB77F}" name="Column11099"/>
    <tableColumn id="11100" xr3:uid="{182240D7-99E2-46F4-853D-D8B3C4A2DC0A}" name="Column11100"/>
    <tableColumn id="11101" xr3:uid="{A96D28C9-5AE0-4206-9A4F-FF2DC8880473}" name="Column11101"/>
    <tableColumn id="11102" xr3:uid="{90528421-1DC1-45A5-95FA-D5F147359D11}" name="Column11102"/>
    <tableColumn id="11103" xr3:uid="{4CE4F768-0448-4CB0-AE0A-95FFE21836F9}" name="Column11103"/>
    <tableColumn id="11104" xr3:uid="{F578EF4B-4865-4703-9723-100358F08804}" name="Column11104"/>
    <tableColumn id="11105" xr3:uid="{E365C4B6-B986-43DD-BD4C-D122BE959174}" name="Column11105"/>
    <tableColumn id="11106" xr3:uid="{66608863-1844-49C2-A5BE-5B95FAAC33DD}" name="Column11106"/>
    <tableColumn id="11107" xr3:uid="{1971A42A-BB75-4ECF-85F7-B2D33E838176}" name="Column11107"/>
    <tableColumn id="11108" xr3:uid="{752CC8E0-0671-42F3-8EF8-12912EFFCEFE}" name="Column11108"/>
    <tableColumn id="11109" xr3:uid="{1DEA8EB2-E5B8-4F30-AAB4-FF725614F4C6}" name="Column11109"/>
    <tableColumn id="11110" xr3:uid="{0882A6B8-C20C-4D41-85F0-DCA2416B601E}" name="Column11110"/>
    <tableColumn id="11111" xr3:uid="{6EDCE2B8-852C-47DE-97B3-A133E8E477BA}" name="Column11111"/>
    <tableColumn id="11112" xr3:uid="{4537C0EC-75C3-4312-9262-5477FA32333A}" name="Column11112"/>
    <tableColumn id="11113" xr3:uid="{05809FE9-25D8-4AAD-AE25-5707D7297B66}" name="Column11113"/>
    <tableColumn id="11114" xr3:uid="{5191C4CD-2B22-4E4F-B6F0-593778DC2C1A}" name="Column11114"/>
    <tableColumn id="11115" xr3:uid="{5DD5B057-0B62-49AF-B5BD-5971E397BB08}" name="Column11115"/>
    <tableColumn id="11116" xr3:uid="{C3109334-F8DC-4471-A4EE-5DD7658109BE}" name="Column11116"/>
    <tableColumn id="11117" xr3:uid="{F9E30C82-0ED1-4302-8A13-F3176BD12AC9}" name="Column11117"/>
    <tableColumn id="11118" xr3:uid="{0377AE2D-277C-4CBF-B8C1-7478E617EAA7}" name="Column11118"/>
    <tableColumn id="11119" xr3:uid="{0F8EA0D1-EEC2-4CA2-9E72-3109ABA59107}" name="Column11119"/>
    <tableColumn id="11120" xr3:uid="{24246613-E9D9-4183-BD88-D63C9C35D945}" name="Column11120"/>
    <tableColumn id="11121" xr3:uid="{A260B5F8-53C7-45A1-8CF1-3EE1B40F9121}" name="Column11121"/>
    <tableColumn id="11122" xr3:uid="{B5B60D9B-C87E-4D80-BB01-E5DD4DEEA114}" name="Column11122"/>
    <tableColumn id="11123" xr3:uid="{A23156A3-A9B2-471F-A56B-217FFF4E42A2}" name="Column11123"/>
    <tableColumn id="11124" xr3:uid="{B6902ACA-C7D2-440E-BA4E-3F1B88DB9828}" name="Column11124"/>
    <tableColumn id="11125" xr3:uid="{2260494E-37B8-4158-922B-B06FA9A1E595}" name="Column11125"/>
    <tableColumn id="11126" xr3:uid="{764BD334-8B98-4318-850E-A5E1DB80B7F2}" name="Column11126"/>
    <tableColumn id="11127" xr3:uid="{DFF254F7-9D42-44D8-B583-84096CCCAD94}" name="Column11127"/>
    <tableColumn id="11128" xr3:uid="{93D92F00-5697-4578-9FB4-4AA9BF73F850}" name="Column11128"/>
    <tableColumn id="11129" xr3:uid="{F0D4B9DA-7C31-4D06-A6B5-4FB03CB87479}" name="Column11129"/>
    <tableColumn id="11130" xr3:uid="{77778685-8D55-4207-873E-1EDD972F97C9}" name="Column11130"/>
    <tableColumn id="11131" xr3:uid="{79B10DD6-75BF-407C-912B-98665DEE9589}" name="Column11131"/>
    <tableColumn id="11132" xr3:uid="{29FE6A69-B144-4F88-948D-55EEFCB5FBB9}" name="Column11132"/>
    <tableColumn id="11133" xr3:uid="{D822B52F-0BB5-4ABB-9350-AF338D85024A}" name="Column11133"/>
    <tableColumn id="11134" xr3:uid="{EE9A469B-9481-4692-BF9A-5CB7B4ED870F}" name="Column11134"/>
    <tableColumn id="11135" xr3:uid="{DDEA293D-2BCB-4D4B-9911-FDB33AA59BBA}" name="Column11135"/>
    <tableColumn id="11136" xr3:uid="{B6385850-49B7-4DB9-9B7C-617171B6D454}" name="Column11136"/>
    <tableColumn id="11137" xr3:uid="{838976B7-525E-48CF-A140-C8C4B978B392}" name="Column11137"/>
    <tableColumn id="11138" xr3:uid="{98FB9EF1-4DAA-420F-A54D-216120830548}" name="Column11138"/>
    <tableColumn id="11139" xr3:uid="{653FC9BD-940D-44F8-A552-04687538BBC3}" name="Column11139"/>
    <tableColumn id="11140" xr3:uid="{EA05BBF4-4ABE-436E-9767-F11A32E85721}" name="Column11140"/>
    <tableColumn id="11141" xr3:uid="{089A08A5-5061-42D8-9EA7-56B312D4CD5F}" name="Column11141"/>
    <tableColumn id="11142" xr3:uid="{34618BD3-E196-4CFA-8F80-992765B8A7AC}" name="Column11142"/>
    <tableColumn id="11143" xr3:uid="{9F520A3D-F8AC-4B7C-9C22-D393DA3B22D0}" name="Column11143"/>
    <tableColumn id="11144" xr3:uid="{80696214-7C89-43D7-AA23-681BF2CF8607}" name="Column11144"/>
    <tableColumn id="11145" xr3:uid="{46C7CE33-30B2-44D9-896B-9B071C900F4A}" name="Column11145"/>
    <tableColumn id="11146" xr3:uid="{0EDF8AD6-5B49-4E38-865F-D0D087BAA24A}" name="Column11146"/>
    <tableColumn id="11147" xr3:uid="{5828DC85-1215-49B1-8077-B93F5136FA50}" name="Column11147"/>
    <tableColumn id="11148" xr3:uid="{21084D5B-472C-4F7F-B69D-57355D91BFE8}" name="Column11148"/>
    <tableColumn id="11149" xr3:uid="{45437D12-6402-4F7E-9E99-E3416200FDA9}" name="Column11149"/>
    <tableColumn id="11150" xr3:uid="{4180FBB2-C2F7-4E6D-92B2-732049B85940}" name="Column11150"/>
    <tableColumn id="11151" xr3:uid="{7A302482-6599-4274-B579-D1CEA9AAD63E}" name="Column11151"/>
    <tableColumn id="11152" xr3:uid="{1D87E80C-DC4A-4807-8AC6-F59C1FB408A2}" name="Column11152"/>
    <tableColumn id="11153" xr3:uid="{6BB88283-0E37-4572-86BA-18DE9EC2362F}" name="Column11153"/>
    <tableColumn id="11154" xr3:uid="{AFA02343-7F09-41E0-8907-A8912B2786EF}" name="Column11154"/>
    <tableColumn id="11155" xr3:uid="{F622E34A-D751-45B6-BB84-E3E55AD873C5}" name="Column11155"/>
    <tableColumn id="11156" xr3:uid="{88CA7767-FFF0-4795-ACA3-528B3C48CA8D}" name="Column11156"/>
    <tableColumn id="11157" xr3:uid="{D53D2428-95E9-4231-AC9E-0277AB92FC8A}" name="Column11157"/>
    <tableColumn id="11158" xr3:uid="{89900FDE-25C8-4A73-BEE4-13411DAC2FDA}" name="Column11158"/>
    <tableColumn id="11159" xr3:uid="{5D24ADF6-F0B1-43F7-9837-D5EFBA591421}" name="Column11159"/>
    <tableColumn id="11160" xr3:uid="{B3EB95F8-F6B2-441A-872D-05EFC2B3225E}" name="Column11160"/>
    <tableColumn id="11161" xr3:uid="{9830793E-A2B4-4947-9E82-EEDB54DCBDA9}" name="Column11161"/>
    <tableColumn id="11162" xr3:uid="{163B8197-64AD-4A07-B3D5-279D3B5B2FC5}" name="Column11162"/>
    <tableColumn id="11163" xr3:uid="{1634B230-2DE1-4EEC-A4B4-9AC621E2C019}" name="Column11163"/>
    <tableColumn id="11164" xr3:uid="{7D260C73-3166-4A0E-98C3-E0F4F39A6499}" name="Column11164"/>
    <tableColumn id="11165" xr3:uid="{4D84FC19-F220-46F1-B70F-44795B053F2C}" name="Column11165"/>
    <tableColumn id="11166" xr3:uid="{00F04298-01FA-4D4F-A2F8-0B0EB389F5A9}" name="Column11166"/>
    <tableColumn id="11167" xr3:uid="{11F473F0-EC6C-40FD-9925-C4F0E44A49D6}" name="Column11167"/>
    <tableColumn id="11168" xr3:uid="{C4154B0A-D431-49A5-998C-486090379572}" name="Column11168"/>
    <tableColumn id="11169" xr3:uid="{7E8B1AED-7D7C-4539-AAE9-8162C895DD29}" name="Column11169"/>
    <tableColumn id="11170" xr3:uid="{20410E1F-FF13-4A89-A273-15BA163CD53E}" name="Column11170"/>
    <tableColumn id="11171" xr3:uid="{3AAFA4B9-52CE-4CB4-B72E-8B8BEB3D28C7}" name="Column11171"/>
    <tableColumn id="11172" xr3:uid="{03DF32C4-434D-4BFC-8656-8E7DA744425B}" name="Column11172"/>
    <tableColumn id="11173" xr3:uid="{AE623BD3-4C93-4B09-AEF2-A5A65F844598}" name="Column11173"/>
    <tableColumn id="11174" xr3:uid="{24C76536-0450-43F7-ABEB-33977F39F4E6}" name="Column11174"/>
    <tableColumn id="11175" xr3:uid="{AB6AE663-88E7-477A-B0EA-FF4E7B3F7CF5}" name="Column11175"/>
    <tableColumn id="11176" xr3:uid="{5A30C7F3-743A-460E-8620-0DC5D9A90CB5}" name="Column11176"/>
    <tableColumn id="11177" xr3:uid="{E6CC6E27-3C3C-43D9-ABEA-C52917C2FAE8}" name="Column11177"/>
    <tableColumn id="11178" xr3:uid="{DBC5568E-21BD-4045-B623-1BACCBCB8C56}" name="Column11178"/>
    <tableColumn id="11179" xr3:uid="{D7F240EF-BF63-44E6-81DB-99AEAA870AD1}" name="Column11179"/>
    <tableColumn id="11180" xr3:uid="{073ADFB1-42CE-4B52-9A3E-FB4E1ED64B1E}" name="Column11180"/>
    <tableColumn id="11181" xr3:uid="{B50EEA07-A6CF-450D-827B-FE21982BD363}" name="Column11181"/>
    <tableColumn id="11182" xr3:uid="{D0A2D9EC-3432-497B-BC46-F272D90ED98C}" name="Column11182"/>
    <tableColumn id="11183" xr3:uid="{248AF447-A6D1-4BDE-A62F-3E6C297B2735}" name="Column11183"/>
    <tableColumn id="11184" xr3:uid="{2B63082A-49B8-4B33-A77A-18DD52D173DA}" name="Column11184"/>
    <tableColumn id="11185" xr3:uid="{464ABC28-C8B4-4E2E-93E3-42185369A94A}" name="Column11185"/>
    <tableColumn id="11186" xr3:uid="{98A56F03-3D3A-407A-95E4-DE3BBADE9C13}" name="Column11186"/>
    <tableColumn id="11187" xr3:uid="{464FE357-4B44-405D-B9E7-6B33B69A7A89}" name="Column11187"/>
    <tableColumn id="11188" xr3:uid="{6CE03514-53B1-4DF3-9A2A-C3A4DD65C469}" name="Column11188"/>
    <tableColumn id="11189" xr3:uid="{900681B3-C983-4764-BA1B-3BB289E132A9}" name="Column11189"/>
    <tableColumn id="11190" xr3:uid="{D12982CB-FAB5-4844-B92A-8DCF377C1DDE}" name="Column11190"/>
    <tableColumn id="11191" xr3:uid="{82285108-00F5-4184-A72A-7229A14F3ECB}" name="Column11191"/>
    <tableColumn id="11192" xr3:uid="{DDE440B4-23DA-4140-AF6A-986F23470473}" name="Column11192"/>
    <tableColumn id="11193" xr3:uid="{8E3732EF-C1BE-4058-8B22-175AD8CEA0D9}" name="Column11193"/>
    <tableColumn id="11194" xr3:uid="{87047152-1AE2-4A92-B040-792038148246}" name="Column11194"/>
    <tableColumn id="11195" xr3:uid="{00F25CE2-806A-473D-B76D-D3907887AC2C}" name="Column11195"/>
    <tableColumn id="11196" xr3:uid="{F6CAAD65-7FC5-4C9C-AB8E-59D9D98763C3}" name="Column11196"/>
    <tableColumn id="11197" xr3:uid="{69EB69D5-4E32-414E-BA42-6C57B3550382}" name="Column11197"/>
    <tableColumn id="11198" xr3:uid="{0F30DD8C-4A15-4674-BC12-D2B35C55A332}" name="Column11198"/>
    <tableColumn id="11199" xr3:uid="{2B1ECCE1-F04A-45C2-B79C-7225EA774DEE}" name="Column11199"/>
    <tableColumn id="11200" xr3:uid="{0005EFB3-C398-476F-8621-1782D11E754F}" name="Column11200"/>
    <tableColumn id="11201" xr3:uid="{8AFA0700-F742-434B-944B-0996B8D41DDE}" name="Column11201"/>
    <tableColumn id="11202" xr3:uid="{B5214AE5-698D-439C-97C6-AAEF021F980C}" name="Column11202"/>
    <tableColumn id="11203" xr3:uid="{606A7522-82AA-42F8-8284-4C275F76EE16}" name="Column11203"/>
    <tableColumn id="11204" xr3:uid="{E18CD272-910D-4AE9-B9CB-B5F8F75BC054}" name="Column11204"/>
    <tableColumn id="11205" xr3:uid="{FEB4EB79-B2CF-409D-978F-41E1B266500C}" name="Column11205"/>
    <tableColumn id="11206" xr3:uid="{9DC81C17-22F2-4597-AAF6-D28222B2DAF8}" name="Column11206"/>
    <tableColumn id="11207" xr3:uid="{84AEB25F-9D82-49B4-B5C5-14BAAB07DF2C}" name="Column11207"/>
    <tableColumn id="11208" xr3:uid="{E5A87F3E-F0F1-4F07-9732-D2C97D6A8089}" name="Column11208"/>
    <tableColumn id="11209" xr3:uid="{FAD87179-1EC9-4485-A4E5-5382F1EC6906}" name="Column11209"/>
    <tableColumn id="11210" xr3:uid="{54A96EC6-6F85-4458-B28A-C6A5E246EA31}" name="Column11210"/>
    <tableColumn id="11211" xr3:uid="{EBBD64D8-8A6D-4412-9FCC-02A3B7FF32D4}" name="Column11211"/>
    <tableColumn id="11212" xr3:uid="{07591857-E26D-4A8C-8F4F-9FA4648840D8}" name="Column11212"/>
    <tableColumn id="11213" xr3:uid="{7D344450-A443-4C62-89D0-77CD9E3E7F56}" name="Column11213"/>
    <tableColumn id="11214" xr3:uid="{E45996A9-BA15-46DE-945E-DA658918A553}" name="Column11214"/>
    <tableColumn id="11215" xr3:uid="{EDC6BAC6-2475-4B74-B347-309501F792CC}" name="Column11215"/>
    <tableColumn id="11216" xr3:uid="{AD12DCF8-1BE2-4D0F-8FA9-A163FFA74175}" name="Column11216"/>
    <tableColumn id="11217" xr3:uid="{CB2A3F76-F1D1-4515-88A4-DA263374F2B3}" name="Column11217"/>
    <tableColumn id="11218" xr3:uid="{D85AA562-EC20-40DB-AF09-7633F292586C}" name="Column11218"/>
    <tableColumn id="11219" xr3:uid="{BC583353-BCED-4A5D-A50E-18012B9CAD41}" name="Column11219"/>
    <tableColumn id="11220" xr3:uid="{ED9E35C7-E380-45DE-AA54-D7D818C9BF49}" name="Column11220"/>
    <tableColumn id="11221" xr3:uid="{A4DC27D1-36EE-4673-88EC-760D5A5453F7}" name="Column11221"/>
    <tableColumn id="11222" xr3:uid="{762AB935-895F-4C87-99BB-0728F4B6A180}" name="Column11222"/>
    <tableColumn id="11223" xr3:uid="{879E3E07-D536-4618-B2A8-932221BB9BDA}" name="Column11223"/>
    <tableColumn id="11224" xr3:uid="{CBA81072-3354-4991-9B16-6BA991FD8973}" name="Column11224"/>
    <tableColumn id="11225" xr3:uid="{017351AE-9815-4D13-8A2B-77EF0C632ACF}" name="Column11225"/>
    <tableColumn id="11226" xr3:uid="{71CB0535-8BC2-444F-843C-51D1E8524CE3}" name="Column11226"/>
    <tableColumn id="11227" xr3:uid="{00FBC69F-4A3C-477B-BCE2-5DBB7A8E491A}" name="Column11227"/>
    <tableColumn id="11228" xr3:uid="{31665A41-156B-42CA-B897-AC7D563F0182}" name="Column11228"/>
    <tableColumn id="11229" xr3:uid="{B7942981-C6C2-4C42-BC41-BA3F65F02213}" name="Column11229"/>
    <tableColumn id="11230" xr3:uid="{36A54F4A-FBC9-47E1-8518-37F6D7E7947C}" name="Column11230"/>
    <tableColumn id="11231" xr3:uid="{1A104D2F-BB3E-4A6A-BAB4-4752D49BD638}" name="Column11231"/>
    <tableColumn id="11232" xr3:uid="{4B6201AB-8C15-49DB-B08A-119775ED535B}" name="Column11232"/>
    <tableColumn id="11233" xr3:uid="{1F121ED0-B6C2-4C63-B3F9-F89CA459F848}" name="Column11233"/>
    <tableColumn id="11234" xr3:uid="{361A206D-D4E6-4F7E-A7AF-1CAA74F77651}" name="Column11234"/>
    <tableColumn id="11235" xr3:uid="{F6D948C9-0EE6-4DA0-993D-279865D77BE0}" name="Column11235"/>
    <tableColumn id="11236" xr3:uid="{5715A36E-DD7D-4CAF-96E2-E30393ECEDB1}" name="Column11236"/>
    <tableColumn id="11237" xr3:uid="{BB59A9CD-8D0D-494E-A838-9F6F1D58BDB2}" name="Column11237"/>
    <tableColumn id="11238" xr3:uid="{8029B9B8-9D6D-4D06-A693-EC969742DBEA}" name="Column11238"/>
    <tableColumn id="11239" xr3:uid="{CBC99574-BF73-4014-B1FF-A3F0B384BC5A}" name="Column11239"/>
    <tableColumn id="11240" xr3:uid="{330B8E48-97DB-471F-BB5D-C356FAA4DDF8}" name="Column11240"/>
    <tableColumn id="11241" xr3:uid="{848E509C-55B0-4AFB-B9A0-228FC2E54F2B}" name="Column11241"/>
    <tableColumn id="11242" xr3:uid="{B37B4EDF-2728-45E7-9268-144006124B19}" name="Column11242"/>
    <tableColumn id="11243" xr3:uid="{BCE52F46-CA42-4023-BFEE-6EFC14B9AD04}" name="Column11243"/>
    <tableColumn id="11244" xr3:uid="{D0133C57-69F8-4CF8-8B69-EC9900DCEFAF}" name="Column11244"/>
    <tableColumn id="11245" xr3:uid="{EA940821-A3FD-4CAB-952B-01B9D76B24F2}" name="Column11245"/>
    <tableColumn id="11246" xr3:uid="{1D9540C8-D0D8-40A1-8F1B-E26A8BE58A90}" name="Column11246"/>
    <tableColumn id="11247" xr3:uid="{01DF6A0F-7E35-43D2-8C87-C23F4F9903B5}" name="Column11247"/>
    <tableColumn id="11248" xr3:uid="{1D132AAA-6163-454B-BB2B-E743F36DE299}" name="Column11248"/>
    <tableColumn id="11249" xr3:uid="{A9B46C64-4F49-4A4E-8CF2-CE93F6C060A4}" name="Column11249"/>
    <tableColumn id="11250" xr3:uid="{A4B03B44-1724-44AA-B13A-667238141B09}" name="Column11250"/>
    <tableColumn id="11251" xr3:uid="{6D88D279-E366-4797-89C4-854C5B165935}" name="Column11251"/>
    <tableColumn id="11252" xr3:uid="{2188F193-D17B-4209-8B98-425DB6855E08}" name="Column11252"/>
    <tableColumn id="11253" xr3:uid="{911D30F8-0B55-4DF1-A8BE-46398A2762BE}" name="Column11253"/>
    <tableColumn id="11254" xr3:uid="{539D1B1C-FE27-4485-B267-6AEE74E08310}" name="Column11254"/>
    <tableColumn id="11255" xr3:uid="{B3903C52-AD04-4FD2-8513-AF37E46FF8B6}" name="Column11255"/>
    <tableColumn id="11256" xr3:uid="{9785252C-7F68-4296-9198-B6F1F4EFA69B}" name="Column11256"/>
    <tableColumn id="11257" xr3:uid="{37058F3F-DA61-4404-A352-558841DE3977}" name="Column11257"/>
    <tableColumn id="11258" xr3:uid="{EDAB740C-C571-4338-98C9-D775DE404FBC}" name="Column11258"/>
    <tableColumn id="11259" xr3:uid="{8661DE57-C961-46B7-9335-63FD1362793E}" name="Column11259"/>
    <tableColumn id="11260" xr3:uid="{07AD8007-16C8-4372-850A-64845677CEAD}" name="Column11260"/>
    <tableColumn id="11261" xr3:uid="{79F6DC8B-9614-44A6-B2D3-D940B2996710}" name="Column11261"/>
    <tableColumn id="11262" xr3:uid="{8F5CDF4A-1E76-44AD-B942-5A9EEE3165DC}" name="Column11262"/>
    <tableColumn id="11263" xr3:uid="{BF843DE9-BFCB-4B1C-970A-BE006A0E64B3}" name="Column11263"/>
    <tableColumn id="11264" xr3:uid="{777257C4-7229-424E-8048-8DB2CAA7A9B8}" name="Column11264"/>
    <tableColumn id="11265" xr3:uid="{269AF58D-4E9F-4810-9F24-543726086502}" name="Column11265"/>
    <tableColumn id="11266" xr3:uid="{D8187B35-1787-4870-8D03-E6691D04DEEA}" name="Column11266"/>
    <tableColumn id="11267" xr3:uid="{1809932D-D8E3-48FD-939C-FD92E2FB7561}" name="Column11267"/>
    <tableColumn id="11268" xr3:uid="{6E43CB9B-292F-4106-95E9-9345CF2BA582}" name="Column11268"/>
    <tableColumn id="11269" xr3:uid="{B512DE13-1699-43C7-A897-4BA69348D796}" name="Column11269"/>
    <tableColumn id="11270" xr3:uid="{04047814-B4A8-4BFE-A966-DABD09C3AB77}" name="Column11270"/>
    <tableColumn id="11271" xr3:uid="{3F3A94F3-0DD3-410D-8D8D-3E8500FBA10E}" name="Column11271"/>
    <tableColumn id="11272" xr3:uid="{131515D9-B858-4EBC-966D-8119820F2F98}" name="Column11272"/>
    <tableColumn id="11273" xr3:uid="{B8117C1C-F7C4-4E61-BBCE-DB227AF02453}" name="Column11273"/>
    <tableColumn id="11274" xr3:uid="{2403D4BF-2B47-44CA-8D35-6D942DF1167D}" name="Column11274"/>
    <tableColumn id="11275" xr3:uid="{5656D3B2-16BC-475D-A83E-A85B41DE7BC4}" name="Column11275"/>
    <tableColumn id="11276" xr3:uid="{52ED62F6-9598-454F-90B6-9305B640197A}" name="Column11276"/>
    <tableColumn id="11277" xr3:uid="{8A38B82C-80C5-48AF-8AF5-0154930B350A}" name="Column11277"/>
    <tableColumn id="11278" xr3:uid="{40D4DF95-3827-4BBE-8C42-2F2D921992BB}" name="Column11278"/>
    <tableColumn id="11279" xr3:uid="{F081FB8F-6D1C-4652-B770-5EAF15776DC5}" name="Column11279"/>
    <tableColumn id="11280" xr3:uid="{C1FD6E4C-017C-48C4-B535-174C8C668CDE}" name="Column11280"/>
    <tableColumn id="11281" xr3:uid="{E12C2D76-D0E2-47EE-B8C3-EE25843ED39B}" name="Column11281"/>
    <tableColumn id="11282" xr3:uid="{D70F9FBB-8670-4A9B-88A7-C0ED851FA121}" name="Column11282"/>
    <tableColumn id="11283" xr3:uid="{8483F8B8-94CB-47D2-90C1-158A472D25A9}" name="Column11283"/>
    <tableColumn id="11284" xr3:uid="{A8A70B3E-1F72-4853-BFD5-2440ED5DB0AE}" name="Column11284"/>
    <tableColumn id="11285" xr3:uid="{C1893964-8EC3-4586-8E28-60CA3C2B968A}" name="Column11285"/>
    <tableColumn id="11286" xr3:uid="{95DD6B51-AB23-43FC-B44B-848EE643FF4B}" name="Column11286"/>
    <tableColumn id="11287" xr3:uid="{57085CC5-B504-4F34-A12A-0FE14B1325B9}" name="Column11287"/>
    <tableColumn id="11288" xr3:uid="{82D4A368-56A7-42A0-96FB-857C7C669E79}" name="Column11288"/>
    <tableColumn id="11289" xr3:uid="{D653E45B-D470-4C20-B476-079771CE3B0D}" name="Column11289"/>
    <tableColumn id="11290" xr3:uid="{FA73D26D-8CCF-4A22-A375-67172BD587F6}" name="Column11290"/>
    <tableColumn id="11291" xr3:uid="{169DB8DA-54A5-4A69-8400-61FA5AE9F2FE}" name="Column11291"/>
    <tableColumn id="11292" xr3:uid="{896DA51A-C323-4E36-A0E6-AAB667B872A2}" name="Column11292"/>
    <tableColumn id="11293" xr3:uid="{06A5D686-DD0D-4840-8977-2220339D2E08}" name="Column11293"/>
    <tableColumn id="11294" xr3:uid="{EAF10EBC-5DF9-4BD3-B0F1-1A2C7E23EE7A}" name="Column11294"/>
    <tableColumn id="11295" xr3:uid="{A4EB46FA-4C8F-46BF-B95E-ECB3BAE82B8F}" name="Column11295"/>
    <tableColumn id="11296" xr3:uid="{58DB3A0C-3BF7-4BB1-B830-2DE5F7134617}" name="Column11296"/>
    <tableColumn id="11297" xr3:uid="{3C9BF28C-35FA-475A-83CA-6D56FE96A4B8}" name="Column11297"/>
    <tableColumn id="11298" xr3:uid="{E243E7BB-F625-450C-9ACE-9777A4455C26}" name="Column11298"/>
    <tableColumn id="11299" xr3:uid="{08F8B440-39A3-45DA-9BF5-982CAC71E1B0}" name="Column11299"/>
    <tableColumn id="11300" xr3:uid="{AF7DF8A7-DBBE-4BF7-94E0-F0ACAE175148}" name="Column11300"/>
    <tableColumn id="11301" xr3:uid="{9A0D91EB-4B6F-4868-9D87-95E218430FBB}" name="Column11301"/>
    <tableColumn id="11302" xr3:uid="{D3FB8457-517B-4DCF-B808-99A952E616CB}" name="Column11302"/>
    <tableColumn id="11303" xr3:uid="{67D3CB92-4263-4133-94D6-2857FA587826}" name="Column11303"/>
    <tableColumn id="11304" xr3:uid="{1818CF47-A384-4394-BC01-4816D390E16A}" name="Column11304"/>
    <tableColumn id="11305" xr3:uid="{AF2368F3-E57E-420F-A1F7-8332104A98F3}" name="Column11305"/>
    <tableColumn id="11306" xr3:uid="{52BD0874-FD60-4AEA-9A06-825BF767C8B4}" name="Column11306"/>
    <tableColumn id="11307" xr3:uid="{3E4182B3-E27B-4601-90D6-89FADA5FEC37}" name="Column11307"/>
    <tableColumn id="11308" xr3:uid="{6D7B8B35-8236-49C1-9F20-ADCE94D68375}" name="Column11308"/>
    <tableColumn id="11309" xr3:uid="{05E751DD-E470-467D-BFC3-656A4B0B9C9B}" name="Column11309"/>
    <tableColumn id="11310" xr3:uid="{5EFFC6AB-760D-4645-913E-076B4656BEEC}" name="Column11310"/>
    <tableColumn id="11311" xr3:uid="{AA8E1993-D16B-4EB6-AC74-5BB3E6A2D2C3}" name="Column11311"/>
    <tableColumn id="11312" xr3:uid="{9CA3D4F8-E7B4-4C61-A948-3D8B10CDE7A1}" name="Column11312"/>
    <tableColumn id="11313" xr3:uid="{A445AECB-8144-4A34-BECC-A9AEB77A89A1}" name="Column11313"/>
    <tableColumn id="11314" xr3:uid="{96339193-9578-46BA-8198-F9149059A5AE}" name="Column11314"/>
    <tableColumn id="11315" xr3:uid="{06107687-71D1-4E2B-9865-76CEEAAECFE1}" name="Column11315"/>
    <tableColumn id="11316" xr3:uid="{9B96E7E4-2E83-400A-B0A3-1E166838DC20}" name="Column11316"/>
    <tableColumn id="11317" xr3:uid="{18CD1980-F692-485F-B5E8-07A683C2DB3F}" name="Column11317"/>
    <tableColumn id="11318" xr3:uid="{5B2C9B67-64DE-4692-A83A-3F1C4E09F3DD}" name="Column11318"/>
    <tableColumn id="11319" xr3:uid="{AAAD249C-8B44-4411-BD91-63B7084AAA81}" name="Column11319"/>
    <tableColumn id="11320" xr3:uid="{CD0727EF-DD40-49DB-AAD3-26195F8219DC}" name="Column11320"/>
    <tableColumn id="11321" xr3:uid="{0DCC49FA-A6BB-4834-8D59-5D3077A38D29}" name="Column11321"/>
    <tableColumn id="11322" xr3:uid="{FFF29BAA-70C7-469A-A9F6-AB9940C56350}" name="Column11322"/>
    <tableColumn id="11323" xr3:uid="{54367EBC-3523-4965-87BC-8D121633CFDE}" name="Column11323"/>
    <tableColumn id="11324" xr3:uid="{7FE527C7-2753-4871-ABCD-1B4796AD95A6}" name="Column11324"/>
    <tableColumn id="11325" xr3:uid="{D298B6C7-DB77-42F9-BD03-1E6495F3772F}" name="Column11325"/>
    <tableColumn id="11326" xr3:uid="{EB841E01-CA10-40DF-AE6A-BAF64EB649D8}" name="Column11326"/>
    <tableColumn id="11327" xr3:uid="{8D86CF30-933A-48A3-A819-940D956CB56A}" name="Column11327"/>
    <tableColumn id="11328" xr3:uid="{508E8FAD-0CC8-4CE6-BE0E-10CCD02105D0}" name="Column11328"/>
    <tableColumn id="11329" xr3:uid="{8A34E55C-AC60-484E-B17C-577C715A857D}" name="Column11329"/>
    <tableColumn id="11330" xr3:uid="{97FE345F-310C-46D5-9870-D85EEE7D66E4}" name="Column11330"/>
    <tableColumn id="11331" xr3:uid="{2A61E2A8-C702-47CE-880D-F877445834AD}" name="Column11331"/>
    <tableColumn id="11332" xr3:uid="{34FC122E-3072-4C81-93D0-CC3AA358E8F8}" name="Column11332"/>
    <tableColumn id="11333" xr3:uid="{DD3C99E4-FF98-49D6-A61D-116FE46B4F50}" name="Column11333"/>
    <tableColumn id="11334" xr3:uid="{FE4A0602-FBFF-4952-A3CC-CFA213D11CED}" name="Column11334"/>
    <tableColumn id="11335" xr3:uid="{4D638A96-27A1-4067-8EB1-55D358483251}" name="Column11335"/>
    <tableColumn id="11336" xr3:uid="{2294A8A4-F98E-4277-B2A7-7BBFFB1C7625}" name="Column11336"/>
    <tableColumn id="11337" xr3:uid="{1B66701F-40FF-4F5D-AC6A-7D05CC80C612}" name="Column11337"/>
    <tableColumn id="11338" xr3:uid="{0917E848-520E-4208-93EB-9B9081E8E047}" name="Column11338"/>
    <tableColumn id="11339" xr3:uid="{5246E5CB-B325-4971-BD2C-4985AE714F8B}" name="Column11339"/>
    <tableColumn id="11340" xr3:uid="{74D8AE98-8028-406B-BB14-5FF8231DE46C}" name="Column11340"/>
    <tableColumn id="11341" xr3:uid="{619148F6-2A29-4AD4-84F0-CACED3AE18B2}" name="Column11341"/>
    <tableColumn id="11342" xr3:uid="{FD9EF51B-A4B5-4DFE-9CAB-959546504B5E}" name="Column11342"/>
    <tableColumn id="11343" xr3:uid="{7E1007C8-819E-4431-A73F-850C9B8C1267}" name="Column11343"/>
    <tableColumn id="11344" xr3:uid="{1934A2C1-2E8E-4FFB-B416-B81AF1CEB728}" name="Column11344"/>
    <tableColumn id="11345" xr3:uid="{D14769F4-5391-4D48-8451-0CC49E475413}" name="Column11345"/>
    <tableColumn id="11346" xr3:uid="{4873E5FB-EEDA-46D5-A7A0-C0639F6A178E}" name="Column11346"/>
    <tableColumn id="11347" xr3:uid="{F30C1BA4-BF94-45AB-B658-829EC65F0FEC}" name="Column11347"/>
    <tableColumn id="11348" xr3:uid="{B0CB532B-E1FE-4CAE-BD38-368E1E419300}" name="Column11348"/>
    <tableColumn id="11349" xr3:uid="{9B452A72-498A-40D9-A570-899F0BA771B0}" name="Column11349"/>
    <tableColumn id="11350" xr3:uid="{E188F011-B3A4-4857-A5EE-41FEE1F9B1FE}" name="Column11350"/>
    <tableColumn id="11351" xr3:uid="{0DC8AC3A-994D-439C-B67B-C75B8194489C}" name="Column11351"/>
    <tableColumn id="11352" xr3:uid="{2DC18AC1-EAE3-4BD2-A8FD-2E62E1F69170}" name="Column11352"/>
    <tableColumn id="11353" xr3:uid="{DDB6DB14-E084-4F7A-BBC7-7FD958AF55D0}" name="Column11353"/>
    <tableColumn id="11354" xr3:uid="{F73236E3-9267-4F43-A201-EA0B971E29F3}" name="Column11354"/>
    <tableColumn id="11355" xr3:uid="{CACC8D1E-9918-4A71-B1F6-8D0C1CAF1D4B}" name="Column11355"/>
    <tableColumn id="11356" xr3:uid="{15D84CF7-6D87-4F55-A460-7F237CFEE834}" name="Column11356"/>
    <tableColumn id="11357" xr3:uid="{60D33DFB-0230-4E69-85B2-90D46DF7830C}" name="Column11357"/>
    <tableColumn id="11358" xr3:uid="{8CAE15BB-1FAC-4960-BC58-7664397113C2}" name="Column11358"/>
    <tableColumn id="11359" xr3:uid="{7B9B489C-1168-4475-922A-5D480D1456BC}" name="Column11359"/>
    <tableColumn id="11360" xr3:uid="{2FBB1CC7-9DEE-498F-A9DD-D21F6278EFF9}" name="Column11360"/>
    <tableColumn id="11361" xr3:uid="{DE7B8F79-845B-4CE2-BB1D-39ECF03F3C18}" name="Column11361"/>
    <tableColumn id="11362" xr3:uid="{68A2E2AD-2D53-453F-A8DD-404161904CC5}" name="Column11362"/>
    <tableColumn id="11363" xr3:uid="{733C501E-8BC2-429C-8691-4C8F487B3DAA}" name="Column11363"/>
    <tableColumn id="11364" xr3:uid="{046C4CF7-53A7-4395-AD93-FB663F790BB4}" name="Column11364"/>
    <tableColumn id="11365" xr3:uid="{CCA1DA17-6D3D-4583-9870-78DE51F6BC0C}" name="Column11365"/>
    <tableColumn id="11366" xr3:uid="{E596BA14-0158-4F3C-AAAB-4CC325848166}" name="Column11366"/>
    <tableColumn id="11367" xr3:uid="{FD90F2C8-623E-4C7B-8602-B819F44AB6D5}" name="Column11367"/>
    <tableColumn id="11368" xr3:uid="{0E44E6AB-B2FC-47C1-BDC0-79FED0B39EDD}" name="Column11368"/>
    <tableColumn id="11369" xr3:uid="{61896F08-FC6E-4B01-ABB2-44DD18648CF0}" name="Column11369"/>
    <tableColumn id="11370" xr3:uid="{4409BE1E-4A73-4C5E-9BB7-EA16DBE9B572}" name="Column11370"/>
    <tableColumn id="11371" xr3:uid="{293FF257-4A61-4454-8C2F-4B4E7D2CE7FA}" name="Column11371"/>
    <tableColumn id="11372" xr3:uid="{B578DE47-A229-4146-B441-ADBB4CDC5D65}" name="Column11372"/>
    <tableColumn id="11373" xr3:uid="{4AB8A5A1-5984-44A6-BF11-3F90B3DFBFAA}" name="Column11373"/>
    <tableColumn id="11374" xr3:uid="{6B7BDFE0-980A-46CE-8052-BBCC1A7B1CE6}" name="Column11374"/>
    <tableColumn id="11375" xr3:uid="{7FD0DD57-2CC5-4D77-80C0-2648F45048AF}" name="Column11375"/>
    <tableColumn id="11376" xr3:uid="{8A59C07F-25A1-4A4A-9522-0F3AA32B175C}" name="Column11376"/>
    <tableColumn id="11377" xr3:uid="{18C3FA66-011A-47B1-BCDA-41D63E95EF09}" name="Column11377"/>
    <tableColumn id="11378" xr3:uid="{2E0E7057-F79E-4827-B979-58E48C9D1E21}" name="Column11378"/>
    <tableColumn id="11379" xr3:uid="{2F57E316-D4B0-4985-B9D9-63CCAA7150B7}" name="Column11379"/>
    <tableColumn id="11380" xr3:uid="{9750091C-0160-41F8-9DB7-17693281AC5B}" name="Column11380"/>
    <tableColumn id="11381" xr3:uid="{A1C70723-E12C-4E30-A3B8-E12FAC057504}" name="Column11381"/>
    <tableColumn id="11382" xr3:uid="{81BAE2A2-C6C6-4409-98FB-9156316243D1}" name="Column11382"/>
    <tableColumn id="11383" xr3:uid="{2A41EFAD-A935-4FC5-9637-9BEDBB5F06CD}" name="Column11383"/>
    <tableColumn id="11384" xr3:uid="{6A8F701E-67CD-4B05-A70F-0B5311A85A50}" name="Column11384"/>
    <tableColumn id="11385" xr3:uid="{2E36FE73-E807-4754-AC72-533FCBE674BB}" name="Column11385"/>
    <tableColumn id="11386" xr3:uid="{32C7C7F6-2B54-4800-8A9D-B1B369C17306}" name="Column11386"/>
    <tableColumn id="11387" xr3:uid="{4110C6E0-6FCC-45E7-AE26-01A5356B468E}" name="Column11387"/>
    <tableColumn id="11388" xr3:uid="{AA843916-FE5A-4F02-9656-C1978FC766DC}" name="Column11388"/>
    <tableColumn id="11389" xr3:uid="{7E6B39A5-854D-444F-938C-FD99AF625533}" name="Column11389"/>
    <tableColumn id="11390" xr3:uid="{A11F9AB6-A085-4EA6-9AB1-2D4479914C6B}" name="Column11390"/>
    <tableColumn id="11391" xr3:uid="{7B9C7B98-3FDC-40E4-A2D3-EFB7474303D1}" name="Column11391"/>
    <tableColumn id="11392" xr3:uid="{D08448C8-DF08-4A97-B9B6-EA816B42BD20}" name="Column11392"/>
    <tableColumn id="11393" xr3:uid="{C1775141-257B-473E-8B59-38D010B4C1EF}" name="Column11393"/>
    <tableColumn id="11394" xr3:uid="{0B05209F-F0BA-4C39-8180-ABB179C26200}" name="Column11394"/>
    <tableColumn id="11395" xr3:uid="{73777367-2B0A-4C35-BE6E-35630A6F4EF5}" name="Column11395"/>
    <tableColumn id="11396" xr3:uid="{5B82955E-D301-430A-844E-C1E2A48A54E4}" name="Column11396"/>
    <tableColumn id="11397" xr3:uid="{BB03A662-FA07-472D-8D96-C46F27C9D018}" name="Column11397"/>
    <tableColumn id="11398" xr3:uid="{06A14A6F-687F-40DE-8B7B-08F65FFC0DC8}" name="Column11398"/>
    <tableColumn id="11399" xr3:uid="{95D268DB-23A6-42C9-9F14-3BAB1E27CA4F}" name="Column11399"/>
    <tableColumn id="11400" xr3:uid="{3C5DE7E4-B751-4F4A-B3DA-2560BD080CE5}" name="Column11400"/>
    <tableColumn id="11401" xr3:uid="{0F2BE441-2920-41DE-9500-A129599CB2C5}" name="Column11401"/>
    <tableColumn id="11402" xr3:uid="{BB05E3F7-5CA2-4D18-8CEC-2B76159375E9}" name="Column11402"/>
    <tableColumn id="11403" xr3:uid="{A4CEB3EC-6E76-421E-AAAF-F979F270D2D4}" name="Column11403"/>
    <tableColumn id="11404" xr3:uid="{04093323-ADCC-4B7F-9F4D-B9BE115EDB70}" name="Column11404"/>
    <tableColumn id="11405" xr3:uid="{6D342E84-FC64-4DA2-9D7D-0B35B501A1C8}" name="Column11405"/>
    <tableColumn id="11406" xr3:uid="{7FA18B58-45DD-4C35-AB8A-93EBFA9046A0}" name="Column11406"/>
    <tableColumn id="11407" xr3:uid="{F3189A08-769A-43B6-AA81-6D4492B010DC}" name="Column11407"/>
    <tableColumn id="11408" xr3:uid="{76B5E13B-F558-4A57-AFCD-22F89ABDB9D6}" name="Column11408"/>
    <tableColumn id="11409" xr3:uid="{D1288C10-26D9-4FB7-B71F-AE22C9F84DCB}" name="Column11409"/>
    <tableColumn id="11410" xr3:uid="{4E93879D-D229-4F4B-BFDD-AA4CCD6B8278}" name="Column11410"/>
    <tableColumn id="11411" xr3:uid="{1CEB38A1-CA62-40EB-91D1-709DE6DB6F71}" name="Column11411"/>
    <tableColumn id="11412" xr3:uid="{156D9837-2DC3-4596-8C11-8473A7F9F8BB}" name="Column11412"/>
    <tableColumn id="11413" xr3:uid="{89D40D94-9727-4280-9339-C9608DA9C1E3}" name="Column11413"/>
    <tableColumn id="11414" xr3:uid="{922117AE-2129-4B0E-9083-1430061B9FF3}" name="Column11414"/>
    <tableColumn id="11415" xr3:uid="{5EF66AE8-A72C-4781-BC88-4DCB4EB2FF96}" name="Column11415"/>
    <tableColumn id="11416" xr3:uid="{D4B93683-C680-4A16-B0AA-6EE820451332}" name="Column11416"/>
    <tableColumn id="11417" xr3:uid="{DDAE0222-0AF2-4DF0-A299-2C04CF7A63AC}" name="Column11417"/>
    <tableColumn id="11418" xr3:uid="{A7CE64AD-FC69-49A2-838C-0CFC3ABAAF0F}" name="Column11418"/>
    <tableColumn id="11419" xr3:uid="{46A73310-283F-4B84-9FEA-94C39D2A0632}" name="Column11419"/>
    <tableColumn id="11420" xr3:uid="{D7B8940F-EADE-4490-A260-DA1954C42B49}" name="Column11420"/>
    <tableColumn id="11421" xr3:uid="{6D8638A1-4D84-4347-A657-8E50C5CC2557}" name="Column11421"/>
    <tableColumn id="11422" xr3:uid="{14DFE631-2CA5-4A82-BEB0-48AFC92A1E4E}" name="Column11422"/>
    <tableColumn id="11423" xr3:uid="{35456919-EA30-4127-B771-79C1EAAAB48C}" name="Column11423"/>
    <tableColumn id="11424" xr3:uid="{37B0AC5C-C498-49D6-8B47-76FB3FDE5F1A}" name="Column11424"/>
    <tableColumn id="11425" xr3:uid="{B3CCA5AC-5A53-42AB-A5D0-7DD0AE89D6B7}" name="Column11425"/>
    <tableColumn id="11426" xr3:uid="{3258B2EC-1EC8-4856-AF52-545F9FA5D0C6}" name="Column11426"/>
    <tableColumn id="11427" xr3:uid="{FAC9419C-809D-4B86-9488-7BB926F6E1EB}" name="Column11427"/>
    <tableColumn id="11428" xr3:uid="{5A81F1A6-E35A-4CA7-B89B-D4A8C01AEC36}" name="Column11428"/>
    <tableColumn id="11429" xr3:uid="{B9DDE575-E7FF-44B7-8C99-40A436D3901D}" name="Column11429"/>
    <tableColumn id="11430" xr3:uid="{65628A87-86B6-49E5-A423-7BA19FFD8008}" name="Column11430"/>
    <tableColumn id="11431" xr3:uid="{975CA2A6-B233-4388-8D3A-014458321724}" name="Column11431"/>
    <tableColumn id="11432" xr3:uid="{3A505D18-B1A5-4FC3-BFDD-ECC7E0D7B17C}" name="Column11432"/>
    <tableColumn id="11433" xr3:uid="{FE9CB5FC-B875-4D42-AC49-73F09828991B}" name="Column11433"/>
    <tableColumn id="11434" xr3:uid="{00C0BB4C-5E13-48B2-B3C7-07E5C1EDD651}" name="Column11434"/>
    <tableColumn id="11435" xr3:uid="{9959320D-A467-4E13-A4C0-BBB8FCAC0757}" name="Column11435"/>
    <tableColumn id="11436" xr3:uid="{25B8253A-7448-42C2-ABAE-342879719831}" name="Column11436"/>
    <tableColumn id="11437" xr3:uid="{9F96A22E-211F-4A4F-86D5-EB97578229E5}" name="Column11437"/>
    <tableColumn id="11438" xr3:uid="{A5953A33-56EC-427B-AD98-84417DC5EA92}" name="Column11438"/>
    <tableColumn id="11439" xr3:uid="{5BFF4EE4-2C53-4931-A37C-707A6E7E5505}" name="Column11439"/>
    <tableColumn id="11440" xr3:uid="{431D8F1C-194D-4D8E-83C8-DA8C3D375823}" name="Column11440"/>
    <tableColumn id="11441" xr3:uid="{A9D072F1-DE9C-4E47-B2CB-C86B357D8A3A}" name="Column11441"/>
    <tableColumn id="11442" xr3:uid="{7C16BDF5-4456-42E2-B297-3EA768F8BDAE}" name="Column11442"/>
    <tableColumn id="11443" xr3:uid="{28952964-F898-4CB0-83DF-C0AADBCB2707}" name="Column11443"/>
    <tableColumn id="11444" xr3:uid="{756F8D82-8355-4DE0-B153-1260AAF9E647}" name="Column11444"/>
    <tableColumn id="11445" xr3:uid="{E3EB1557-219D-4A88-AA5F-1D835F1F4A8E}" name="Column11445"/>
    <tableColumn id="11446" xr3:uid="{F4A23DE7-821F-44CE-87C2-A709843C86A6}" name="Column11446"/>
    <tableColumn id="11447" xr3:uid="{B2726DDD-B6AB-45D0-9D68-81D3F956C6AA}" name="Column11447"/>
    <tableColumn id="11448" xr3:uid="{732EFD89-A8CB-4713-9A87-1547C99BC5DD}" name="Column11448"/>
    <tableColumn id="11449" xr3:uid="{B09ED1B8-B18D-4F29-89BA-8267CBF20B93}" name="Column11449"/>
    <tableColumn id="11450" xr3:uid="{C0BFC574-C34F-4189-8550-CD7DE0B9B572}" name="Column11450"/>
    <tableColumn id="11451" xr3:uid="{313F17D3-BF77-4357-83C8-E9DC8FE4484B}" name="Column11451"/>
    <tableColumn id="11452" xr3:uid="{87CC332C-1BC5-464D-8512-4F2954ADE019}" name="Column11452"/>
    <tableColumn id="11453" xr3:uid="{4B3856CC-8699-4037-B382-AE6E16E26315}" name="Column11453"/>
    <tableColumn id="11454" xr3:uid="{98E6DB30-9566-4748-BEEA-B13E782E9666}" name="Column11454"/>
    <tableColumn id="11455" xr3:uid="{C95435B5-5866-4C44-99D6-FDBC78D74243}" name="Column11455"/>
    <tableColumn id="11456" xr3:uid="{1BFF5245-4AA8-411B-BDBF-AF7101B1ABEE}" name="Column11456"/>
    <tableColumn id="11457" xr3:uid="{3471436C-DA64-48D7-A409-3C2BCEDD0480}" name="Column11457"/>
    <tableColumn id="11458" xr3:uid="{56CA6B31-973B-46A6-BAF3-6F6E565A1D61}" name="Column11458"/>
    <tableColumn id="11459" xr3:uid="{88B4164F-657A-4CDC-BD91-6B497212CDE6}" name="Column11459"/>
    <tableColumn id="11460" xr3:uid="{F5FF93B2-8EAA-4871-BD13-E102243C13B2}" name="Column11460"/>
    <tableColumn id="11461" xr3:uid="{074A0A3E-294D-4A2D-A28C-078A4FEECC23}" name="Column11461"/>
    <tableColumn id="11462" xr3:uid="{7B9790E1-9DED-46B6-BC51-2B30BE80B241}" name="Column11462"/>
    <tableColumn id="11463" xr3:uid="{1ABE693F-691C-41BA-860F-0D9FF79026F2}" name="Column11463"/>
    <tableColumn id="11464" xr3:uid="{16B523AC-EF03-41C1-B575-68AB31D9A74C}" name="Column11464"/>
    <tableColumn id="11465" xr3:uid="{16375C2D-D754-4A41-93F5-CC4D94C9EE32}" name="Column11465"/>
    <tableColumn id="11466" xr3:uid="{C8EB6DDA-3C2A-4FA2-82FF-E078942E1A87}" name="Column11466"/>
    <tableColumn id="11467" xr3:uid="{88286C3A-B89D-439C-B215-6CFD6701A0F1}" name="Column11467"/>
    <tableColumn id="11468" xr3:uid="{65CA60E7-8B82-4931-86AD-669D396107C2}" name="Column11468"/>
    <tableColumn id="11469" xr3:uid="{F5568B8E-C4F7-41C0-8DB0-3814BD423AB5}" name="Column11469"/>
    <tableColumn id="11470" xr3:uid="{19594FE0-51A3-4F29-98F0-329E89D1A2CA}" name="Column11470"/>
    <tableColumn id="11471" xr3:uid="{75B63987-C6D5-4E8B-A0C0-3CF4AB1AF5A3}" name="Column11471"/>
    <tableColumn id="11472" xr3:uid="{F66E040B-F9C0-4883-A5F7-AEE3980A20D2}" name="Column11472"/>
    <tableColumn id="11473" xr3:uid="{DC115B62-48CA-4A6F-9791-64022AFEA203}" name="Column11473"/>
    <tableColumn id="11474" xr3:uid="{EB96B125-BEDF-484F-8460-BADC6BD0652C}" name="Column11474"/>
    <tableColumn id="11475" xr3:uid="{BE2FFFAF-42EA-4D1B-A89F-418E7144A997}" name="Column11475"/>
    <tableColumn id="11476" xr3:uid="{2363E270-3ADB-4428-A82C-3C01E4224BC2}" name="Column11476"/>
    <tableColumn id="11477" xr3:uid="{2F125D24-1CEA-4753-B927-C5BC4F915109}" name="Column11477"/>
    <tableColumn id="11478" xr3:uid="{CD0B04F7-626E-4D4C-9D15-FA86CBDE4867}" name="Column11478"/>
    <tableColumn id="11479" xr3:uid="{14B1025C-83F3-42E5-A773-CDF9A3808275}" name="Column11479"/>
    <tableColumn id="11480" xr3:uid="{B139FBE2-4728-4B08-A283-2FF5F7C0C531}" name="Column11480"/>
    <tableColumn id="11481" xr3:uid="{0782CC1E-A90F-4C52-9F4B-FB983412A806}" name="Column11481"/>
    <tableColumn id="11482" xr3:uid="{76B567CC-1776-4A95-AEBA-445F43D09144}" name="Column11482"/>
    <tableColumn id="11483" xr3:uid="{164D6C38-B4D2-4BB2-8284-8FF5C6381734}" name="Column11483"/>
    <tableColumn id="11484" xr3:uid="{C8CFE604-B7F2-421B-B0E2-ED20BA2D5821}" name="Column11484"/>
    <tableColumn id="11485" xr3:uid="{AE293E46-FFFA-4901-9A43-AAB15F76993C}" name="Column11485"/>
    <tableColumn id="11486" xr3:uid="{7FFEF609-B8FF-4927-856D-4370811C9DD8}" name="Column11486"/>
    <tableColumn id="11487" xr3:uid="{06AB689B-5F4E-41E7-97FE-17B2A0D796B3}" name="Column11487"/>
    <tableColumn id="11488" xr3:uid="{84C07A5E-3F8B-485D-949D-12C7ED8E9046}" name="Column11488"/>
    <tableColumn id="11489" xr3:uid="{08E49983-58A7-455F-AF7B-424B5D3BF2FC}" name="Column11489"/>
    <tableColumn id="11490" xr3:uid="{1C0EA018-0EB6-42E7-BCC0-8FC466BF4A68}" name="Column11490"/>
    <tableColumn id="11491" xr3:uid="{C40DCE6C-09A0-4B04-9D96-644323528C4F}" name="Column11491"/>
    <tableColumn id="11492" xr3:uid="{D334E930-BA5F-467B-A7D5-E391E1BE3F76}" name="Column11492"/>
    <tableColumn id="11493" xr3:uid="{A922A197-B5AB-442B-ADDC-1E5EC2AFDAA8}" name="Column11493"/>
    <tableColumn id="11494" xr3:uid="{29AB77D4-CF09-4600-B3EC-5D6539F17112}" name="Column11494"/>
    <tableColumn id="11495" xr3:uid="{3CF85A5D-26B9-4A6F-B1B0-ED024B4487B0}" name="Column11495"/>
    <tableColumn id="11496" xr3:uid="{644F3A51-291C-49AA-9FE0-FB8EFA9989DE}" name="Column11496"/>
    <tableColumn id="11497" xr3:uid="{9380AD37-B791-40D0-A2CB-18DA212DB182}" name="Column11497"/>
    <tableColumn id="11498" xr3:uid="{B89173E9-F43F-4BAD-B53A-4880BC08F908}" name="Column11498"/>
    <tableColumn id="11499" xr3:uid="{F822AEC3-BA68-4D13-80AD-8443A36A0188}" name="Column11499"/>
    <tableColumn id="11500" xr3:uid="{916CBE27-4FC0-4907-8938-5E8A11CF8366}" name="Column11500"/>
    <tableColumn id="11501" xr3:uid="{884B4422-5765-4401-98BB-613DEEDF0372}" name="Column11501"/>
    <tableColumn id="11502" xr3:uid="{7C7CA1BE-EF8F-459C-AE8F-78E75C91F937}" name="Column11502"/>
    <tableColumn id="11503" xr3:uid="{F1E0DC6F-5296-45E8-A855-AB11713CFFA5}" name="Column11503"/>
    <tableColumn id="11504" xr3:uid="{817A3E66-943F-4B03-A4E3-D8B36F4AC9DB}" name="Column11504"/>
    <tableColumn id="11505" xr3:uid="{7A91964A-B940-4466-B4FF-6C4FCB92E5EE}" name="Column11505"/>
    <tableColumn id="11506" xr3:uid="{FF8AA439-3359-413B-B5EF-3214491A4B96}" name="Column11506"/>
    <tableColumn id="11507" xr3:uid="{89BF5A25-B68B-49D7-8CB8-11E334E2A39D}" name="Column11507"/>
    <tableColumn id="11508" xr3:uid="{8D43482C-EBB5-43D4-AD6D-45EB97B0C131}" name="Column11508"/>
    <tableColumn id="11509" xr3:uid="{51FF47A0-964E-4340-8D0D-39764CC36931}" name="Column11509"/>
    <tableColumn id="11510" xr3:uid="{FF5B8183-8D84-4F41-ADEB-F4EEBFD730F2}" name="Column11510"/>
    <tableColumn id="11511" xr3:uid="{070CA241-BF76-4FF8-AE31-698A37BB0C14}" name="Column11511"/>
    <tableColumn id="11512" xr3:uid="{0DF1F356-4E91-44A6-B662-0C9E4DD46A8D}" name="Column11512"/>
    <tableColumn id="11513" xr3:uid="{7F5D64E2-A7BC-42AC-A92E-1CCC5CB6F315}" name="Column11513"/>
    <tableColumn id="11514" xr3:uid="{67DEC66B-1B24-4513-BE8D-ED9CE72B30EE}" name="Column11514"/>
    <tableColumn id="11515" xr3:uid="{877478EE-8801-46BC-B291-3A87052BD622}" name="Column11515"/>
    <tableColumn id="11516" xr3:uid="{32E6F23A-07D6-4C4C-8C2B-F9BB7DCECA37}" name="Column11516"/>
    <tableColumn id="11517" xr3:uid="{0E8C6D07-0C9A-434D-A116-1A45296E926C}" name="Column11517"/>
    <tableColumn id="11518" xr3:uid="{FBAE75B3-7B91-45D6-AEEC-6A3F0C74A84C}" name="Column11518"/>
    <tableColumn id="11519" xr3:uid="{E7CB8BBA-D72E-4BB6-A1A0-514F8D43C99A}" name="Column11519"/>
    <tableColumn id="11520" xr3:uid="{DAAAE1B5-597F-4AD3-8B19-0CE9D8134350}" name="Column11520"/>
    <tableColumn id="11521" xr3:uid="{29FD6006-6E0A-414F-B093-AF355D75FB71}" name="Column11521"/>
    <tableColumn id="11522" xr3:uid="{79FE67A5-41B2-451B-96C0-E2C07CA4ED2D}" name="Column11522"/>
    <tableColumn id="11523" xr3:uid="{90F7CFF5-41F9-4916-B175-AE4A081CEEB2}" name="Column11523"/>
    <tableColumn id="11524" xr3:uid="{3B846248-CBEF-4FE2-AD14-5F76ADD47B1C}" name="Column11524"/>
    <tableColumn id="11525" xr3:uid="{E944E206-43E5-4C86-95FC-626BF2816870}" name="Column11525"/>
    <tableColumn id="11526" xr3:uid="{DE572938-A72F-4BF3-94BE-A7D27B8A4B6B}" name="Column11526"/>
    <tableColumn id="11527" xr3:uid="{BDC41ABB-9FCC-4515-8A23-8636FDCA1EB5}" name="Column11527"/>
    <tableColumn id="11528" xr3:uid="{EC43D7C5-02F9-4B09-BB5E-808C58BBC117}" name="Column11528"/>
    <tableColumn id="11529" xr3:uid="{6376EA2F-7544-421F-BA85-012CC9E40E1A}" name="Column11529"/>
    <tableColumn id="11530" xr3:uid="{B01DA111-855F-4755-8DE6-367A25A34EF3}" name="Column11530"/>
    <tableColumn id="11531" xr3:uid="{3BCAE972-7D84-4BE6-9B91-7C44A2B9DFD1}" name="Column11531"/>
    <tableColumn id="11532" xr3:uid="{069FED06-CE56-4918-B179-73980C5991F6}" name="Column11532"/>
    <tableColumn id="11533" xr3:uid="{1DA94780-B952-4A06-B5EA-832CA7E5A20E}" name="Column11533"/>
    <tableColumn id="11534" xr3:uid="{B2CA130B-F2ED-4D94-8869-35D876064056}" name="Column11534"/>
    <tableColumn id="11535" xr3:uid="{6EA3E2FF-140D-43C6-8E24-8AE25EF2FA53}" name="Column11535"/>
    <tableColumn id="11536" xr3:uid="{9B1B3731-D044-4BDE-A1CC-F1559DEF84E1}" name="Column11536"/>
    <tableColumn id="11537" xr3:uid="{F64DEE0A-69B9-4276-9B45-E23B848ACA9E}" name="Column11537"/>
    <tableColumn id="11538" xr3:uid="{8AA5E761-5CCB-4FA4-8D54-CEE1F343F14B}" name="Column11538"/>
    <tableColumn id="11539" xr3:uid="{15A8F521-5A55-46B2-80B4-69A81DD32897}" name="Column11539"/>
    <tableColumn id="11540" xr3:uid="{3F75561D-DB51-4B0E-9358-3F7113AD4EFC}" name="Column11540"/>
    <tableColumn id="11541" xr3:uid="{4434738C-F43D-4787-A63C-842B4EAD3FE1}" name="Column11541"/>
    <tableColumn id="11542" xr3:uid="{4EF50AEC-8072-4718-A3B6-4A300C4B056C}" name="Column11542"/>
    <tableColumn id="11543" xr3:uid="{0C31ABD5-C52C-4D9F-8920-D3E38FFF5230}" name="Column11543"/>
    <tableColumn id="11544" xr3:uid="{90A6B7F4-281D-40A1-88A9-0E32A14A78CC}" name="Column11544"/>
    <tableColumn id="11545" xr3:uid="{DF2F8DD7-67E7-4F01-BB7F-B628C0E6AEC6}" name="Column11545"/>
    <tableColumn id="11546" xr3:uid="{0EE0FE5D-FAEE-4CF6-9F5D-82776276B4FB}" name="Column11546"/>
    <tableColumn id="11547" xr3:uid="{4000015D-064D-428C-9F60-43DC1E4D6BD8}" name="Column11547"/>
    <tableColumn id="11548" xr3:uid="{526B022E-F97F-4B96-BFC3-3C9D896FA043}" name="Column11548"/>
    <tableColumn id="11549" xr3:uid="{E2BFC401-7362-49A9-9F92-1CCA6844983D}" name="Column11549"/>
    <tableColumn id="11550" xr3:uid="{5DCB8F75-A037-4FE7-AB42-066AB4326462}" name="Column11550"/>
    <tableColumn id="11551" xr3:uid="{0B4ED3C1-0050-4025-81A5-A231A27E9098}" name="Column11551"/>
    <tableColumn id="11552" xr3:uid="{0FE4BD21-BB9A-4745-992A-AB01AAC1D6B3}" name="Column11552"/>
    <tableColumn id="11553" xr3:uid="{375F526B-BAC8-4A82-A5DC-009BAFD943CE}" name="Column11553"/>
    <tableColumn id="11554" xr3:uid="{43B763C5-C158-45BE-AFF1-B2CA3809CFA1}" name="Column11554"/>
    <tableColumn id="11555" xr3:uid="{5C8FE9C7-43C0-407F-9B5F-20948D587D37}" name="Column11555"/>
    <tableColumn id="11556" xr3:uid="{5F945D98-1FB9-4974-B642-5401EF412E33}" name="Column11556"/>
    <tableColumn id="11557" xr3:uid="{BBA91B6F-A453-4739-8C7A-2943C68F32E2}" name="Column11557"/>
    <tableColumn id="11558" xr3:uid="{61DB0649-0AE7-4AB4-814D-584B890AB8DA}" name="Column11558"/>
    <tableColumn id="11559" xr3:uid="{B6DD86E7-76D8-4CFE-A25B-78420C01CDB9}" name="Column11559"/>
    <tableColumn id="11560" xr3:uid="{A586E477-94D6-4BA8-A5DB-3B9CF4FFE084}" name="Column11560"/>
    <tableColumn id="11561" xr3:uid="{358996BB-3991-4E1B-9F6B-B00FB782670B}" name="Column11561"/>
    <tableColumn id="11562" xr3:uid="{D19B8791-BFE1-4F91-B3D1-EB9639AE64A2}" name="Column11562"/>
    <tableColumn id="11563" xr3:uid="{9CBBE967-6F84-4EF2-B4B0-29804935BA74}" name="Column11563"/>
    <tableColumn id="11564" xr3:uid="{C352B157-FB62-4BB4-B458-894BC9ED157E}" name="Column11564"/>
    <tableColumn id="11565" xr3:uid="{5F2E2A22-EE92-47F6-889A-9C0EA53653CF}" name="Column11565"/>
    <tableColumn id="11566" xr3:uid="{E96F504A-0101-40BB-A765-66C81B76B3FD}" name="Column11566"/>
    <tableColumn id="11567" xr3:uid="{078F3CBE-BD63-4FC3-B045-CFD5BDC069A7}" name="Column11567"/>
    <tableColumn id="11568" xr3:uid="{D1089D97-0185-4A77-8A94-030CC394B140}" name="Column11568"/>
    <tableColumn id="11569" xr3:uid="{AEE04FC5-6DFB-4B85-B92E-CE9DA101DFE5}" name="Column11569"/>
    <tableColumn id="11570" xr3:uid="{CB74AC99-FCB1-44E7-90B7-B2333E21F096}" name="Column11570"/>
    <tableColumn id="11571" xr3:uid="{6B969879-3232-4210-A2DB-1017122CCF28}" name="Column11571"/>
    <tableColumn id="11572" xr3:uid="{B18ABB2E-DD6E-4B5D-A793-D29253FA129E}" name="Column11572"/>
    <tableColumn id="11573" xr3:uid="{233386FA-6149-4EDD-9CC1-4C56B099F7FC}" name="Column11573"/>
    <tableColumn id="11574" xr3:uid="{A7CB36DD-0D0C-45C7-B883-7BCF50D28BF1}" name="Column11574"/>
    <tableColumn id="11575" xr3:uid="{285B2376-2C19-412E-93B5-F8F7D87BBB8C}" name="Column11575"/>
    <tableColumn id="11576" xr3:uid="{D9912AD8-29C6-49CB-BA9E-E4D0C784026F}" name="Column11576"/>
    <tableColumn id="11577" xr3:uid="{26ADB3BC-C307-4055-85BE-0890B369E5BF}" name="Column11577"/>
    <tableColumn id="11578" xr3:uid="{7B4A046A-0C27-4050-AE15-88CB80E70390}" name="Column11578"/>
    <tableColumn id="11579" xr3:uid="{8131919C-7D85-4830-9F8F-234187E84812}" name="Column11579"/>
    <tableColumn id="11580" xr3:uid="{78C97223-4D17-4CFE-A2F8-FDEFB92199C1}" name="Column11580"/>
    <tableColumn id="11581" xr3:uid="{9ED8D92E-0508-4E3B-AB35-84C9C9DF4635}" name="Column11581"/>
    <tableColumn id="11582" xr3:uid="{BBF7DC38-8593-4A44-969D-697B5819A166}" name="Column11582"/>
    <tableColumn id="11583" xr3:uid="{F9FD5671-5370-405F-AEA6-17259418F791}" name="Column11583"/>
    <tableColumn id="11584" xr3:uid="{4F85FB41-885D-4941-BC08-DEAA3B934D08}" name="Column11584"/>
    <tableColumn id="11585" xr3:uid="{9E1DA520-CAB3-4E55-8989-9E3EB16BBF60}" name="Column11585"/>
    <tableColumn id="11586" xr3:uid="{0FD5D15E-4168-4CEC-84F0-D7BAFFA8F2DD}" name="Column11586"/>
    <tableColumn id="11587" xr3:uid="{DA54537F-DCA7-41F0-BC12-D9FB07760C16}" name="Column11587"/>
    <tableColumn id="11588" xr3:uid="{76A7FDFB-D54B-44E9-95C0-62A4E70ABEFB}" name="Column11588"/>
    <tableColumn id="11589" xr3:uid="{37F18AF2-3EA6-4DF2-9F7D-FA78C5A1637D}" name="Column11589"/>
    <tableColumn id="11590" xr3:uid="{1F41545B-0B6C-454D-A03D-82E96A44E880}" name="Column11590"/>
    <tableColumn id="11591" xr3:uid="{70960FC8-5A42-4488-B170-014662EEDC38}" name="Column11591"/>
    <tableColumn id="11592" xr3:uid="{3A401214-44D5-4BA0-86BF-E34ABE85B88D}" name="Column11592"/>
    <tableColumn id="11593" xr3:uid="{F836EA46-94D5-4A9C-8AC3-29AEF05072D3}" name="Column11593"/>
    <tableColumn id="11594" xr3:uid="{9126337F-A318-444E-AADC-9FE0824F8653}" name="Column11594"/>
    <tableColumn id="11595" xr3:uid="{BD16615D-90E4-487D-B2C9-DF3980704277}" name="Column11595"/>
    <tableColumn id="11596" xr3:uid="{2E792ED7-3A81-478E-B445-E31F1D7A483B}" name="Column11596"/>
    <tableColumn id="11597" xr3:uid="{DEF6C2A7-DCD4-4478-9F84-87A220EF059E}" name="Column11597"/>
    <tableColumn id="11598" xr3:uid="{55C6B6DB-40B3-4EF3-9852-8E37D96B7066}" name="Column11598"/>
    <tableColumn id="11599" xr3:uid="{FE55FFC8-5B22-4F21-AF22-4872727FDDD7}" name="Column11599"/>
    <tableColumn id="11600" xr3:uid="{680BAC53-C333-45F7-B2BB-41BA22A9C4D2}" name="Column11600"/>
    <tableColumn id="11601" xr3:uid="{8ADFDC3D-1DDD-4B67-8D82-80E75E2F7590}" name="Column11601"/>
    <tableColumn id="11602" xr3:uid="{5E71071B-2E9A-40E5-8323-D7CE4423D239}" name="Column11602"/>
    <tableColumn id="11603" xr3:uid="{DC2A4983-1FBE-461E-87E8-B49377F5C509}" name="Column11603"/>
    <tableColumn id="11604" xr3:uid="{1E0A41F7-9B3B-412A-BFD2-F25C6B763641}" name="Column11604"/>
    <tableColumn id="11605" xr3:uid="{5750A342-8124-4C5E-904B-03EFDCA654A4}" name="Column11605"/>
    <tableColumn id="11606" xr3:uid="{033340D8-7521-4A18-9528-579DB7CC0A2D}" name="Column11606"/>
    <tableColumn id="11607" xr3:uid="{365B228F-23DD-4682-A1B4-EDD4F2D14BA2}" name="Column11607"/>
    <tableColumn id="11608" xr3:uid="{8FF71F81-C314-451A-BA46-4107FB2A0090}" name="Column11608"/>
    <tableColumn id="11609" xr3:uid="{114CCC68-B4DA-4922-9252-8D1ED41162A8}" name="Column11609"/>
    <tableColumn id="11610" xr3:uid="{49C44575-946D-46F9-9FCC-9772838E5B49}" name="Column11610"/>
    <tableColumn id="11611" xr3:uid="{F086C69F-11E9-46E8-B99E-41B47576B83E}" name="Column11611"/>
    <tableColumn id="11612" xr3:uid="{3ABCC5B6-5167-45A4-B05D-801B534097F8}" name="Column11612"/>
    <tableColumn id="11613" xr3:uid="{3EF88945-9BDE-45AD-9864-EA478E9A9DA8}" name="Column11613"/>
    <tableColumn id="11614" xr3:uid="{2BA6EB78-B3E7-4D09-84C6-131CA561D883}" name="Column11614"/>
    <tableColumn id="11615" xr3:uid="{F1AAE5BE-13B5-42A5-914A-FDDE38456F9F}" name="Column11615"/>
    <tableColumn id="11616" xr3:uid="{5E184DB3-54B4-4E93-AC0E-EA5B08DC4BD4}" name="Column11616"/>
    <tableColumn id="11617" xr3:uid="{F61A00D7-89CF-448E-B610-C0DD4E9AF4BE}" name="Column11617"/>
    <tableColumn id="11618" xr3:uid="{AF153494-4CAE-49DF-BB26-0354D7DF3610}" name="Column11618"/>
    <tableColumn id="11619" xr3:uid="{9685D128-92B6-4594-9E80-38BDF7D49719}" name="Column11619"/>
    <tableColumn id="11620" xr3:uid="{EDB3E15B-50BA-4B1E-918E-9FF89504E0BB}" name="Column11620"/>
    <tableColumn id="11621" xr3:uid="{C6C93B6B-3A9C-4538-8793-D157F63904A5}" name="Column11621"/>
    <tableColumn id="11622" xr3:uid="{FCD850BA-91E6-4F4E-9113-44AB1579D686}" name="Column11622"/>
    <tableColumn id="11623" xr3:uid="{AB4A747B-7658-4ED4-8320-1F7FC7CB6683}" name="Column11623"/>
    <tableColumn id="11624" xr3:uid="{98DC979F-4F5F-4438-992C-BE2458BF1299}" name="Column11624"/>
    <tableColumn id="11625" xr3:uid="{02BB5A85-B95B-4826-982A-8375CBC8E02E}" name="Column11625"/>
    <tableColumn id="11626" xr3:uid="{45EA304B-323B-4409-B2B4-39B282EB5F28}" name="Column11626"/>
    <tableColumn id="11627" xr3:uid="{297276BD-9E20-44DB-BC06-F3F20183BDB3}" name="Column11627"/>
    <tableColumn id="11628" xr3:uid="{FA5C7F85-30DD-4C5C-A498-E1FCE13334E3}" name="Column11628"/>
    <tableColumn id="11629" xr3:uid="{1C302B17-64EF-4A14-B306-6A799AE09913}" name="Column11629"/>
    <tableColumn id="11630" xr3:uid="{F88AD7C9-E007-44C2-9BAC-1EFD892A7576}" name="Column11630"/>
    <tableColumn id="11631" xr3:uid="{35095BE3-B1CD-4F77-9B04-B1BA1A97013A}" name="Column11631"/>
    <tableColumn id="11632" xr3:uid="{323DFF4C-8D93-41D5-8738-E8DBE421E4C4}" name="Column11632"/>
    <tableColumn id="11633" xr3:uid="{F20AF251-02A8-421E-A652-2B7733CE20AF}" name="Column11633"/>
    <tableColumn id="11634" xr3:uid="{5793DA9D-E3B3-479D-AC15-7FE122B5012D}" name="Column11634"/>
    <tableColumn id="11635" xr3:uid="{377ED1E3-5767-4E01-9450-629A74FF0FE3}" name="Column11635"/>
    <tableColumn id="11636" xr3:uid="{4DDBD201-6AC1-4C89-B329-70224EF39A4F}" name="Column11636"/>
    <tableColumn id="11637" xr3:uid="{C1200F99-547F-48DF-A537-A385361DA137}" name="Column11637"/>
    <tableColumn id="11638" xr3:uid="{F94F38B0-5B2F-4A66-9963-B596F4CEC765}" name="Column11638"/>
    <tableColumn id="11639" xr3:uid="{8D0E3752-195A-4AEC-8C23-535D0200C3B4}" name="Column11639"/>
    <tableColumn id="11640" xr3:uid="{B7692CEB-1467-4C63-9801-7CA149F7FEA3}" name="Column11640"/>
    <tableColumn id="11641" xr3:uid="{4F9B1491-AF01-41C8-90B9-0D37CC9C40D6}" name="Column11641"/>
    <tableColumn id="11642" xr3:uid="{F6101A0E-5A4F-4A6E-A39D-1ACEA773B457}" name="Column11642"/>
    <tableColumn id="11643" xr3:uid="{34773C27-4271-427E-A2CF-F4859BC9AC6D}" name="Column11643"/>
    <tableColumn id="11644" xr3:uid="{329A5B3D-9B3F-497F-8F0F-7DF3B200B363}" name="Column11644"/>
    <tableColumn id="11645" xr3:uid="{1FA76272-7CE0-4ADC-A849-E2A5D1A43061}" name="Column11645"/>
    <tableColumn id="11646" xr3:uid="{CFFEC1EF-1088-454B-9C1E-05C29DAE0C11}" name="Column11646"/>
    <tableColumn id="11647" xr3:uid="{CDEC02BD-4B4D-4A4B-A074-1DF28245ADAC}" name="Column11647"/>
    <tableColumn id="11648" xr3:uid="{E96626EB-0254-4E88-82B4-BD639827C58A}" name="Column11648"/>
    <tableColumn id="11649" xr3:uid="{909A56D9-0C2D-4A29-AFE8-44EDABD2E4D3}" name="Column11649"/>
    <tableColumn id="11650" xr3:uid="{512675F7-C089-47FB-9E2D-BE0600F9E925}" name="Column11650"/>
    <tableColumn id="11651" xr3:uid="{D7C43DD9-7DFB-4B0F-B826-A488A6975242}" name="Column11651"/>
    <tableColumn id="11652" xr3:uid="{A35319F4-1487-4F1F-AC09-822185C0257B}" name="Column11652"/>
    <tableColumn id="11653" xr3:uid="{25E2219C-BFF9-4178-B88C-602EB0D3114F}" name="Column11653"/>
    <tableColumn id="11654" xr3:uid="{B51BF27E-0963-41E5-B70D-4FD2281E02DB}" name="Column11654"/>
    <tableColumn id="11655" xr3:uid="{31541C30-5C33-4146-BDB0-82BDC53FC0DB}" name="Column11655"/>
    <tableColumn id="11656" xr3:uid="{8070CFB4-18FD-401D-BC73-E7C845900126}" name="Column11656"/>
    <tableColumn id="11657" xr3:uid="{ADF976D6-72E6-425E-B0E2-5117E6C1422A}" name="Column11657"/>
    <tableColumn id="11658" xr3:uid="{B4180A05-BFAA-4CB0-A63A-8718042D1E3B}" name="Column11658"/>
    <tableColumn id="11659" xr3:uid="{B0A18696-0457-47DF-A0B3-3C8D1D26A69D}" name="Column11659"/>
    <tableColumn id="11660" xr3:uid="{732F6D77-F048-4068-A648-1812DD4E7730}" name="Column11660"/>
    <tableColumn id="11661" xr3:uid="{F9DBAD6E-A2F5-46A0-982A-6EF1ED37DF98}" name="Column11661"/>
    <tableColumn id="11662" xr3:uid="{2D8D2501-1A85-4976-991C-4AA8E677C098}" name="Column11662"/>
    <tableColumn id="11663" xr3:uid="{1C0F86D8-9F30-4BD8-B972-90939C7B1903}" name="Column11663"/>
    <tableColumn id="11664" xr3:uid="{DB611706-9091-464F-B3AD-2878AA6C1775}" name="Column11664"/>
    <tableColumn id="11665" xr3:uid="{CB3EE97D-05B7-4806-824A-80B5A8C9DA98}" name="Column11665"/>
    <tableColumn id="11666" xr3:uid="{0E9CA503-78A6-48AF-A8F2-6562AAFA44C5}" name="Column11666"/>
    <tableColumn id="11667" xr3:uid="{18507E72-F519-4923-9A56-32CB248BBEB0}" name="Column11667"/>
    <tableColumn id="11668" xr3:uid="{54F8D8EA-83B3-414D-A6F9-B4488A1A286C}" name="Column11668"/>
    <tableColumn id="11669" xr3:uid="{EA3D4A33-C3A8-4D09-9429-7E2846792FAB}" name="Column11669"/>
    <tableColumn id="11670" xr3:uid="{2F479B90-DD9C-4DBB-AD87-C0440B9BD329}" name="Column11670"/>
    <tableColumn id="11671" xr3:uid="{B95D23E2-29C0-4111-AB27-7FC588CDCB3C}" name="Column11671"/>
    <tableColumn id="11672" xr3:uid="{E1714A5C-5650-437D-8CBB-569C432BE8A7}" name="Column11672"/>
    <tableColumn id="11673" xr3:uid="{9E54E5A1-B58C-4A91-93A9-F1DC455A012D}" name="Column11673"/>
    <tableColumn id="11674" xr3:uid="{8ECB0A15-63FB-488B-A418-B97EF0D3A9B0}" name="Column11674"/>
    <tableColumn id="11675" xr3:uid="{8B0B22B4-E0FA-4560-8902-354AAB67C826}" name="Column11675"/>
    <tableColumn id="11676" xr3:uid="{5632C5C7-59CA-47C6-B77A-D04D90066D05}" name="Column11676"/>
    <tableColumn id="11677" xr3:uid="{6FBF8C05-8150-4A60-A06F-F99F820A74C9}" name="Column11677"/>
    <tableColumn id="11678" xr3:uid="{E4D3A5C3-25CE-4CC7-AE7E-E2A076BC94A5}" name="Column11678"/>
    <tableColumn id="11679" xr3:uid="{FA5E4F94-11B0-41E9-90CA-76CC5B21202A}" name="Column11679"/>
    <tableColumn id="11680" xr3:uid="{8154A627-22B1-433B-B838-AEF69C27E19A}" name="Column11680"/>
    <tableColumn id="11681" xr3:uid="{ABDA3805-2C56-4FA5-9038-EF7D170AAE6F}" name="Column11681"/>
    <tableColumn id="11682" xr3:uid="{F8E83001-C27A-44BD-B124-68ED60C247D1}" name="Column11682"/>
    <tableColumn id="11683" xr3:uid="{C0D5906A-3292-48ED-903B-34B8C6F7E2A2}" name="Column11683"/>
    <tableColumn id="11684" xr3:uid="{0198C055-C1FE-47B4-94AE-C49B7974E34C}" name="Column11684"/>
    <tableColumn id="11685" xr3:uid="{890C37B0-C171-400F-98F8-9178ACE69C95}" name="Column11685"/>
    <tableColumn id="11686" xr3:uid="{7AE3E9A6-E907-4469-AE3A-5CC3BECDCC41}" name="Column11686"/>
    <tableColumn id="11687" xr3:uid="{823C0017-BED1-47B9-B888-809A9F2EC890}" name="Column11687"/>
    <tableColumn id="11688" xr3:uid="{66C47C90-2A35-409D-8E6B-98311B8BDA60}" name="Column11688"/>
    <tableColumn id="11689" xr3:uid="{55BA964E-3EF9-431E-80D7-037440D4AC38}" name="Column11689"/>
    <tableColumn id="11690" xr3:uid="{A5C793DC-984B-49F1-A391-FBCF552E1E6C}" name="Column11690"/>
    <tableColumn id="11691" xr3:uid="{49D8AB74-3F2F-4AD4-8EDC-B630DA55266D}" name="Column11691"/>
    <tableColumn id="11692" xr3:uid="{7FFDF8A8-B909-44AF-8731-B86C9A8D5377}" name="Column11692"/>
    <tableColumn id="11693" xr3:uid="{4DE262E5-D847-4D2C-AEF5-FC549538543A}" name="Column11693"/>
    <tableColumn id="11694" xr3:uid="{210FCFCD-3C50-411C-BE56-D46DFDA77599}" name="Column11694"/>
    <tableColumn id="11695" xr3:uid="{C36008EE-C532-4466-B5D0-72287BDDAB99}" name="Column11695"/>
    <tableColumn id="11696" xr3:uid="{0170D676-A166-4B70-9FAA-D52C010E1F68}" name="Column11696"/>
    <tableColumn id="11697" xr3:uid="{31B1B7CC-EDCE-42CC-9A67-51C23EBB0310}" name="Column11697"/>
    <tableColumn id="11698" xr3:uid="{088B414F-A796-4817-AB29-F9D3254B4BAF}" name="Column11698"/>
    <tableColumn id="11699" xr3:uid="{70991F08-4995-4233-9FAA-30807AB721B2}" name="Column11699"/>
    <tableColumn id="11700" xr3:uid="{C5C5C25E-F9A9-4611-AFCF-DBC0DDBB078F}" name="Column11700"/>
    <tableColumn id="11701" xr3:uid="{AE686465-3B5A-4717-B1BA-096665E9249D}" name="Column11701"/>
    <tableColumn id="11702" xr3:uid="{27B1D1F4-4837-4508-B097-0A94E254DDFF}" name="Column11702"/>
    <tableColumn id="11703" xr3:uid="{7A3D7D48-5472-43D1-ADCA-B93813C6C6D1}" name="Column11703"/>
    <tableColumn id="11704" xr3:uid="{59B9AEF3-CC6B-4FF6-AC22-EB72FCD69B7D}" name="Column11704"/>
    <tableColumn id="11705" xr3:uid="{A12B4167-ABD2-41AD-8F09-FB7A1D286BC3}" name="Column11705"/>
    <tableColumn id="11706" xr3:uid="{592C786D-2495-43E9-B0F6-1FFA1EEEE9B9}" name="Column11706"/>
    <tableColumn id="11707" xr3:uid="{95668060-1F22-4FA4-BDE2-FEEAC195FE4A}" name="Column11707"/>
    <tableColumn id="11708" xr3:uid="{5BFF4CB3-4B9E-4C4E-9DA9-EA1009933F00}" name="Column11708"/>
    <tableColumn id="11709" xr3:uid="{FCEA65E5-6EFF-4255-BB5E-36CFA9F366FB}" name="Column11709"/>
    <tableColumn id="11710" xr3:uid="{0B2C6C67-9EFA-42EE-9EA6-476CB1F8F408}" name="Column11710"/>
    <tableColumn id="11711" xr3:uid="{9BA51A19-1533-4D00-875A-3AB9EE3E80FD}" name="Column11711"/>
    <tableColumn id="11712" xr3:uid="{1909CAA7-0181-4C35-97E1-E89FAC29EFB3}" name="Column11712"/>
    <tableColumn id="11713" xr3:uid="{44BFE0D8-0EBB-4CB6-81F8-5369F0FDB66F}" name="Column11713"/>
    <tableColumn id="11714" xr3:uid="{AE170F70-C190-480E-9FB7-CDEBFE40C808}" name="Column11714"/>
    <tableColumn id="11715" xr3:uid="{B52BA83E-5305-4F3E-B8DC-D67BC47CEAD2}" name="Column11715"/>
    <tableColumn id="11716" xr3:uid="{AB2591BF-28FC-42CA-B439-2A640C2AF5A5}" name="Column11716"/>
    <tableColumn id="11717" xr3:uid="{6D9C111F-B92B-440A-8E57-10B2A1D435BD}" name="Column11717"/>
    <tableColumn id="11718" xr3:uid="{9C1DF465-3724-412B-8251-8B43956D07C0}" name="Column11718"/>
    <tableColumn id="11719" xr3:uid="{177170EB-C82C-40A8-907D-3DAF4EF32839}" name="Column11719"/>
    <tableColumn id="11720" xr3:uid="{A79C05C7-4591-4263-A4E2-ECD7D813A35F}" name="Column11720"/>
    <tableColumn id="11721" xr3:uid="{E4891CDC-9E4A-438C-85E4-0288274F415E}" name="Column11721"/>
    <tableColumn id="11722" xr3:uid="{D7CA39AA-6D5F-409A-9C26-108A0E84EB7C}" name="Column11722"/>
    <tableColumn id="11723" xr3:uid="{BF25C956-49BF-4595-B6BC-A0902ED05393}" name="Column11723"/>
    <tableColumn id="11724" xr3:uid="{0035BE09-6D8F-4C4F-AACD-4456A67CC6F0}" name="Column11724"/>
    <tableColumn id="11725" xr3:uid="{6EEFA793-417A-4016-B799-8065C104E766}" name="Column11725"/>
    <tableColumn id="11726" xr3:uid="{C7ADEBFE-8496-4BB4-A333-E389093B7B74}" name="Column11726"/>
    <tableColumn id="11727" xr3:uid="{3B26ECD7-8E89-4843-81FF-5EED6C4F703E}" name="Column11727"/>
    <tableColumn id="11728" xr3:uid="{60B3B2D6-EF7B-4BCF-A807-9D2FEB03F179}" name="Column11728"/>
    <tableColumn id="11729" xr3:uid="{B6E891CA-19D7-4CA4-80BD-907B0F24849D}" name="Column11729"/>
    <tableColumn id="11730" xr3:uid="{F4DDB19F-5B19-449D-B064-8E8FCC46B544}" name="Column11730"/>
    <tableColumn id="11731" xr3:uid="{73F9AF88-7FC7-4BF0-8075-3E178FC6E159}" name="Column11731"/>
    <tableColumn id="11732" xr3:uid="{F0CF2AC4-E41B-4BEF-B6D4-83F3F38D7682}" name="Column11732"/>
    <tableColumn id="11733" xr3:uid="{27DC739A-C711-48D7-99B8-DFB7CE1D8AEB}" name="Column11733"/>
    <tableColumn id="11734" xr3:uid="{89FBF143-FB38-48D5-8AC9-7B130CD74F5F}" name="Column11734"/>
    <tableColumn id="11735" xr3:uid="{8122407C-AB08-471D-B140-0A53E670FA8D}" name="Column11735"/>
    <tableColumn id="11736" xr3:uid="{F425439F-01EB-4261-9BA2-0E40484FE520}" name="Column11736"/>
    <tableColumn id="11737" xr3:uid="{01D73793-BD94-4C90-80EE-45E79E879D5A}" name="Column11737"/>
    <tableColumn id="11738" xr3:uid="{825ABD18-D40A-4215-9F9B-B8B752B07054}" name="Column11738"/>
    <tableColumn id="11739" xr3:uid="{2F999046-BA56-49F1-8EE2-4A9AEDEB3F6C}" name="Column11739"/>
    <tableColumn id="11740" xr3:uid="{C958B7B6-AFE3-4B07-BC02-A2B02E6D9808}" name="Column11740"/>
    <tableColumn id="11741" xr3:uid="{1BCB7A2B-6FC3-44F9-A932-78AE6645BF05}" name="Column11741"/>
    <tableColumn id="11742" xr3:uid="{F9E6BAC5-A1BD-495A-83C1-2E083E0CBC9C}" name="Column11742"/>
    <tableColumn id="11743" xr3:uid="{4B1F90FE-5DFC-4717-912C-424444B4744C}" name="Column11743"/>
    <tableColumn id="11744" xr3:uid="{CC721415-CC56-4821-B016-33728CE1798B}" name="Column11744"/>
    <tableColumn id="11745" xr3:uid="{DDD7BBFD-3BDB-4360-9009-3BCE91050FDD}" name="Column11745"/>
    <tableColumn id="11746" xr3:uid="{C027E1C2-354E-486A-97BB-83CC8CDEC5A4}" name="Column11746"/>
    <tableColumn id="11747" xr3:uid="{7096861E-A637-4A03-AEE9-2C4EECB9490E}" name="Column11747"/>
    <tableColumn id="11748" xr3:uid="{5B109522-5781-4861-AD9B-BE56E05B89F2}" name="Column11748"/>
    <tableColumn id="11749" xr3:uid="{A0ED1D7F-8FFF-47D2-BC9C-92B656D421EA}" name="Column11749"/>
    <tableColumn id="11750" xr3:uid="{AF0224BD-83C3-4AAF-A0C6-560A26E0B507}" name="Column11750"/>
    <tableColumn id="11751" xr3:uid="{DC477250-3B2F-49DC-926F-FF8A42D9E6DE}" name="Column11751"/>
    <tableColumn id="11752" xr3:uid="{78905522-8032-41BB-8FA4-54800FC3D1CB}" name="Column11752"/>
    <tableColumn id="11753" xr3:uid="{D85B0CDB-95B4-4DC5-A597-58F400A16072}" name="Column11753"/>
    <tableColumn id="11754" xr3:uid="{91A3E623-E385-40FC-BB14-3780F18BE103}" name="Column11754"/>
    <tableColumn id="11755" xr3:uid="{34DD62E6-69D2-49B0-B6FA-6A22035C14E9}" name="Column11755"/>
    <tableColumn id="11756" xr3:uid="{308E0E18-6F97-44BB-A0CF-A1132E03E601}" name="Column11756"/>
    <tableColumn id="11757" xr3:uid="{E6C44969-FB32-4D03-ADE3-334B68D25F6E}" name="Column11757"/>
    <tableColumn id="11758" xr3:uid="{7D5481E8-FFB7-4913-ABBB-F62D2C74D4A0}" name="Column11758"/>
    <tableColumn id="11759" xr3:uid="{8483315D-9B9E-4521-B7DC-15E237B9387D}" name="Column11759"/>
    <tableColumn id="11760" xr3:uid="{26BD857E-DC39-4869-B0EA-F70F9288B0CD}" name="Column11760"/>
    <tableColumn id="11761" xr3:uid="{B0FDF310-6B71-4393-92C2-5296EBE76E50}" name="Column11761"/>
    <tableColumn id="11762" xr3:uid="{7A46EAB9-E221-4C11-84E5-C7FB630B4572}" name="Column11762"/>
    <tableColumn id="11763" xr3:uid="{4AA64BA6-873B-42F3-BDFD-5B838EBC8818}" name="Column11763"/>
    <tableColumn id="11764" xr3:uid="{7E2096CE-9421-4959-89A3-383BC6BC1E6A}" name="Column11764"/>
    <tableColumn id="11765" xr3:uid="{EB640721-7754-4E2A-AE37-0F12D9265BA6}" name="Column11765"/>
    <tableColumn id="11766" xr3:uid="{D3400474-210A-4F01-9E1F-5AC73E6D379D}" name="Column11766"/>
    <tableColumn id="11767" xr3:uid="{2D93279D-455E-45C4-8342-74305360B85B}" name="Column11767"/>
    <tableColumn id="11768" xr3:uid="{8F972066-A194-41E7-A3E1-DDEF1C6D8D17}" name="Column11768"/>
    <tableColumn id="11769" xr3:uid="{CE8416B6-86A3-49B5-8659-4B08170300E0}" name="Column11769"/>
    <tableColumn id="11770" xr3:uid="{ED3366DB-A08B-426A-A43E-604AE1E1250B}" name="Column11770"/>
    <tableColumn id="11771" xr3:uid="{1EAC05E0-262F-4098-B210-18F79475E367}" name="Column11771"/>
    <tableColumn id="11772" xr3:uid="{8751E958-8258-467B-8F93-2B6443625841}" name="Column11772"/>
    <tableColumn id="11773" xr3:uid="{572B7E76-414B-4027-ACCB-595D5FADDBC9}" name="Column11773"/>
    <tableColumn id="11774" xr3:uid="{B76F9905-61A4-42D4-8DE6-D8CFF333364E}" name="Column11774"/>
    <tableColumn id="11775" xr3:uid="{F3D46CFF-2431-427C-9570-AAB0CE317626}" name="Column11775"/>
    <tableColumn id="11776" xr3:uid="{C88FD3E8-1D29-4CA2-A588-73B399E5787D}" name="Column11776"/>
    <tableColumn id="11777" xr3:uid="{92B38031-6A7A-44AB-B2D8-4C4BFF6705B2}" name="Column11777"/>
    <tableColumn id="11778" xr3:uid="{6347DD61-58D7-4D8F-8597-118573FFA0CB}" name="Column11778"/>
    <tableColumn id="11779" xr3:uid="{0DF369BD-1EE5-4628-84B5-B3F9B0B85D58}" name="Column11779"/>
    <tableColumn id="11780" xr3:uid="{8F590536-44E9-490F-A4ED-7923D417575D}" name="Column11780"/>
    <tableColumn id="11781" xr3:uid="{20155DCA-8D3D-4DBD-85C8-A38E85E9F022}" name="Column11781"/>
    <tableColumn id="11782" xr3:uid="{A3D2C3A1-CCEB-4A9F-AB82-CEAD6590DF27}" name="Column11782"/>
    <tableColumn id="11783" xr3:uid="{1C876447-5CA0-4728-96D8-F70B5357DF6E}" name="Column11783"/>
    <tableColumn id="11784" xr3:uid="{117BCCA2-9B59-4655-8154-647F74A6DB10}" name="Column11784"/>
    <tableColumn id="11785" xr3:uid="{FCB3996E-9263-419B-A25A-9160BA2358D6}" name="Column11785"/>
    <tableColumn id="11786" xr3:uid="{5B741A88-96A4-4FDC-B4A5-4042CAC1077F}" name="Column11786"/>
    <tableColumn id="11787" xr3:uid="{03C3BF2C-B940-4A93-A972-FD1FE099CB27}" name="Column11787"/>
    <tableColumn id="11788" xr3:uid="{FFB99B96-CF49-4182-864A-B792263319E2}" name="Column11788"/>
    <tableColumn id="11789" xr3:uid="{A22E6EB0-21BB-47A8-A78F-0E2B1E2D4840}" name="Column11789"/>
    <tableColumn id="11790" xr3:uid="{0E859D99-9EEE-4062-9C39-C69949C09D94}" name="Column11790"/>
    <tableColumn id="11791" xr3:uid="{880DF5A8-C511-4983-AE86-37D12468C913}" name="Column11791"/>
    <tableColumn id="11792" xr3:uid="{4395F538-DD00-46E5-9489-144982364148}" name="Column11792"/>
    <tableColumn id="11793" xr3:uid="{AE6CA628-C27D-42AE-9C6F-8BE8A1CB9483}" name="Column11793"/>
    <tableColumn id="11794" xr3:uid="{80B1B293-8CF9-48F3-8E57-AB05F962A6B7}" name="Column11794"/>
    <tableColumn id="11795" xr3:uid="{9054844D-26D7-40EA-AFDA-11E6AB1621B0}" name="Column11795"/>
    <tableColumn id="11796" xr3:uid="{F031AA9D-ECF8-48F6-BDAB-001627797161}" name="Column11796"/>
    <tableColumn id="11797" xr3:uid="{FFED5582-7B2F-4A61-850F-86521D22422E}" name="Column11797"/>
    <tableColumn id="11798" xr3:uid="{A31BE7AE-C8BB-47E3-B767-B1D8694D8EA3}" name="Column11798"/>
    <tableColumn id="11799" xr3:uid="{C5707F22-4C3A-407A-8A20-1B54B3AE8139}" name="Column11799"/>
    <tableColumn id="11800" xr3:uid="{534BC110-DC52-46BA-92A0-734D548CC8FC}" name="Column11800"/>
    <tableColumn id="11801" xr3:uid="{B12958CB-A2B0-4EB5-A1F2-9C4D4B62499D}" name="Column11801"/>
    <tableColumn id="11802" xr3:uid="{34A8708D-8E3A-4014-B33C-9D97DA67D513}" name="Column11802"/>
    <tableColumn id="11803" xr3:uid="{BAA9F998-C1AA-4F1A-AF1E-68CFF95EB68D}" name="Column11803"/>
    <tableColumn id="11804" xr3:uid="{075D2AC7-2214-4982-8834-B24DDBBB243C}" name="Column11804"/>
    <tableColumn id="11805" xr3:uid="{E92EC4DA-54A4-4F80-980D-7A8D22175282}" name="Column11805"/>
    <tableColumn id="11806" xr3:uid="{231CAA84-B667-4DC5-B58A-961B7FA5416B}" name="Column11806"/>
    <tableColumn id="11807" xr3:uid="{202E79DC-0F03-49ED-AFCD-20F1C375EDCA}" name="Column11807"/>
    <tableColumn id="11808" xr3:uid="{636191CF-FC0E-4A1A-BCCE-5B06A7B3F9FA}" name="Column11808"/>
    <tableColumn id="11809" xr3:uid="{74DF19EE-E22D-4A6B-B29B-6331DD07EC7F}" name="Column11809"/>
    <tableColumn id="11810" xr3:uid="{EC24FC00-9C1F-4321-97BA-AF862CAC6023}" name="Column11810"/>
    <tableColumn id="11811" xr3:uid="{F64E31D2-6303-4FA2-A1FA-29EED44829BB}" name="Column11811"/>
    <tableColumn id="11812" xr3:uid="{B63275BE-34D7-49F7-97CF-C569A457A5E4}" name="Column11812"/>
    <tableColumn id="11813" xr3:uid="{A87644B7-7EB9-46A7-AB78-E94C57512EC9}" name="Column11813"/>
    <tableColumn id="11814" xr3:uid="{A28BC3C9-FA57-4479-9EBF-F22FCBE19ACB}" name="Column11814"/>
    <tableColumn id="11815" xr3:uid="{15DE43B4-CF49-48E3-A108-A2C0A0EC620E}" name="Column11815"/>
    <tableColumn id="11816" xr3:uid="{EB8ACB98-3134-4F7A-939E-DE93EB736971}" name="Column11816"/>
    <tableColumn id="11817" xr3:uid="{14AB8E4B-C478-4B5A-B1EA-96C0811CE884}" name="Column11817"/>
    <tableColumn id="11818" xr3:uid="{C07D65E3-01AF-4B2C-94AB-D36E7797EF89}" name="Column11818"/>
    <tableColumn id="11819" xr3:uid="{7D5C3045-4C33-47CB-BF02-EFF7CCD77037}" name="Column11819"/>
    <tableColumn id="11820" xr3:uid="{641320C9-3EC0-4670-BF47-68B5414DD8D5}" name="Column11820"/>
    <tableColumn id="11821" xr3:uid="{F341CC50-CD0E-49CB-9BA1-8F8A24872301}" name="Column11821"/>
    <tableColumn id="11822" xr3:uid="{06C4545F-4C52-4C63-9C54-79D53B77DE3D}" name="Column11822"/>
    <tableColumn id="11823" xr3:uid="{058805F6-BB18-477E-BCE2-BA7EF7E5453D}" name="Column11823"/>
    <tableColumn id="11824" xr3:uid="{775B3841-942F-440D-9014-3F4C282688B2}" name="Column11824"/>
    <tableColumn id="11825" xr3:uid="{33038169-C094-4EF7-9D43-8EFD05189CDD}" name="Column11825"/>
    <tableColumn id="11826" xr3:uid="{8D3EC30E-40DD-4A03-96AD-D86A147A7E2F}" name="Column11826"/>
    <tableColumn id="11827" xr3:uid="{696D96A7-CA31-4645-B690-BA7D546EA506}" name="Column11827"/>
    <tableColumn id="11828" xr3:uid="{6A116B2D-733D-493C-9C41-3534D3B7D50C}" name="Column11828"/>
    <tableColumn id="11829" xr3:uid="{76CD3DF5-B15C-44EF-A90A-52E37822DAD0}" name="Column11829"/>
    <tableColumn id="11830" xr3:uid="{1FE8C9DB-10E4-445F-8529-93703D88EA64}" name="Column11830"/>
    <tableColumn id="11831" xr3:uid="{8503FFC4-CCC9-4B96-BAB1-65653645D7AA}" name="Column11831"/>
    <tableColumn id="11832" xr3:uid="{299448F9-3BA8-405A-A77B-464FDCF12C9A}" name="Column11832"/>
    <tableColumn id="11833" xr3:uid="{CAEAD7EC-73B0-45C4-A927-E3F61EDE12AE}" name="Column11833"/>
    <tableColumn id="11834" xr3:uid="{94696811-0C21-48DB-B47C-A811A8BA4DED}" name="Column11834"/>
    <tableColumn id="11835" xr3:uid="{F90CBF77-0B51-420A-8208-F702900F4318}" name="Column11835"/>
    <tableColumn id="11836" xr3:uid="{0538B3A9-6145-4191-9B63-86945B4770B7}" name="Column11836"/>
    <tableColumn id="11837" xr3:uid="{DD5E1B15-9C23-44C5-8612-A7BB04301A92}" name="Column11837"/>
    <tableColumn id="11838" xr3:uid="{CED55AC5-8875-4EA5-BABA-E8792689B39F}" name="Column11838"/>
    <tableColumn id="11839" xr3:uid="{9E17957F-86BA-421A-A464-DD2C9F207539}" name="Column11839"/>
    <tableColumn id="11840" xr3:uid="{D4967200-7BE9-4F51-B975-4D66E085E77C}" name="Column11840"/>
    <tableColumn id="11841" xr3:uid="{25E6236D-70C9-4AE6-965B-59EC0049CC26}" name="Column11841"/>
    <tableColumn id="11842" xr3:uid="{BFB7605C-95E9-41BE-808E-42D95B34D579}" name="Column11842"/>
    <tableColumn id="11843" xr3:uid="{A7AA8412-12F8-4146-9076-6FFBAF658128}" name="Column11843"/>
    <tableColumn id="11844" xr3:uid="{F24DCE60-BAE4-4735-ABEC-49D613FA33DA}" name="Column11844"/>
    <tableColumn id="11845" xr3:uid="{F45B5844-E519-4D3A-8AAB-0B52EBC51BF0}" name="Column11845"/>
    <tableColumn id="11846" xr3:uid="{E33FBC41-F1F1-4C31-9B27-6DFC928D5B0C}" name="Column11846"/>
    <tableColumn id="11847" xr3:uid="{B019F748-EE15-43E5-904F-B14F0DC1A208}" name="Column11847"/>
    <tableColumn id="11848" xr3:uid="{9E2E01C9-C4D2-41B4-A307-E0CBD542C1DE}" name="Column11848"/>
    <tableColumn id="11849" xr3:uid="{2DDBB47F-DF86-4EBB-97A8-390DC3696256}" name="Column11849"/>
    <tableColumn id="11850" xr3:uid="{B1DF741F-32AF-4180-9107-689C159A4E21}" name="Column11850"/>
    <tableColumn id="11851" xr3:uid="{63078782-00CD-4AA3-81BD-E288FC8682D5}" name="Column11851"/>
    <tableColumn id="11852" xr3:uid="{92BC1F14-6B6B-4104-B575-7AA0A761880C}" name="Column11852"/>
    <tableColumn id="11853" xr3:uid="{92397270-2F92-4450-92D7-C090B3EB3C6B}" name="Column11853"/>
    <tableColumn id="11854" xr3:uid="{04E1D5D6-3835-492A-9D4B-9E7C3B538C37}" name="Column11854"/>
    <tableColumn id="11855" xr3:uid="{52D657F9-0C3A-4B22-BAD1-B256BF05D7DA}" name="Column11855"/>
    <tableColumn id="11856" xr3:uid="{F122EB97-DF6A-40ED-984E-362CB0EA7DED}" name="Column11856"/>
    <tableColumn id="11857" xr3:uid="{2D6AE2DA-3F4E-4F07-8F3F-7BBC1FF6B9FC}" name="Column11857"/>
    <tableColumn id="11858" xr3:uid="{F382C4E8-56D0-42A2-898B-9B7423D3CD33}" name="Column11858"/>
    <tableColumn id="11859" xr3:uid="{9E6C9EC5-D674-4F05-B192-5DFE2FA0A092}" name="Column11859"/>
    <tableColumn id="11860" xr3:uid="{E044013F-0999-4E20-90B8-44DB84F1F7F9}" name="Column11860"/>
    <tableColumn id="11861" xr3:uid="{C6A2C799-FA03-4202-98C1-FD26E9BD4BB1}" name="Column11861"/>
    <tableColumn id="11862" xr3:uid="{B462C042-FEB7-49C7-84B1-6AE255BB90BD}" name="Column11862"/>
    <tableColumn id="11863" xr3:uid="{5DC85CC9-CD71-4C8D-B8A4-E98EBB01C0F7}" name="Column11863"/>
    <tableColumn id="11864" xr3:uid="{1A209D75-0A74-457B-9E52-451325FED143}" name="Column11864"/>
    <tableColumn id="11865" xr3:uid="{198B1136-2438-433B-8DF4-7A0FA4B355CF}" name="Column11865"/>
    <tableColumn id="11866" xr3:uid="{15B9E36E-34DB-4BCB-80C1-F4BDF2CA5F02}" name="Column11866"/>
    <tableColumn id="11867" xr3:uid="{370D186B-3D15-448F-BDE8-81EF9508D2F6}" name="Column11867"/>
    <tableColumn id="11868" xr3:uid="{D9C8C09D-8951-477C-A346-C3B3B86AF029}" name="Column11868"/>
    <tableColumn id="11869" xr3:uid="{A7D96CB6-F46B-4958-B3B5-039DD80C566D}" name="Column11869"/>
    <tableColumn id="11870" xr3:uid="{C38FD504-45FA-46D5-B4DA-16BA84D6F6C2}" name="Column11870"/>
    <tableColumn id="11871" xr3:uid="{2085F715-D1C0-4EFE-8DCE-075F9F42BEB1}" name="Column11871"/>
    <tableColumn id="11872" xr3:uid="{62A4FA0B-5CB3-49B5-8BC9-066986AFB6E9}" name="Column11872"/>
    <tableColumn id="11873" xr3:uid="{E5904510-AE98-4FF9-A6FF-E05BA29C7B6F}" name="Column11873"/>
    <tableColumn id="11874" xr3:uid="{FC86A63F-5AA4-4002-9D92-5DB985A4D195}" name="Column11874"/>
    <tableColumn id="11875" xr3:uid="{22D81EDF-2AA0-423D-AB75-1A01882B47F5}" name="Column11875"/>
    <tableColumn id="11876" xr3:uid="{A015DF4F-7802-466D-956B-E4EBE48986B1}" name="Column11876"/>
    <tableColumn id="11877" xr3:uid="{3E9CF21B-2F47-4475-BE6E-A0DD0EEDC203}" name="Column11877"/>
    <tableColumn id="11878" xr3:uid="{4652F645-0D26-4B3C-A016-A4420A15CB5E}" name="Column11878"/>
    <tableColumn id="11879" xr3:uid="{DD281B5B-09EA-4AC6-BFDD-9686A1CB5200}" name="Column11879"/>
    <tableColumn id="11880" xr3:uid="{FBBD16EE-DAEA-4237-9EDB-8CB1B8B1DCA0}" name="Column11880"/>
    <tableColumn id="11881" xr3:uid="{A83ED4F5-AC60-473D-A429-2FC1798EE568}" name="Column11881"/>
    <tableColumn id="11882" xr3:uid="{3D19F257-E633-47AD-AFDC-B34678BED16C}" name="Column11882"/>
    <tableColumn id="11883" xr3:uid="{4FCC573D-9FE6-4030-AF0C-71A8C3EA15E8}" name="Column11883"/>
    <tableColumn id="11884" xr3:uid="{846202FA-7ECB-4E4E-B17B-7F32C6EEEB48}" name="Column11884"/>
    <tableColumn id="11885" xr3:uid="{44019D0D-856D-4664-B085-9AD1AF03B514}" name="Column11885"/>
    <tableColumn id="11886" xr3:uid="{5783E095-F45A-406B-B901-CFAE7D3125D4}" name="Column11886"/>
    <tableColumn id="11887" xr3:uid="{2E38AEEE-2A7D-48E0-814B-8B0E9D97C8A1}" name="Column11887"/>
    <tableColumn id="11888" xr3:uid="{5F263871-B9C6-4F5C-9E89-3E2B1FE7764C}" name="Column11888"/>
    <tableColumn id="11889" xr3:uid="{9CD96D0A-CDDF-4725-A0C9-E91154804890}" name="Column11889"/>
    <tableColumn id="11890" xr3:uid="{61235236-507D-4878-92EB-6A5D3D354F7D}" name="Column11890"/>
    <tableColumn id="11891" xr3:uid="{313ECF60-F92E-4A49-9051-238CAE028952}" name="Column11891"/>
    <tableColumn id="11892" xr3:uid="{51B2D015-4612-4EF0-B69D-D800673AE3DA}" name="Column11892"/>
    <tableColumn id="11893" xr3:uid="{C42E1EAE-C8B1-49CE-A605-406871FC21A6}" name="Column11893"/>
    <tableColumn id="11894" xr3:uid="{ADBC1513-39F1-4421-A23B-B2E665347618}" name="Column11894"/>
    <tableColumn id="11895" xr3:uid="{7606D3C2-0BC3-402E-B2BD-2E2D4A327591}" name="Column11895"/>
    <tableColumn id="11896" xr3:uid="{8C6C63E6-C2F8-4AEB-81B3-74D050B0F657}" name="Column11896"/>
    <tableColumn id="11897" xr3:uid="{080A6B00-F5C7-41DD-A563-DB0D0419AFB3}" name="Column11897"/>
    <tableColumn id="11898" xr3:uid="{59EBC547-7293-4749-A419-948CB730DC06}" name="Column11898"/>
    <tableColumn id="11899" xr3:uid="{E829E6D0-FCCD-41F3-AEEC-9936D033A4CA}" name="Column11899"/>
    <tableColumn id="11900" xr3:uid="{C6FDE9F5-7214-421E-9692-CA1D0CC60A30}" name="Column11900"/>
    <tableColumn id="11901" xr3:uid="{DDAB2B2A-5676-48C4-A4D6-9ADCE7584549}" name="Column11901"/>
    <tableColumn id="11902" xr3:uid="{8DAB326A-C9DE-4196-A358-91C3A07B27DB}" name="Column11902"/>
    <tableColumn id="11903" xr3:uid="{F758D440-99BD-4BB2-ACD5-EA1DA5EB89D9}" name="Column11903"/>
    <tableColumn id="11904" xr3:uid="{1D00F868-8335-4ACD-9046-AC20B3C8C0AD}" name="Column11904"/>
    <tableColumn id="11905" xr3:uid="{1FF8EDFC-3BB3-4BD9-AEE3-56FB9F13E7F1}" name="Column11905"/>
    <tableColumn id="11906" xr3:uid="{D1BB6BAD-AB14-4D2A-9F72-AEAC50F89A7F}" name="Column11906"/>
    <tableColumn id="11907" xr3:uid="{597910F2-9DBB-46CF-B69F-509BE41864CB}" name="Column11907"/>
    <tableColumn id="11908" xr3:uid="{8172A133-A28B-42E0-AC70-929A9D2D7803}" name="Column11908"/>
    <tableColumn id="11909" xr3:uid="{EE3545A9-1E32-42CB-91D4-F81BB1979AB2}" name="Column11909"/>
    <tableColumn id="11910" xr3:uid="{4D71E43F-F079-49AF-AE6A-DA1B3CCC73E2}" name="Column11910"/>
    <tableColumn id="11911" xr3:uid="{37B21D85-B9B8-41F3-841D-1318CE0D673F}" name="Column11911"/>
    <tableColumn id="11912" xr3:uid="{B7D9C0E3-B9F7-419C-B5A4-7B3C4C53AE4C}" name="Column11912"/>
    <tableColumn id="11913" xr3:uid="{744A32CE-C3EE-4DF1-90A4-F7CE3253DB81}" name="Column11913"/>
    <tableColumn id="11914" xr3:uid="{82826D8C-AE77-4D2A-B33B-F901B7074312}" name="Column11914"/>
    <tableColumn id="11915" xr3:uid="{8C78E6DD-ECFB-408B-9A73-FAC31757E9AB}" name="Column11915"/>
    <tableColumn id="11916" xr3:uid="{27DD045F-0BB9-44C0-8F2A-0DC17A94E0EE}" name="Column11916"/>
    <tableColumn id="11917" xr3:uid="{0AF578C5-2645-4EC6-9731-F6F5488D76DC}" name="Column11917"/>
    <tableColumn id="11918" xr3:uid="{2A7969B6-EF6E-49F1-906A-DA41F6147DB6}" name="Column11918"/>
    <tableColumn id="11919" xr3:uid="{C7401067-EC1D-4AD4-840E-CD05BD4F2148}" name="Column11919"/>
    <tableColumn id="11920" xr3:uid="{A43929C9-4862-454F-AB56-3E21504C8F19}" name="Column11920"/>
    <tableColumn id="11921" xr3:uid="{C83D80F2-E9C3-4765-875E-2C0CC143ACCF}" name="Column11921"/>
    <tableColumn id="11922" xr3:uid="{169A53F1-F600-4830-A67C-F0C5B4AF9A5A}" name="Column11922"/>
    <tableColumn id="11923" xr3:uid="{C79975E8-FDF2-4A05-AC0C-786999ED17F2}" name="Column11923"/>
    <tableColumn id="11924" xr3:uid="{C2F38C03-F2F3-45CE-91A0-919AD2B6694C}" name="Column11924"/>
    <tableColumn id="11925" xr3:uid="{B126D231-C35E-4CCA-AB62-C93CE5C4A330}" name="Column11925"/>
    <tableColumn id="11926" xr3:uid="{A1A01413-1021-47F1-9B79-083ED5B034C7}" name="Column11926"/>
    <tableColumn id="11927" xr3:uid="{813B696B-696E-4542-84B0-4E7416488C0C}" name="Column11927"/>
    <tableColumn id="11928" xr3:uid="{5443A35B-4B02-446A-AD75-5A22EDDEBE9E}" name="Column11928"/>
    <tableColumn id="11929" xr3:uid="{7275C4BE-EAF7-4718-9134-A81DF9D371F1}" name="Column11929"/>
    <tableColumn id="11930" xr3:uid="{8E96836A-0393-4471-BA43-03877B3B3539}" name="Column11930"/>
    <tableColumn id="11931" xr3:uid="{2F9707FC-602C-4550-8431-7DB36EFD6164}" name="Column11931"/>
    <tableColumn id="11932" xr3:uid="{AB9A5A8F-91D0-4216-9B78-D92DCE42ECAE}" name="Column11932"/>
    <tableColumn id="11933" xr3:uid="{8443261D-C418-4F0E-A733-89D589F29077}" name="Column11933"/>
    <tableColumn id="11934" xr3:uid="{20DC8869-C677-4DB9-BE3B-FC4665247B1E}" name="Column11934"/>
    <tableColumn id="11935" xr3:uid="{7EB233C0-E6EF-487D-AEE3-42991C34FB6E}" name="Column11935"/>
    <tableColumn id="11936" xr3:uid="{D129F522-644C-482A-9313-5739A40A2BD4}" name="Column11936"/>
    <tableColumn id="11937" xr3:uid="{5DA5EBC3-B832-478B-A713-4FCC1A62189A}" name="Column11937"/>
    <tableColumn id="11938" xr3:uid="{17A87A81-F72A-400D-A8CA-9B3F3F95AAAF}" name="Column11938"/>
    <tableColumn id="11939" xr3:uid="{7BD59B80-2DB9-4022-9C30-36610F39AA48}" name="Column11939"/>
    <tableColumn id="11940" xr3:uid="{E7480171-E601-4C1E-8B85-269DDC638656}" name="Column11940"/>
    <tableColumn id="11941" xr3:uid="{BC145103-AE8E-4215-85B6-B83CFBDE1F28}" name="Column11941"/>
    <tableColumn id="11942" xr3:uid="{CA220A18-8C33-4F48-8F89-70882F69FABC}" name="Column11942"/>
    <tableColumn id="11943" xr3:uid="{B358BEDF-05FE-46E1-B84F-5A810223F2D2}" name="Column11943"/>
    <tableColumn id="11944" xr3:uid="{90070D8B-877A-478C-AB28-0400EC8B0D46}" name="Column11944"/>
    <tableColumn id="11945" xr3:uid="{F5D60176-B3F9-4E00-8141-C23A39877238}" name="Column11945"/>
    <tableColumn id="11946" xr3:uid="{00AE02A8-C77E-4227-B605-A7CCE13CF6EA}" name="Column11946"/>
    <tableColumn id="11947" xr3:uid="{3B82C65C-AC92-4952-B879-E7BF0320DC64}" name="Column11947"/>
    <tableColumn id="11948" xr3:uid="{1DFCEB27-B3EE-4763-92B5-48C302D8D8FC}" name="Column11948"/>
    <tableColumn id="11949" xr3:uid="{B8976CA6-1351-4F8E-A4EA-A9FFA678DC2B}" name="Column11949"/>
    <tableColumn id="11950" xr3:uid="{61D5C8BD-CD1B-479C-A325-A1B1AD2163A4}" name="Column11950"/>
    <tableColumn id="11951" xr3:uid="{FD609032-89F9-48E5-B409-6FC8146C0CE4}" name="Column11951"/>
    <tableColumn id="11952" xr3:uid="{7FBFB95F-890E-4E1A-A710-F871552016E4}" name="Column11952"/>
    <tableColumn id="11953" xr3:uid="{87073A07-C264-47C0-B101-FADC6BEE390E}" name="Column11953"/>
    <tableColumn id="11954" xr3:uid="{55B25BDB-983F-4187-9915-F87271FF8EC7}" name="Column11954"/>
    <tableColumn id="11955" xr3:uid="{B07ED07F-F15D-4D48-AE3B-605A0FBE41B6}" name="Column11955"/>
    <tableColumn id="11956" xr3:uid="{55097041-DDE2-4289-8426-49147972E224}" name="Column11956"/>
    <tableColumn id="11957" xr3:uid="{2DB3FFB3-7D74-40C1-B603-78C22A61FC16}" name="Column11957"/>
    <tableColumn id="11958" xr3:uid="{736F446F-A27E-424A-8E17-A44CF85CDD1D}" name="Column11958"/>
    <tableColumn id="11959" xr3:uid="{F40955BF-E29A-4766-A5BB-B312FFC24075}" name="Column11959"/>
    <tableColumn id="11960" xr3:uid="{A27D908F-1B68-4783-BD5F-8C4E43E444E7}" name="Column11960"/>
    <tableColumn id="11961" xr3:uid="{2B618F91-7C6F-4D11-B3CE-544BA3D727A7}" name="Column11961"/>
    <tableColumn id="11962" xr3:uid="{D38B1BF0-FDD0-4F71-88FD-922E407DAB33}" name="Column11962"/>
    <tableColumn id="11963" xr3:uid="{4B87D07B-79E7-464F-A83F-5A6A274C0E5C}" name="Column11963"/>
    <tableColumn id="11964" xr3:uid="{BE06F976-2928-435D-908D-5F6F79CD5A83}" name="Column11964"/>
    <tableColumn id="11965" xr3:uid="{67502F08-6FD0-49D6-AF71-0B6BA51A91D1}" name="Column11965"/>
    <tableColumn id="11966" xr3:uid="{37C7AA1B-C169-4ED5-A77F-B1F18FC8CC8D}" name="Column11966"/>
    <tableColumn id="11967" xr3:uid="{7C550749-60A5-41DF-BC0C-294E49E06E92}" name="Column11967"/>
    <tableColumn id="11968" xr3:uid="{7B38B038-6489-4ABB-B784-E31ACA303D99}" name="Column11968"/>
    <tableColumn id="11969" xr3:uid="{9880FC1E-CB5A-43E7-B2AE-363CB6B1D9F9}" name="Column11969"/>
    <tableColumn id="11970" xr3:uid="{784CC067-C4C3-4D83-9B59-327BB8FD1199}" name="Column11970"/>
    <tableColumn id="11971" xr3:uid="{F417C049-D63F-4417-A62D-0097F6068D0F}" name="Column11971"/>
    <tableColumn id="11972" xr3:uid="{97913124-2B31-4134-8BAB-7A5146F54D97}" name="Column11972"/>
    <tableColumn id="11973" xr3:uid="{51A79A44-CD70-4E58-BDA0-03E86C79A2E6}" name="Column11973"/>
    <tableColumn id="11974" xr3:uid="{FD0E28F7-392C-416E-8909-21C09B9D953F}" name="Column11974"/>
    <tableColumn id="11975" xr3:uid="{03277FA0-2FF9-4402-BED1-B042DFF13DFA}" name="Column11975"/>
    <tableColumn id="11976" xr3:uid="{A3024602-F289-424C-920D-6915A0B011B6}" name="Column11976"/>
    <tableColumn id="11977" xr3:uid="{4DCC9918-6FAA-4745-A83F-B6F58B14E2EC}" name="Column11977"/>
    <tableColumn id="11978" xr3:uid="{D3AEBEC7-4E80-488C-9FC2-C19CABCDF25B}" name="Column11978"/>
    <tableColumn id="11979" xr3:uid="{4516B76B-E8D2-40D2-AF3F-B4C078F91EE8}" name="Column11979"/>
    <tableColumn id="11980" xr3:uid="{AC3680B8-48EF-4386-8687-38A8510CD1FF}" name="Column11980"/>
    <tableColumn id="11981" xr3:uid="{916E5EDE-0D32-4F40-A79D-4AA7CA1335C9}" name="Column11981"/>
    <tableColumn id="11982" xr3:uid="{10C5C291-31C3-413A-95AE-95396FE925C3}" name="Column11982"/>
    <tableColumn id="11983" xr3:uid="{AEA023E5-FFD6-4767-A20A-BA4EFF5AC098}" name="Column11983"/>
    <tableColumn id="11984" xr3:uid="{97457628-1D3C-4968-A13E-107F952EA5BC}" name="Column11984"/>
    <tableColumn id="11985" xr3:uid="{08EED993-AA2B-4F9E-9FDC-319CBFD8B50C}" name="Column11985"/>
    <tableColumn id="11986" xr3:uid="{0D6D8C63-787E-4798-911B-47365535E108}" name="Column11986"/>
    <tableColumn id="11987" xr3:uid="{2689A805-6142-4008-9129-C5E8FBEF4490}" name="Column11987"/>
    <tableColumn id="11988" xr3:uid="{8A7DD8C3-9048-4BD3-9711-C8ACB9053B4A}" name="Column11988"/>
    <tableColumn id="11989" xr3:uid="{00889122-9B5F-4976-A6D7-C4542332AD2F}" name="Column11989"/>
    <tableColumn id="11990" xr3:uid="{D450835A-D319-4E7D-A733-1FDACDA8F9B4}" name="Column11990"/>
    <tableColumn id="11991" xr3:uid="{D52FDD15-173A-46F8-9B79-B9F4BFF37C1A}" name="Column11991"/>
    <tableColumn id="11992" xr3:uid="{2D564659-8F7C-401B-86F4-1A3868538D25}" name="Column11992"/>
    <tableColumn id="11993" xr3:uid="{00FE03FA-1256-40A3-B303-DAAFF2A54733}" name="Column11993"/>
    <tableColumn id="11994" xr3:uid="{F75589BE-B8F9-4421-A71F-A12E9D1BF03C}" name="Column11994"/>
    <tableColumn id="11995" xr3:uid="{BE9A7205-7FE0-439A-82A8-530ED8A86A19}" name="Column11995"/>
    <tableColumn id="11996" xr3:uid="{97E6586B-0861-47C5-A39B-91729433D3B3}" name="Column11996"/>
    <tableColumn id="11997" xr3:uid="{847DC1C8-C3FC-46F1-9C92-D51CF773F2A6}" name="Column11997"/>
    <tableColumn id="11998" xr3:uid="{BFD5CDF9-3AE2-415E-9316-B9EE224236EB}" name="Column11998"/>
    <tableColumn id="11999" xr3:uid="{DFA0C594-C052-4AE8-B289-073C7634FAB0}" name="Column11999"/>
    <tableColumn id="12000" xr3:uid="{345E0C78-C1E4-4C1A-9861-7A063397546D}" name="Column12000"/>
    <tableColumn id="12001" xr3:uid="{D90C26B8-5493-43AB-BB49-BFFA080EC931}" name="Column12001"/>
    <tableColumn id="12002" xr3:uid="{641A8962-EBFF-402E-83B0-7851C9740FDA}" name="Column12002"/>
    <tableColumn id="12003" xr3:uid="{672C2CA2-8125-42D0-8BCD-A5CFE1684D61}" name="Column12003"/>
    <tableColumn id="12004" xr3:uid="{875F5AA0-7265-4FC7-A56F-DE3E6A10AE7A}" name="Column12004"/>
    <tableColumn id="12005" xr3:uid="{F4C7F45D-AFEE-4774-81D0-1894FE2A6CE1}" name="Column12005"/>
    <tableColumn id="12006" xr3:uid="{72F52DEF-B2D5-4788-83A3-C4FAAC31264D}" name="Column12006"/>
    <tableColumn id="12007" xr3:uid="{60D9CF24-5E7A-44B1-9955-63480EDD3B2C}" name="Column12007"/>
    <tableColumn id="12008" xr3:uid="{61F5E61C-FF12-4650-999F-245F1C36CC2F}" name="Column12008"/>
    <tableColumn id="12009" xr3:uid="{D0EBFF93-89BA-440F-8E00-023C4650453F}" name="Column12009"/>
    <tableColumn id="12010" xr3:uid="{1BDB5797-D523-4DFB-978E-C5C1D32056A8}" name="Column12010"/>
    <tableColumn id="12011" xr3:uid="{5D00697A-43CD-4546-BC9C-50824DF7AC6B}" name="Column12011"/>
    <tableColumn id="12012" xr3:uid="{1D3015EA-B8FA-4EDC-AA35-81DA9CEFA39F}" name="Column12012"/>
    <tableColumn id="12013" xr3:uid="{0327FEEF-B40A-4B46-B16C-9583BFDE191C}" name="Column12013"/>
    <tableColumn id="12014" xr3:uid="{3C9F45A3-94EC-4722-814A-66F3FB1A5EA1}" name="Column12014"/>
    <tableColumn id="12015" xr3:uid="{F444B609-0C16-41E4-91B6-00DD7C150DB8}" name="Column12015"/>
    <tableColumn id="12016" xr3:uid="{B3CAF867-50CA-4B8D-A67A-8900A45B8584}" name="Column12016"/>
    <tableColumn id="12017" xr3:uid="{640376B3-6738-4507-BD0F-6B7163A5D3C7}" name="Column12017"/>
    <tableColumn id="12018" xr3:uid="{67329CDC-6595-4B0D-8388-308D42733E1F}" name="Column12018"/>
    <tableColumn id="12019" xr3:uid="{EA9367F9-AAE9-464C-A813-227C9766A3FA}" name="Column12019"/>
    <tableColumn id="12020" xr3:uid="{315E00A2-217E-45C8-A08F-A0BC6A0AB412}" name="Column12020"/>
    <tableColumn id="12021" xr3:uid="{96B9BA2E-AC8C-4B4B-9065-7DF523CFD7C3}" name="Column12021"/>
    <tableColumn id="12022" xr3:uid="{48EB1D5A-5CC8-4B9E-BD5E-1FB6B0A83D16}" name="Column12022"/>
    <tableColumn id="12023" xr3:uid="{8559B943-0F40-41F1-A408-C5FD090D7BE7}" name="Column12023"/>
    <tableColumn id="12024" xr3:uid="{BCA26838-2763-49AE-BF50-B4B3565B70A3}" name="Column12024"/>
    <tableColumn id="12025" xr3:uid="{E8D190C6-CF5C-49E6-96C3-A986B8E120FA}" name="Column12025"/>
    <tableColumn id="12026" xr3:uid="{604BD6B4-928A-43F2-8E15-65D50A28B6F4}" name="Column12026"/>
    <tableColumn id="12027" xr3:uid="{1FE15336-DC9E-4671-BDD9-DD6882333E53}" name="Column12027"/>
    <tableColumn id="12028" xr3:uid="{C596B79B-64EA-42F4-B54B-114BC10D2C12}" name="Column12028"/>
    <tableColumn id="12029" xr3:uid="{6030D2DF-01E6-4795-BAFE-86078319A8F7}" name="Column12029"/>
    <tableColumn id="12030" xr3:uid="{DC4CDF31-5B61-4AE2-B7C2-12D0F167054C}" name="Column12030"/>
    <tableColumn id="12031" xr3:uid="{2EA45B5F-FA98-4558-8896-A04F29B0AE85}" name="Column12031"/>
    <tableColumn id="12032" xr3:uid="{513212B0-1CEF-4AAD-A693-F428CFA5052F}" name="Column12032"/>
    <tableColumn id="12033" xr3:uid="{65D401E7-1380-4005-BE6F-B8A402CA11A3}" name="Column12033"/>
    <tableColumn id="12034" xr3:uid="{5EE3D539-3FF7-453C-99D2-8FD86E1A4B84}" name="Column12034"/>
    <tableColumn id="12035" xr3:uid="{A1479E8D-6F07-4AE6-9EBC-EEFBD32DA66E}" name="Column12035"/>
    <tableColumn id="12036" xr3:uid="{4F8B92BC-0F97-46B8-80A6-5079A8EE02E1}" name="Column12036"/>
    <tableColumn id="12037" xr3:uid="{F6732E3E-AE0F-450F-8A87-CC0CE8B8225C}" name="Column12037"/>
    <tableColumn id="12038" xr3:uid="{4BFEF20B-47AA-44F1-8FAE-D22779BF8489}" name="Column12038"/>
    <tableColumn id="12039" xr3:uid="{693B2F16-BB42-4F7F-AF4E-272863F845CF}" name="Column12039"/>
    <tableColumn id="12040" xr3:uid="{6B7F426D-5616-4267-A23E-61353E1FF6DE}" name="Column12040"/>
    <tableColumn id="12041" xr3:uid="{102243B5-150D-44AD-A510-2950207649E4}" name="Column12041"/>
    <tableColumn id="12042" xr3:uid="{863D62F9-5CA7-46B1-99A1-52F4E815AAAF}" name="Column12042"/>
    <tableColumn id="12043" xr3:uid="{EC223186-F7AD-4D38-8136-7A7FC4CF1D2E}" name="Column12043"/>
    <tableColumn id="12044" xr3:uid="{7BFA8F3B-86CD-45E9-8260-EACD5AA07A33}" name="Column12044"/>
    <tableColumn id="12045" xr3:uid="{C2257D55-B087-4B14-B66E-693DC2D3F720}" name="Column12045"/>
    <tableColumn id="12046" xr3:uid="{B2C65C65-0407-4B83-B724-7179BB546DFF}" name="Column12046"/>
    <tableColumn id="12047" xr3:uid="{23C2A231-83B5-4B6C-B2A2-32325B7FE3B2}" name="Column12047"/>
    <tableColumn id="12048" xr3:uid="{E0E40C77-9532-4FC1-A69F-61D2EB34B4CB}" name="Column12048"/>
    <tableColumn id="12049" xr3:uid="{6B410EFF-433D-4478-9218-88A4FBE2087D}" name="Column12049"/>
    <tableColumn id="12050" xr3:uid="{41CA1185-E08A-4866-B9A9-90CE01451199}" name="Column12050"/>
    <tableColumn id="12051" xr3:uid="{E8BDE18C-4EE4-4E67-AEF8-81375668F70E}" name="Column12051"/>
    <tableColumn id="12052" xr3:uid="{C1DC1440-AF11-4215-9180-62BD4D0BD710}" name="Column12052"/>
    <tableColumn id="12053" xr3:uid="{8911B4FD-912C-4AF3-A3AB-1E1CA5B003F8}" name="Column12053"/>
    <tableColumn id="12054" xr3:uid="{9B553750-1B6C-4EFC-966D-D27806091CBD}" name="Column12054"/>
    <tableColumn id="12055" xr3:uid="{747B00C2-8EE8-4797-9EB3-42B48067F4B1}" name="Column12055"/>
    <tableColumn id="12056" xr3:uid="{31AED5C3-5A2B-4765-AFE2-0EEC73A51FA4}" name="Column12056"/>
    <tableColumn id="12057" xr3:uid="{5C9D2C02-71FC-4A3E-BD69-00B2E732715E}" name="Column12057"/>
    <tableColumn id="12058" xr3:uid="{91CCEAA6-295D-4C4B-8E8F-C70A2EC8F05E}" name="Column12058"/>
    <tableColumn id="12059" xr3:uid="{69CD52F3-5092-4E7F-AA6D-21A717E2A0A5}" name="Column12059"/>
    <tableColumn id="12060" xr3:uid="{7B12F99A-F98F-4A76-B05F-13A7A8E4A6DF}" name="Column12060"/>
    <tableColumn id="12061" xr3:uid="{951D5C15-0D11-4152-8A16-86B177A9C4C1}" name="Column12061"/>
    <tableColumn id="12062" xr3:uid="{BAA199D9-F2B0-4F4E-AB4A-EE214F643165}" name="Column12062"/>
    <tableColumn id="12063" xr3:uid="{4C326665-DA24-4DE3-BD30-330F1E027395}" name="Column12063"/>
    <tableColumn id="12064" xr3:uid="{027B208E-78B5-4BCA-8DBF-F9DCD4D98278}" name="Column12064"/>
    <tableColumn id="12065" xr3:uid="{F0271D24-BECC-423C-BD03-85D5C02858D3}" name="Column12065"/>
    <tableColumn id="12066" xr3:uid="{0FA7E4F5-1300-43CC-A029-0DE834F3585A}" name="Column12066"/>
    <tableColumn id="12067" xr3:uid="{B1B74003-A586-46AB-A5B7-BB7CFA1AFC65}" name="Column12067"/>
    <tableColumn id="12068" xr3:uid="{076932D1-43FC-462E-BB06-3762388DDD70}" name="Column12068"/>
    <tableColumn id="12069" xr3:uid="{8AB53486-CBE3-4D7E-A8D4-8DB94487FB1A}" name="Column12069"/>
    <tableColumn id="12070" xr3:uid="{FA09600E-A91D-4B22-9C15-D06D1DED1BFC}" name="Column12070"/>
    <tableColumn id="12071" xr3:uid="{3D96CEEF-2EB2-48A3-83B5-54A394451351}" name="Column12071"/>
    <tableColumn id="12072" xr3:uid="{2885AF64-B0D8-4598-9B7E-036BAADA0BB9}" name="Column12072"/>
    <tableColumn id="12073" xr3:uid="{A982A4BD-9226-4AFB-9147-4710C9407D76}" name="Column12073"/>
    <tableColumn id="12074" xr3:uid="{60176B8A-7ADE-46FB-B211-C143872E80F6}" name="Column12074"/>
    <tableColumn id="12075" xr3:uid="{F0F832B7-E50E-43EA-8A87-B36A6BCAF439}" name="Column12075"/>
    <tableColumn id="12076" xr3:uid="{59B11783-DFE4-4A34-84BB-EBA9BAA55769}" name="Column12076"/>
    <tableColumn id="12077" xr3:uid="{91735A13-5057-41FA-A5D7-4DC05B1002F4}" name="Column12077"/>
    <tableColumn id="12078" xr3:uid="{F0A58B71-A34C-4C54-90B6-287ED665D07A}" name="Column12078"/>
    <tableColumn id="12079" xr3:uid="{E23EE1FE-2B57-48DF-A6BC-FB55EFB235F2}" name="Column12079"/>
    <tableColumn id="12080" xr3:uid="{8EEE7076-6179-4647-A557-8356A4A71923}" name="Column12080"/>
    <tableColumn id="12081" xr3:uid="{AEB61A55-3F41-409E-BFFE-D011BBD1A2B1}" name="Column12081"/>
    <tableColumn id="12082" xr3:uid="{6AE78BD6-AC1C-49B7-B0DF-12970B6C196A}" name="Column12082"/>
    <tableColumn id="12083" xr3:uid="{416B22FA-1231-43A0-97CD-311F799434CF}" name="Column12083"/>
    <tableColumn id="12084" xr3:uid="{14DEBDA7-E19D-4780-BF0C-992840643126}" name="Column12084"/>
    <tableColumn id="12085" xr3:uid="{89EFE043-39A4-4C22-BC6C-9C63251F41E0}" name="Column12085"/>
    <tableColumn id="12086" xr3:uid="{7F7321BF-5E5A-4338-AE69-19C12DE2D9F7}" name="Column12086"/>
    <tableColumn id="12087" xr3:uid="{C9CAF04C-8B63-4534-BFB7-35DE41681729}" name="Column12087"/>
    <tableColumn id="12088" xr3:uid="{441E84B1-A980-4831-B956-0799E34A904C}" name="Column12088"/>
    <tableColumn id="12089" xr3:uid="{434FDA35-6001-429E-850A-92CFD5FCFE69}" name="Column12089"/>
    <tableColumn id="12090" xr3:uid="{0375565E-AFC4-4993-9924-B168DC4B414F}" name="Column12090"/>
    <tableColumn id="12091" xr3:uid="{0ACF91BD-F1E3-46EB-984A-2D7A5D2439B2}" name="Column12091"/>
    <tableColumn id="12092" xr3:uid="{2437E093-10E3-4971-8969-0EA98FBEAC8A}" name="Column12092"/>
    <tableColumn id="12093" xr3:uid="{CFDA0AAF-CA8F-4ECD-8571-2A1A97E0A5E2}" name="Column12093"/>
    <tableColumn id="12094" xr3:uid="{18FA2481-694F-4668-A32B-8D94A7751E27}" name="Column12094"/>
    <tableColumn id="12095" xr3:uid="{BDFEDE90-F1BC-4CD7-AEDE-CE5F90FE111F}" name="Column12095"/>
    <tableColumn id="12096" xr3:uid="{569E914C-11E0-44BD-BA53-07448F75A479}" name="Column12096"/>
    <tableColumn id="12097" xr3:uid="{AFBFD1CE-671D-41AA-9D89-E2E61A1DCC0F}" name="Column12097"/>
    <tableColumn id="12098" xr3:uid="{BDF2D19E-5AB8-49B6-8D6A-CA26CF2E7174}" name="Column12098"/>
    <tableColumn id="12099" xr3:uid="{9D486808-C8D7-4B78-A07B-DDEFF5C3F09C}" name="Column12099"/>
    <tableColumn id="12100" xr3:uid="{B6AB8381-AD62-4938-8FAB-26942301D2FC}" name="Column12100"/>
    <tableColumn id="12101" xr3:uid="{B7A248AF-6BB1-4B89-AEDA-7879BA202AF0}" name="Column12101"/>
    <tableColumn id="12102" xr3:uid="{98634D49-9EC0-453B-954A-A79F51169418}" name="Column12102"/>
    <tableColumn id="12103" xr3:uid="{91EC1C77-013F-460D-AE50-B15133AA9B2A}" name="Column12103"/>
    <tableColumn id="12104" xr3:uid="{6A2827A6-BEC1-4305-878F-24FF001E447D}" name="Column12104"/>
    <tableColumn id="12105" xr3:uid="{FA74D9CA-BE53-41CF-988E-7410FF2A5304}" name="Column12105"/>
    <tableColumn id="12106" xr3:uid="{63DB15C7-C20D-448B-959D-8B038C0B0BE6}" name="Column12106"/>
    <tableColumn id="12107" xr3:uid="{1E74E992-1FA5-403E-809C-A36921A7A824}" name="Column12107"/>
    <tableColumn id="12108" xr3:uid="{E6CDF181-985C-491A-9F2F-65F671F86FEE}" name="Column12108"/>
    <tableColumn id="12109" xr3:uid="{A966C3CB-3F3E-4D7B-AB5B-8952231180D2}" name="Column12109"/>
    <tableColumn id="12110" xr3:uid="{DAE1B5A4-4DF3-43E9-9200-F3CDF81B2FC1}" name="Column12110"/>
    <tableColumn id="12111" xr3:uid="{D6A4ECAC-1BFB-46FB-8B1F-786176DCAE32}" name="Column12111"/>
    <tableColumn id="12112" xr3:uid="{64C23CFF-D64C-42C5-8799-BC546CA7100F}" name="Column12112"/>
    <tableColumn id="12113" xr3:uid="{995D3640-FA50-409D-AC81-3C9A5A864D8B}" name="Column12113"/>
    <tableColumn id="12114" xr3:uid="{4E6F0DC4-B739-4340-9CC0-623FB4A73A4D}" name="Column12114"/>
    <tableColumn id="12115" xr3:uid="{AFA2C8DF-05B1-4241-B8CA-1EFD01317C6D}" name="Column12115"/>
    <tableColumn id="12116" xr3:uid="{D29D7FAA-7744-4486-8BAB-AD38372F75EF}" name="Column12116"/>
    <tableColumn id="12117" xr3:uid="{BE44FAF1-96F3-4A69-8CC0-CECFBF5A9357}" name="Column12117"/>
    <tableColumn id="12118" xr3:uid="{CA7BFD3D-8671-4593-9FAF-9964F3966ABA}" name="Column12118"/>
    <tableColumn id="12119" xr3:uid="{4CCEDBD4-3F90-4DFB-A243-1ACCA76FB948}" name="Column12119"/>
    <tableColumn id="12120" xr3:uid="{5967BEF6-2D2A-403D-9D8C-3C746AA1C805}" name="Column12120"/>
    <tableColumn id="12121" xr3:uid="{AE6DD0AB-60BC-44B0-8110-DE78C3D5A5CD}" name="Column12121"/>
    <tableColumn id="12122" xr3:uid="{B27DC17D-2F81-488D-9A73-A7A08A692986}" name="Column12122"/>
    <tableColumn id="12123" xr3:uid="{CFA271C5-7431-447E-912F-F7C393F4E62A}" name="Column12123"/>
    <tableColumn id="12124" xr3:uid="{1ABC99FF-C2E4-450D-8976-06A324C056EF}" name="Column12124"/>
    <tableColumn id="12125" xr3:uid="{21A51660-E8BC-4747-A87C-417CB4FE4426}" name="Column12125"/>
    <tableColumn id="12126" xr3:uid="{4D94A346-2A87-4582-AF28-DA2550243A64}" name="Column12126"/>
    <tableColumn id="12127" xr3:uid="{07EB1A4D-D8FE-4A95-B48A-21C5C7EBDDDC}" name="Column12127"/>
    <tableColumn id="12128" xr3:uid="{3404CD6B-5D53-41A7-A51D-0C25F89A4045}" name="Column12128"/>
    <tableColumn id="12129" xr3:uid="{F33D173B-0879-4BCA-A3DF-1D452C8BA15F}" name="Column12129"/>
    <tableColumn id="12130" xr3:uid="{14DE52FE-4F8C-48AD-9E18-419B155C778E}" name="Column12130"/>
    <tableColumn id="12131" xr3:uid="{A0DC4544-D825-43A7-BA96-5B107EC13526}" name="Column12131"/>
    <tableColumn id="12132" xr3:uid="{1CBD4331-5489-4531-B09C-2F0B555B3398}" name="Column12132"/>
    <tableColumn id="12133" xr3:uid="{87DAF49B-8DEB-43E9-A005-B08324F97B52}" name="Column12133"/>
    <tableColumn id="12134" xr3:uid="{F3EF29B1-D39E-45DB-915C-BB6077F470DF}" name="Column12134"/>
    <tableColumn id="12135" xr3:uid="{BCF1CF24-FA0B-46EF-A0CF-864FE6C8DDD1}" name="Column12135"/>
    <tableColumn id="12136" xr3:uid="{1369C8B7-9B85-4888-AC6B-34095CF70136}" name="Column12136"/>
    <tableColumn id="12137" xr3:uid="{A373CAA2-2301-47EE-9154-FE10FFBF3243}" name="Column12137"/>
    <tableColumn id="12138" xr3:uid="{827AE013-930B-47D3-8BF8-45E30FF63C8D}" name="Column12138"/>
    <tableColumn id="12139" xr3:uid="{E250238A-517F-46F5-82A9-EA36E9F34B94}" name="Column12139"/>
    <tableColumn id="12140" xr3:uid="{6DFD1D6D-97AF-4C97-8EEF-A56840AB766A}" name="Column12140"/>
    <tableColumn id="12141" xr3:uid="{0B25357A-735A-4430-BD14-B89C0470E63A}" name="Column12141"/>
    <tableColumn id="12142" xr3:uid="{EFEBC857-3B81-400B-A030-19F6A3827685}" name="Column12142"/>
    <tableColumn id="12143" xr3:uid="{C08EA602-1314-4F5E-8E1D-77AA5E7D20BE}" name="Column12143"/>
    <tableColumn id="12144" xr3:uid="{8F4025A5-5B9E-46C2-AB58-5D06944BA908}" name="Column12144"/>
    <tableColumn id="12145" xr3:uid="{3742C3AF-751E-414E-BE0B-0AB718F2D823}" name="Column12145"/>
    <tableColumn id="12146" xr3:uid="{71EDC641-2E66-4C2D-B4D1-134011820137}" name="Column12146"/>
    <tableColumn id="12147" xr3:uid="{0211DB00-984C-468C-8024-BF48C68EDCB5}" name="Column12147"/>
    <tableColumn id="12148" xr3:uid="{659ADC9F-07E0-476F-BB73-707B25E8A828}" name="Column12148"/>
    <tableColumn id="12149" xr3:uid="{61DC83A9-23EF-47E4-ABC5-26B12F40DA06}" name="Column12149"/>
    <tableColumn id="12150" xr3:uid="{919F9B52-E265-41EB-BF5A-6FDDF9253FFE}" name="Column12150"/>
    <tableColumn id="12151" xr3:uid="{4604D039-9056-4279-9AA0-1B939AB7F1B4}" name="Column12151"/>
    <tableColumn id="12152" xr3:uid="{6B642335-B942-4C9D-910D-BBB13540C431}" name="Column12152"/>
    <tableColumn id="12153" xr3:uid="{D4092A50-9BA0-4A90-9451-353403703982}" name="Column12153"/>
    <tableColumn id="12154" xr3:uid="{3DB0E4C5-D19A-4D9F-B779-8336183C478A}" name="Column12154"/>
    <tableColumn id="12155" xr3:uid="{82E7110B-C96B-436A-AF2B-74284B6B2716}" name="Column12155"/>
    <tableColumn id="12156" xr3:uid="{F7D2216D-2A47-4A13-A476-425A54BC91A5}" name="Column12156"/>
    <tableColumn id="12157" xr3:uid="{85628C78-C28E-46D7-B3D1-A47484E05333}" name="Column12157"/>
    <tableColumn id="12158" xr3:uid="{33CA6835-F747-434E-A089-BD4AEA61798E}" name="Column12158"/>
    <tableColumn id="12159" xr3:uid="{14A2D755-2326-4E76-937A-3F79F547F15F}" name="Column12159"/>
    <tableColumn id="12160" xr3:uid="{D06F2129-154C-4ACB-BAC8-04A6F1B7C625}" name="Column12160"/>
    <tableColumn id="12161" xr3:uid="{86104029-FB55-41AF-8F5B-5D56B0F18C45}" name="Column12161"/>
    <tableColumn id="12162" xr3:uid="{D03667F5-A72D-4EC7-AA12-4E40C4210A2D}" name="Column12162"/>
    <tableColumn id="12163" xr3:uid="{F92FDA3E-8699-4C8E-8BD7-0F167D2E297F}" name="Column12163"/>
    <tableColumn id="12164" xr3:uid="{4D9991D6-A640-4E22-9564-8CF280E636DB}" name="Column12164"/>
    <tableColumn id="12165" xr3:uid="{DCFA326D-165E-4029-BD22-968F114EC56A}" name="Column12165"/>
    <tableColumn id="12166" xr3:uid="{AF811674-BB1E-46A6-B56E-59F0B5E8EC67}" name="Column12166"/>
    <tableColumn id="12167" xr3:uid="{5CBBFC07-AEA6-4493-B703-515DC831D8A6}" name="Column12167"/>
    <tableColumn id="12168" xr3:uid="{69D1A7AC-3E1D-412E-82A6-4ED546216687}" name="Column12168"/>
    <tableColumn id="12169" xr3:uid="{0AD39927-E1E2-4137-9DC8-02D8F09BCD70}" name="Column12169"/>
    <tableColumn id="12170" xr3:uid="{31A92325-D914-4D91-BF81-59C40D8D497B}" name="Column12170"/>
    <tableColumn id="12171" xr3:uid="{417EB35E-2EE4-4A54-B062-527ED48D5E1C}" name="Column12171"/>
    <tableColumn id="12172" xr3:uid="{D8787477-C854-4FEE-9C29-4A3A6CB28953}" name="Column12172"/>
    <tableColumn id="12173" xr3:uid="{1F104CAC-D32D-4394-8E28-C1170E249C5A}" name="Column12173"/>
    <tableColumn id="12174" xr3:uid="{FDEC18AC-1216-4220-B0BF-0DA5ECEC6F73}" name="Column12174"/>
    <tableColumn id="12175" xr3:uid="{2CE31003-97FB-4F22-95E9-454C4F2B3D00}" name="Column12175"/>
    <tableColumn id="12176" xr3:uid="{AB9D3E98-347F-4A76-B198-B93BD6FE1758}" name="Column12176"/>
    <tableColumn id="12177" xr3:uid="{67C9C3F6-329D-41CC-A142-222D6E2DCB89}" name="Column12177"/>
    <tableColumn id="12178" xr3:uid="{7C844D66-7251-41E5-A8AC-4185C660F6D3}" name="Column12178"/>
    <tableColumn id="12179" xr3:uid="{4FC82F4E-720F-4A0C-BAE1-7BE7941281E4}" name="Column12179"/>
    <tableColumn id="12180" xr3:uid="{E42FDDDE-05AA-405A-875F-528E51797FC5}" name="Column12180"/>
    <tableColumn id="12181" xr3:uid="{45F8AEB1-A172-4C05-A8C3-14A8F91897EB}" name="Column12181"/>
    <tableColumn id="12182" xr3:uid="{A1456D33-0010-45FF-85AD-EE2026E838FF}" name="Column12182"/>
    <tableColumn id="12183" xr3:uid="{3BB2D638-A238-429C-9FB7-FD13890CEF0E}" name="Column12183"/>
    <tableColumn id="12184" xr3:uid="{2A4B86E0-08F1-409B-B994-43FC42DB3124}" name="Column12184"/>
    <tableColumn id="12185" xr3:uid="{30AA47FA-3082-48D0-93CF-33195DE8B8F7}" name="Column12185"/>
    <tableColumn id="12186" xr3:uid="{0336E655-3991-4B7E-BC8C-7FEFC7AEA46C}" name="Column12186"/>
    <tableColumn id="12187" xr3:uid="{58ED358A-9950-401E-8F7A-B0C4E9D59FCE}" name="Column12187"/>
    <tableColumn id="12188" xr3:uid="{D9CA8D7F-A173-4E93-A29E-768D8AF78E43}" name="Column12188"/>
    <tableColumn id="12189" xr3:uid="{50E712EC-100C-4557-A0D3-5C06C97835D2}" name="Column12189"/>
    <tableColumn id="12190" xr3:uid="{D88CE3C9-AE99-43A6-B080-2D0E60646FD8}" name="Column12190"/>
    <tableColumn id="12191" xr3:uid="{9D92F79C-5A3D-45BB-9930-C4FE71B2A486}" name="Column12191"/>
    <tableColumn id="12192" xr3:uid="{551CA91D-DEEB-4914-BB50-D82803F1C7FD}" name="Column12192"/>
    <tableColumn id="12193" xr3:uid="{6C6ECEE4-017E-46D1-A3E7-6768B7D96E5B}" name="Column12193"/>
    <tableColumn id="12194" xr3:uid="{2EE9A8BE-924A-489B-BB8F-C9BA3EEE6B6F}" name="Column12194"/>
    <tableColumn id="12195" xr3:uid="{90306642-979B-421F-B58D-8DBEBEE80865}" name="Column12195"/>
    <tableColumn id="12196" xr3:uid="{07C54E52-5F90-4A94-BDFF-EAFAB8BA11D2}" name="Column12196"/>
    <tableColumn id="12197" xr3:uid="{61B1FA59-FA3D-4AD8-8BF3-668F1D87F445}" name="Column12197"/>
    <tableColumn id="12198" xr3:uid="{2A98E542-5351-402B-AA8C-C8D3BBBC3716}" name="Column12198"/>
    <tableColumn id="12199" xr3:uid="{424B6C7D-7052-45EA-B93D-F459DCE85A01}" name="Column12199"/>
    <tableColumn id="12200" xr3:uid="{097B13A6-C623-4447-BC82-7668AC720A7D}" name="Column12200"/>
    <tableColumn id="12201" xr3:uid="{036E9D79-FB5F-4888-ACCD-EFB1C5F785EF}" name="Column12201"/>
    <tableColumn id="12202" xr3:uid="{0502871B-4A1F-4027-92A9-B6631F0A6AA5}" name="Column12202"/>
    <tableColumn id="12203" xr3:uid="{DD047B43-A333-4C62-B2A8-8031C20AE401}" name="Column12203"/>
    <tableColumn id="12204" xr3:uid="{F2CAA18A-6BC3-4B7F-9510-E5010D65E00F}" name="Column12204"/>
    <tableColumn id="12205" xr3:uid="{56899436-424F-4CC0-8531-32E9C8D1FACE}" name="Column12205"/>
    <tableColumn id="12206" xr3:uid="{44755C0D-5476-4507-8AC0-D042124B46DC}" name="Column12206"/>
    <tableColumn id="12207" xr3:uid="{C9546516-9800-4EE0-8D4F-41ECF936C53D}" name="Column12207"/>
    <tableColumn id="12208" xr3:uid="{B7C76A24-F71D-4B57-92CA-265BC284BCA5}" name="Column12208"/>
    <tableColumn id="12209" xr3:uid="{9453FAA3-1F0D-428D-8034-41CEDE44715A}" name="Column12209"/>
    <tableColumn id="12210" xr3:uid="{6BA0E5E0-6BCB-4FDA-9791-BD2613730A45}" name="Column12210"/>
    <tableColumn id="12211" xr3:uid="{444BBB28-C9EE-4AF1-8D93-F4C89F5A0046}" name="Column12211"/>
    <tableColumn id="12212" xr3:uid="{3A732C21-DD8E-4930-BC21-FD0BD36559FA}" name="Column12212"/>
    <tableColumn id="12213" xr3:uid="{B66D5ADE-933D-4A5F-816F-B1BA11A2FC0F}" name="Column12213"/>
    <tableColumn id="12214" xr3:uid="{1FC79D72-A936-447F-B845-C9F3EE0510BB}" name="Column12214"/>
    <tableColumn id="12215" xr3:uid="{0AEA3036-3513-4925-8BD8-983DDD0AE78A}" name="Column12215"/>
    <tableColumn id="12216" xr3:uid="{AB434B96-2036-4752-BB05-0BC34DDDCCF0}" name="Column12216"/>
    <tableColumn id="12217" xr3:uid="{54971B75-26CA-4B68-B38E-B8060D784CD7}" name="Column12217"/>
    <tableColumn id="12218" xr3:uid="{CAB3B8CD-6845-4228-81EF-608E4DF8263C}" name="Column12218"/>
    <tableColumn id="12219" xr3:uid="{5587734E-F808-4B7E-93E4-9268BAD3767B}" name="Column12219"/>
    <tableColumn id="12220" xr3:uid="{9224CB35-9D9B-4401-B702-A185182734CA}" name="Column12220"/>
    <tableColumn id="12221" xr3:uid="{E154C905-9BDB-426E-BEE4-322CE6463C8D}" name="Column12221"/>
    <tableColumn id="12222" xr3:uid="{8EBF952C-9C7F-4C80-ACBB-43213F44038D}" name="Column12222"/>
    <tableColumn id="12223" xr3:uid="{E5D7D331-3989-475D-A688-108E5E536FD9}" name="Column12223"/>
    <tableColumn id="12224" xr3:uid="{B69839E2-8FBB-45E2-9A81-1549606FF9D6}" name="Column12224"/>
    <tableColumn id="12225" xr3:uid="{651E0116-67F9-443C-8B2E-6CBE4CA71BFD}" name="Column12225"/>
    <tableColumn id="12226" xr3:uid="{F8A20B62-7EAE-4726-8FC8-8CBC1C5DDCB4}" name="Column12226"/>
    <tableColumn id="12227" xr3:uid="{B4DEE8B8-DFD8-422B-85AB-C33E1006BF48}" name="Column12227"/>
    <tableColumn id="12228" xr3:uid="{8E1628F2-E2D5-4E64-A739-373A4D892166}" name="Column12228"/>
    <tableColumn id="12229" xr3:uid="{72A909D6-39F7-4331-A458-648E18A94DDA}" name="Column12229"/>
    <tableColumn id="12230" xr3:uid="{0EC002E4-3DDB-4793-A641-C7CF69FD2283}" name="Column12230"/>
    <tableColumn id="12231" xr3:uid="{C9D77697-D90C-4E41-BDAA-387F0FAB3D44}" name="Column12231"/>
    <tableColumn id="12232" xr3:uid="{8FB7E9FB-9665-4C1F-BD50-68CCC6BDBB76}" name="Column12232"/>
    <tableColumn id="12233" xr3:uid="{44F5D362-790D-4B0D-A431-BAD3661515B3}" name="Column12233"/>
    <tableColumn id="12234" xr3:uid="{DA1F0B7C-5160-40C4-A01C-AF68C4892DFD}" name="Column12234"/>
    <tableColumn id="12235" xr3:uid="{460A14B7-682A-40B4-A56E-04C48C220C99}" name="Column12235"/>
    <tableColumn id="12236" xr3:uid="{631906CA-1848-4857-B8B5-0679328D3493}" name="Column12236"/>
    <tableColumn id="12237" xr3:uid="{0503530D-BCD7-4CA1-AB2F-26EC084E3830}" name="Column12237"/>
    <tableColumn id="12238" xr3:uid="{4CD97EB4-8FF9-4711-A58C-DB4D9070DBBC}" name="Column12238"/>
    <tableColumn id="12239" xr3:uid="{00F62ED9-BAD8-400B-B61D-2D576ADCFECC}" name="Column12239"/>
    <tableColumn id="12240" xr3:uid="{BD83DEB8-6FF3-4731-9125-70B66ED2551B}" name="Column12240"/>
    <tableColumn id="12241" xr3:uid="{3BCCFF15-7BAE-43D2-8962-ADE36D633D18}" name="Column12241"/>
    <tableColumn id="12242" xr3:uid="{09ED72EA-D2FD-4C7E-A136-E7E81B699D19}" name="Column12242"/>
    <tableColumn id="12243" xr3:uid="{272CC9C1-3060-46D7-A67E-2F05E8ECBF8C}" name="Column12243"/>
    <tableColumn id="12244" xr3:uid="{BF2C92A1-83F4-451A-9365-672CF98FF146}" name="Column12244"/>
    <tableColumn id="12245" xr3:uid="{9A2AFC5D-6CD7-4AB3-8ED9-6D01D781AF3F}" name="Column12245"/>
    <tableColumn id="12246" xr3:uid="{3DB47A0E-B6B3-4944-BDDD-43BAFF30FCA8}" name="Column12246"/>
    <tableColumn id="12247" xr3:uid="{FE11AECF-28B7-4420-B775-CF37081AFA8C}" name="Column12247"/>
    <tableColumn id="12248" xr3:uid="{4BFE8258-DF1D-4A08-B52A-406E520F0273}" name="Column12248"/>
    <tableColumn id="12249" xr3:uid="{A59B79BF-2DD5-4E71-8CB3-6170D2B62BE9}" name="Column12249"/>
    <tableColumn id="12250" xr3:uid="{A73CD76F-891E-4408-B55F-033A50A42FDF}" name="Column12250"/>
    <tableColumn id="12251" xr3:uid="{9A5D483D-328A-445A-B985-B694891799A0}" name="Column12251"/>
    <tableColumn id="12252" xr3:uid="{3A3C9EDA-4EF1-42DB-95B0-2293ADF6B1E6}" name="Column12252"/>
    <tableColumn id="12253" xr3:uid="{79DF3F6B-5873-42AA-AF6B-FCD78DB0C730}" name="Column12253"/>
    <tableColumn id="12254" xr3:uid="{7D737CE2-F795-44B6-884A-BE9831EA1C93}" name="Column12254"/>
    <tableColumn id="12255" xr3:uid="{8E04A07E-06C3-4AB3-9FB8-0A85B413CA98}" name="Column12255"/>
    <tableColumn id="12256" xr3:uid="{BC771774-570C-403D-AA77-5F61901D9597}" name="Column12256"/>
    <tableColumn id="12257" xr3:uid="{03A8415B-2103-47BC-A1AA-3C27A06067F9}" name="Column12257"/>
    <tableColumn id="12258" xr3:uid="{94480476-3929-4889-82CC-6B1A089827E9}" name="Column12258"/>
    <tableColumn id="12259" xr3:uid="{C964885D-7ECC-4C15-918D-5D1034C038D8}" name="Column12259"/>
    <tableColumn id="12260" xr3:uid="{35FBB09C-3FFF-41E2-AD5C-EDE5F49DC68F}" name="Column12260"/>
    <tableColumn id="12261" xr3:uid="{3DC998BC-300B-49A0-BCA6-10931FBDB708}" name="Column12261"/>
    <tableColumn id="12262" xr3:uid="{E42274F7-3771-41D3-8CE8-20A423197CA1}" name="Column12262"/>
    <tableColumn id="12263" xr3:uid="{5867ABE8-386E-47A9-B93B-4EE62DE8E9EE}" name="Column12263"/>
    <tableColumn id="12264" xr3:uid="{8CC41DE3-52BC-4CC4-A916-220F3BC0A536}" name="Column12264"/>
    <tableColumn id="12265" xr3:uid="{03386ABD-B497-4239-9053-D34E532AAEC6}" name="Column12265"/>
    <tableColumn id="12266" xr3:uid="{3B245819-DF4B-4171-8EB3-67A0D59EFDB3}" name="Column12266"/>
    <tableColumn id="12267" xr3:uid="{656A861A-4BAA-486D-8A83-AAFFFC2F5315}" name="Column12267"/>
    <tableColumn id="12268" xr3:uid="{B690DEDB-5815-4294-81DF-F0B7A79BC2BA}" name="Column12268"/>
    <tableColumn id="12269" xr3:uid="{4A112486-324B-4002-9738-C98C10C41E3F}" name="Column12269"/>
    <tableColumn id="12270" xr3:uid="{C4C996D0-B808-453B-8BA2-1C7171C6F56F}" name="Column12270"/>
    <tableColumn id="12271" xr3:uid="{202D3872-F58A-4389-BC73-D778FE2D7740}" name="Column12271"/>
    <tableColumn id="12272" xr3:uid="{D6A173CD-4EBA-4355-B57C-B2B3490C49EC}" name="Column12272"/>
    <tableColumn id="12273" xr3:uid="{DAEE26EC-2B4C-480E-ACEC-C795B9895139}" name="Column12273"/>
    <tableColumn id="12274" xr3:uid="{345C7266-71B0-4C07-98CA-41A2EDC93418}" name="Column12274"/>
    <tableColumn id="12275" xr3:uid="{D0C78C1B-9756-4DF3-949D-E456BC640268}" name="Column12275"/>
    <tableColumn id="12276" xr3:uid="{19A8E196-9534-41EE-834F-745F97DDABBA}" name="Column12276"/>
    <tableColumn id="12277" xr3:uid="{E8DA6764-0E65-4ADA-830E-CB22CB46E75F}" name="Column12277"/>
    <tableColumn id="12278" xr3:uid="{AA687837-EA9A-427C-A19B-CBACD1CF0641}" name="Column12278"/>
    <tableColumn id="12279" xr3:uid="{33701407-340F-4CC1-A870-A47F27756573}" name="Column12279"/>
    <tableColumn id="12280" xr3:uid="{79962F38-555F-4592-8B0C-9DC5D52FC868}" name="Column12280"/>
    <tableColumn id="12281" xr3:uid="{87178A14-99CB-4A12-B97E-9495A4146554}" name="Column12281"/>
    <tableColumn id="12282" xr3:uid="{FA31FBE7-B60F-44C0-B24A-6F1E118B00B9}" name="Column12282"/>
    <tableColumn id="12283" xr3:uid="{EC2AD185-A148-4A01-953B-403D11518D7F}" name="Column12283"/>
    <tableColumn id="12284" xr3:uid="{0C03088B-C6F5-43CB-A7FB-A00B890EB0B5}" name="Column12284"/>
    <tableColumn id="12285" xr3:uid="{76ED4D0E-8A9B-4E33-AEC3-AE9597DF9170}" name="Column12285"/>
    <tableColumn id="12286" xr3:uid="{3FFC1844-F359-41DE-AC74-4A27404B6CCD}" name="Column12286"/>
    <tableColumn id="12287" xr3:uid="{04E8D799-A10C-412F-9EF3-0A2ED731DBC0}" name="Column12287"/>
    <tableColumn id="12288" xr3:uid="{806E9F59-4568-4B59-B590-E14C40AD3B7B}" name="Column12288"/>
    <tableColumn id="12289" xr3:uid="{467478C6-3562-44F4-8A5C-05C78FED9ACF}" name="Column12289"/>
    <tableColumn id="12290" xr3:uid="{B0018EB4-89F1-4B1E-A98E-B2CA46ADEF58}" name="Column12290"/>
    <tableColumn id="12291" xr3:uid="{F64C4D09-25B5-4399-9414-D94C7784B238}" name="Column12291"/>
    <tableColumn id="12292" xr3:uid="{7D4974AC-1C42-4FE7-9325-96FED1828A83}" name="Column12292"/>
    <tableColumn id="12293" xr3:uid="{F50DEF62-3289-4AC5-94C6-F5D90BD6E88E}" name="Column12293"/>
    <tableColumn id="12294" xr3:uid="{E9CBE9BE-24C7-48CA-874C-85C3E10B05E2}" name="Column12294"/>
    <tableColumn id="12295" xr3:uid="{C3731BED-1388-4691-8F47-4C09DD7B30CC}" name="Column12295"/>
    <tableColumn id="12296" xr3:uid="{23ACC544-9BC5-4630-A764-EB34E4F9FDEC}" name="Column12296"/>
    <tableColumn id="12297" xr3:uid="{CDF692D5-0344-4283-8DDF-F8C73F8EEDF0}" name="Column12297"/>
    <tableColumn id="12298" xr3:uid="{CB4EC8A8-7F91-4552-BB45-F0A73711E939}" name="Column12298"/>
    <tableColumn id="12299" xr3:uid="{88EFB866-E3BA-4988-8200-A14A5F4DD64A}" name="Column12299"/>
    <tableColumn id="12300" xr3:uid="{E993151A-307C-47BA-92E3-4ABC11AF78E7}" name="Column12300"/>
    <tableColumn id="12301" xr3:uid="{EEB8D6AC-C85A-4FCE-A27C-4D4BCF394485}" name="Column12301"/>
    <tableColumn id="12302" xr3:uid="{33A8656C-FEFE-4042-BEDC-D61ED80E2240}" name="Column12302"/>
    <tableColumn id="12303" xr3:uid="{F6578A86-9D01-4626-AD5A-A2C4999177FC}" name="Column12303"/>
    <tableColumn id="12304" xr3:uid="{854AB613-B907-4370-89B6-2DDAE8B7EA32}" name="Column12304"/>
    <tableColumn id="12305" xr3:uid="{4A937C8E-8519-4446-B1EF-578309DECD25}" name="Column12305"/>
    <tableColumn id="12306" xr3:uid="{1F9CDCCB-9270-4DB4-8882-064E3C3B616E}" name="Column12306"/>
    <tableColumn id="12307" xr3:uid="{7F3332C5-2CD6-431E-A3CC-F1522423B1F4}" name="Column12307"/>
    <tableColumn id="12308" xr3:uid="{C53ECBA8-4134-4B78-AC37-663EF9FBA44C}" name="Column12308"/>
    <tableColumn id="12309" xr3:uid="{62B8ACC9-630D-4841-9172-4B1E967DDA26}" name="Column12309"/>
    <tableColumn id="12310" xr3:uid="{B7FE1D51-7AFA-43F6-929F-049E5477D8FE}" name="Column12310"/>
    <tableColumn id="12311" xr3:uid="{B6B34416-FBB8-4FA3-964E-4DAC013CDC76}" name="Column12311"/>
    <tableColumn id="12312" xr3:uid="{38DA4514-0837-4262-B657-B3D85D24D303}" name="Column12312"/>
    <tableColumn id="12313" xr3:uid="{A981E285-4C5F-437A-B0F0-E0C123629A80}" name="Column12313"/>
    <tableColumn id="12314" xr3:uid="{A8D3FFB1-1CF5-42C7-A693-1C631041C4DD}" name="Column12314"/>
    <tableColumn id="12315" xr3:uid="{5CDE3275-5FF3-45A2-9FEC-BCFAA7A10BE1}" name="Column12315"/>
    <tableColumn id="12316" xr3:uid="{08995909-6677-478B-92D1-D658A212891A}" name="Column12316"/>
    <tableColumn id="12317" xr3:uid="{3A8483D2-7607-4BE1-AC10-CB2C99FBFF72}" name="Column12317"/>
    <tableColumn id="12318" xr3:uid="{AE7E5AD4-B619-42BA-8B64-CE155A5B0836}" name="Column12318"/>
    <tableColumn id="12319" xr3:uid="{71A20EDE-A4AC-473C-A389-81358A4F5D1D}" name="Column12319"/>
    <tableColumn id="12320" xr3:uid="{A0AE8B98-91AF-43A2-AE8C-3E03E2A250EC}" name="Column12320"/>
    <tableColumn id="12321" xr3:uid="{C9D0308B-07D0-404F-A24C-77CD9B105187}" name="Column12321"/>
    <tableColumn id="12322" xr3:uid="{A8294F17-6FEC-455E-8B4B-98332EFD6BD2}" name="Column12322"/>
    <tableColumn id="12323" xr3:uid="{967491FA-F26D-4C9D-B238-995EBDF725BE}" name="Column12323"/>
    <tableColumn id="12324" xr3:uid="{2F4CF066-E0EB-49EA-83F9-256470972963}" name="Column12324"/>
    <tableColumn id="12325" xr3:uid="{A568846F-EEA4-4F49-955F-632A0AAFE6CD}" name="Column12325"/>
    <tableColumn id="12326" xr3:uid="{A8560CDD-FB46-47E0-A2D6-169F385E790F}" name="Column12326"/>
    <tableColumn id="12327" xr3:uid="{2F63EA49-DA0D-43E1-AB27-EBB0C61D9F85}" name="Column12327"/>
    <tableColumn id="12328" xr3:uid="{2C358AF0-1BDA-4049-9418-ED10C3F21852}" name="Column12328"/>
    <tableColumn id="12329" xr3:uid="{E3A1943E-179A-455E-BBBC-FB587FBAEDD4}" name="Column12329"/>
    <tableColumn id="12330" xr3:uid="{3E00B29B-E807-4C75-8262-C02FC4C4485F}" name="Column12330"/>
    <tableColumn id="12331" xr3:uid="{D84625DE-D068-4D4A-969A-10F9F69ACE81}" name="Column12331"/>
    <tableColumn id="12332" xr3:uid="{5528537E-369C-4A12-9066-B203EA5CFB12}" name="Column12332"/>
    <tableColumn id="12333" xr3:uid="{C901E5B4-6BA8-4041-9840-83CECCC1B4FA}" name="Column12333"/>
    <tableColumn id="12334" xr3:uid="{7D56E391-99F3-433A-868A-E08C55CC2603}" name="Column12334"/>
    <tableColumn id="12335" xr3:uid="{DE9E059A-B515-4484-BA42-FAB1FB0255FB}" name="Column12335"/>
    <tableColumn id="12336" xr3:uid="{A6E5B3CD-BD30-4BF1-8FB5-04BA036F4011}" name="Column12336"/>
    <tableColumn id="12337" xr3:uid="{32FFAFDC-3953-40AA-8DF4-F1DC6600799F}" name="Column12337"/>
    <tableColumn id="12338" xr3:uid="{E8CA6CCB-624F-4617-AE94-ED37D4C1ECC1}" name="Column12338"/>
    <tableColumn id="12339" xr3:uid="{46D0C170-0B6E-4CF5-A4D2-4572E15F8B83}" name="Column12339"/>
    <tableColumn id="12340" xr3:uid="{296C4278-64EA-4D64-BAB2-E58C8340F853}" name="Column12340"/>
    <tableColumn id="12341" xr3:uid="{D3A6A046-881E-4B05-8BF1-EE1861E39319}" name="Column12341"/>
    <tableColumn id="12342" xr3:uid="{EE09BE63-2965-48C9-819B-5BAE74A4715A}" name="Column12342"/>
    <tableColumn id="12343" xr3:uid="{C00D3665-D3AA-4A66-A3F7-4334EE38FCA2}" name="Column12343"/>
    <tableColumn id="12344" xr3:uid="{07DDBAAE-9197-414A-9B49-5E447E86C4EC}" name="Column12344"/>
    <tableColumn id="12345" xr3:uid="{9996C613-8583-48AD-AABF-FC0957330563}" name="Column12345"/>
    <tableColumn id="12346" xr3:uid="{9FF42CC0-3447-4F59-AB26-99C587FD6A81}" name="Column12346"/>
    <tableColumn id="12347" xr3:uid="{AD74613D-5713-43E4-B96B-0276F1E71BE8}" name="Column12347"/>
    <tableColumn id="12348" xr3:uid="{A78C259D-ABF4-4474-8FB0-C46D4E79D69E}" name="Column12348"/>
    <tableColumn id="12349" xr3:uid="{61525468-E91B-4C94-9628-52D31815449E}" name="Column12349"/>
    <tableColumn id="12350" xr3:uid="{B2E7F958-4BE2-4CC6-8A01-B84016D6BA74}" name="Column12350"/>
    <tableColumn id="12351" xr3:uid="{41AD6143-72E4-49F4-99DA-F680921A4155}" name="Column12351"/>
    <tableColumn id="12352" xr3:uid="{7E8C7BCD-2027-4CFC-AA04-2FF24B70CC17}" name="Column12352"/>
    <tableColumn id="12353" xr3:uid="{DA30F45F-8340-4736-BFE5-E926F96E45BB}" name="Column12353"/>
    <tableColumn id="12354" xr3:uid="{E0EDDA14-FA88-4A39-A6EF-BC573AC58CA1}" name="Column12354"/>
    <tableColumn id="12355" xr3:uid="{3E1CC0F2-E500-41A2-A8C1-89589C9E89D1}" name="Column12355"/>
    <tableColumn id="12356" xr3:uid="{513943C0-77B9-4D78-B4CE-F323A0900452}" name="Column12356"/>
    <tableColumn id="12357" xr3:uid="{72CF9D2C-812E-42DA-8B0C-911B2EBCAA3C}" name="Column12357"/>
    <tableColumn id="12358" xr3:uid="{3F37324B-2B9A-46AD-BFF7-FEC3627EB4F3}" name="Column12358"/>
    <tableColumn id="12359" xr3:uid="{DAFA4C4A-F941-438A-98E2-EDB7898B9D72}" name="Column12359"/>
    <tableColumn id="12360" xr3:uid="{8AD28A54-ED65-433F-9BDF-8C6178BB8362}" name="Column12360"/>
    <tableColumn id="12361" xr3:uid="{DD2A53E1-C011-4D74-9C42-E9386E2779F7}" name="Column12361"/>
    <tableColumn id="12362" xr3:uid="{D7E04F81-1BCA-429F-8BFB-3E0575216679}" name="Column12362"/>
    <tableColumn id="12363" xr3:uid="{A22F9EB0-2E8B-4FDB-AFBB-5D2A8F1EA310}" name="Column12363"/>
    <tableColumn id="12364" xr3:uid="{4F492948-E74E-45D0-8CD1-E66972D146AA}" name="Column12364"/>
    <tableColumn id="12365" xr3:uid="{56190C3F-BAAB-445C-A00E-6C47808CCA35}" name="Column12365"/>
    <tableColumn id="12366" xr3:uid="{B89D52C1-1194-4F4A-91BC-801B58E15B84}" name="Column12366"/>
    <tableColumn id="12367" xr3:uid="{E955DBFC-137E-4EB2-AAB5-005DA5ED2085}" name="Column12367"/>
    <tableColumn id="12368" xr3:uid="{BD5CAC75-744E-410B-B43E-82679F0D6C84}" name="Column12368"/>
    <tableColumn id="12369" xr3:uid="{895B232E-0277-4913-8593-01C93924F6DF}" name="Column12369"/>
    <tableColumn id="12370" xr3:uid="{19A94DB4-DBF8-4456-A8CF-4636025DEB41}" name="Column12370"/>
    <tableColumn id="12371" xr3:uid="{1D157924-E70B-4918-AF5A-7E1188338D18}" name="Column12371"/>
    <tableColumn id="12372" xr3:uid="{E12D6BE9-6D64-4060-BD8D-326715E2ECF4}" name="Column12372"/>
    <tableColumn id="12373" xr3:uid="{9146BC24-57CB-4F9A-AC54-15C0450DB498}" name="Column12373"/>
    <tableColumn id="12374" xr3:uid="{16F9C322-71D1-4D20-A941-5D4DC184FA74}" name="Column12374"/>
    <tableColumn id="12375" xr3:uid="{8183014A-5392-42C4-A27F-18FFF5498F61}" name="Column12375"/>
    <tableColumn id="12376" xr3:uid="{CB543C9B-3DF3-4BF6-9DC7-DA3FF1DF2009}" name="Column12376"/>
    <tableColumn id="12377" xr3:uid="{6CFFB8A5-5964-485F-A614-94AA013882CF}" name="Column12377"/>
    <tableColumn id="12378" xr3:uid="{E9776861-7C76-46E1-B958-EA91F186B536}" name="Column12378"/>
    <tableColumn id="12379" xr3:uid="{6486596E-95AE-4C03-8B52-EA983253F8DE}" name="Column12379"/>
    <tableColumn id="12380" xr3:uid="{E814FC75-D2E0-4985-9387-6DAB330FD90A}" name="Column12380"/>
    <tableColumn id="12381" xr3:uid="{F951D928-5545-4765-98F6-FBDE0199A6E3}" name="Column12381"/>
    <tableColumn id="12382" xr3:uid="{9D8487E2-2E93-4F9A-B5A5-DDADFCAB736B}" name="Column12382"/>
    <tableColumn id="12383" xr3:uid="{857BF94A-73A1-4D94-B728-07E92F134832}" name="Column12383"/>
    <tableColumn id="12384" xr3:uid="{B9314135-6A23-4025-ADB7-C9D89CF72C3D}" name="Column12384"/>
    <tableColumn id="12385" xr3:uid="{544762E9-3D06-44C3-BAB4-14C098E4772B}" name="Column12385"/>
    <tableColumn id="12386" xr3:uid="{ED501248-B3C5-4E4C-8AC5-BBBA98CDAC78}" name="Column12386"/>
    <tableColumn id="12387" xr3:uid="{557D534D-9C6E-4EE9-8730-CF9F1BB4413B}" name="Column12387"/>
    <tableColumn id="12388" xr3:uid="{D531BC99-C4EA-4133-A436-C0D3B209E9DA}" name="Column12388"/>
    <tableColumn id="12389" xr3:uid="{391988BC-AE5D-4F58-81E6-7BB10B0EF92D}" name="Column12389"/>
    <tableColumn id="12390" xr3:uid="{6FE4DAF9-4A76-41EB-82EE-08259C2895A9}" name="Column12390"/>
    <tableColumn id="12391" xr3:uid="{74B9AEB7-C53F-487F-B1C1-5B5FD558B5A4}" name="Column12391"/>
    <tableColumn id="12392" xr3:uid="{E54F924A-0304-4381-8C93-5CA23732CB46}" name="Column12392"/>
    <tableColumn id="12393" xr3:uid="{0522FC13-3D79-4C22-8745-5041B1A15DAD}" name="Column12393"/>
    <tableColumn id="12394" xr3:uid="{B70178BD-D256-47CA-8E21-0F5584D6185D}" name="Column12394"/>
    <tableColumn id="12395" xr3:uid="{89DEC296-F94A-4ED5-BF8A-424ADADA584C}" name="Column12395"/>
    <tableColumn id="12396" xr3:uid="{942C36B1-EABD-4A97-AEEF-22AEC476A488}" name="Column12396"/>
    <tableColumn id="12397" xr3:uid="{3E41146A-584C-4AE4-93F4-C5279DB5647D}" name="Column12397"/>
    <tableColumn id="12398" xr3:uid="{1284060F-2AEE-4A89-B421-8A4AC33F8661}" name="Column12398"/>
    <tableColumn id="12399" xr3:uid="{F72E030A-97A7-4481-96A5-AF0895C44FF7}" name="Column12399"/>
    <tableColumn id="12400" xr3:uid="{1D89105C-CC79-4CEC-A45C-B25C6CB2AED7}" name="Column12400"/>
    <tableColumn id="12401" xr3:uid="{BBA73611-5EA6-4C1F-8639-12450BD0217E}" name="Column12401"/>
    <tableColumn id="12402" xr3:uid="{78C149BF-DF58-41ED-B4F9-4A5454B493EB}" name="Column12402"/>
    <tableColumn id="12403" xr3:uid="{CF464C74-F5D8-4087-82BF-FD8909308F12}" name="Column12403"/>
    <tableColumn id="12404" xr3:uid="{544CB9D1-ABF7-4E52-94D2-579797E67ACC}" name="Column12404"/>
    <tableColumn id="12405" xr3:uid="{6E2FA6FA-25CF-4915-A6D5-9F92D9DACCAD}" name="Column12405"/>
    <tableColumn id="12406" xr3:uid="{824131E5-554A-4393-9350-20E9672C660B}" name="Column12406"/>
    <tableColumn id="12407" xr3:uid="{C6F3EB99-1572-4C17-B3E6-B28FC310BAA9}" name="Column12407"/>
    <tableColumn id="12408" xr3:uid="{B86C02BB-B1B4-40E2-8964-6617A52528A1}" name="Column12408"/>
    <tableColumn id="12409" xr3:uid="{555D4B82-7D5A-451C-B650-3A0272DC00A1}" name="Column12409"/>
    <tableColumn id="12410" xr3:uid="{A7825952-0E67-4F86-9DA5-B992A2CDF970}" name="Column12410"/>
    <tableColumn id="12411" xr3:uid="{5F5BE9DD-E055-4480-B6D2-F557E7218772}" name="Column12411"/>
    <tableColumn id="12412" xr3:uid="{590B733F-262E-4360-8308-1AF64BC53C70}" name="Column12412"/>
    <tableColumn id="12413" xr3:uid="{2FF6701B-CEE5-4067-9C6B-239DC73C405C}" name="Column12413"/>
    <tableColumn id="12414" xr3:uid="{38486F13-C2CC-4E7A-BB48-1445658EB7E5}" name="Column12414"/>
    <tableColumn id="12415" xr3:uid="{51C0C18F-96AA-408F-AD7C-8294B2261693}" name="Column12415"/>
    <tableColumn id="12416" xr3:uid="{4967CE92-79A3-4CCC-9583-725435EF044A}" name="Column12416"/>
    <tableColumn id="12417" xr3:uid="{39883688-AF82-4105-8068-C82EDF9060D5}" name="Column12417"/>
    <tableColumn id="12418" xr3:uid="{14034436-5A41-477A-9635-03ACA22D4A61}" name="Column12418"/>
    <tableColumn id="12419" xr3:uid="{1AAB9409-88A4-4EC4-8A5B-51F26E776485}" name="Column12419"/>
    <tableColumn id="12420" xr3:uid="{75B3DCD1-F85B-4E60-9EED-51B3FC3B9410}" name="Column12420"/>
    <tableColumn id="12421" xr3:uid="{F5637CEC-4F9F-4607-A86D-4DC3C6C73E15}" name="Column12421"/>
    <tableColumn id="12422" xr3:uid="{A23AFD48-9530-4BE6-9150-D98E8511DF9D}" name="Column12422"/>
    <tableColumn id="12423" xr3:uid="{D1C9433E-F6FB-4E0D-A222-7A0E686F58F7}" name="Column12423"/>
    <tableColumn id="12424" xr3:uid="{ED4B2EB4-C538-47FE-9596-9D634D238A6F}" name="Column12424"/>
    <tableColumn id="12425" xr3:uid="{3F2B7E95-CE38-4195-A95F-C34875FE927E}" name="Column12425"/>
    <tableColumn id="12426" xr3:uid="{8BD72CB5-F9AD-4ACD-AEDC-74F5DF983057}" name="Column12426"/>
    <tableColumn id="12427" xr3:uid="{1810565F-EEEF-419B-88C4-A9BBA4BE4C07}" name="Column12427"/>
    <tableColumn id="12428" xr3:uid="{F3CF10C3-056F-4722-8E40-EA18D3912BA0}" name="Column12428"/>
    <tableColumn id="12429" xr3:uid="{4A721EA7-ABB1-46E9-B8DB-6793C7C6491F}" name="Column12429"/>
    <tableColumn id="12430" xr3:uid="{074E927D-6BCA-4244-8AA6-68C6878C1361}" name="Column12430"/>
    <tableColumn id="12431" xr3:uid="{DB44A568-36BF-47D3-9DCA-0CC6A109B855}" name="Column12431"/>
    <tableColumn id="12432" xr3:uid="{714E9601-262B-4D0F-A728-10F5AF63D035}" name="Column12432"/>
    <tableColumn id="12433" xr3:uid="{5C98D0C6-D1CE-4A31-9124-2D571091AC7C}" name="Column12433"/>
    <tableColumn id="12434" xr3:uid="{F40D8583-3968-43C6-9CC6-01916E3705B2}" name="Column12434"/>
    <tableColumn id="12435" xr3:uid="{CE13B61D-97A8-401C-B447-AB3D5DA0079A}" name="Column12435"/>
    <tableColumn id="12436" xr3:uid="{8DBBD3F7-4F74-44CF-A73F-809EC51FD6EB}" name="Column12436"/>
    <tableColumn id="12437" xr3:uid="{026B3329-8472-44D2-A2D4-098A6EA45ABD}" name="Column12437"/>
    <tableColumn id="12438" xr3:uid="{389DE531-5770-4E59-8869-EF8A7E224AB9}" name="Column12438"/>
    <tableColumn id="12439" xr3:uid="{9F61AAB5-5085-43D8-B22D-A71AF05C5E2B}" name="Column12439"/>
    <tableColumn id="12440" xr3:uid="{7828469F-603E-40F9-916F-001706B4EA95}" name="Column12440"/>
    <tableColumn id="12441" xr3:uid="{756D1AFE-6E0D-4C95-867F-7F3CFD766CAB}" name="Column12441"/>
    <tableColumn id="12442" xr3:uid="{910D3C44-EDFC-4DF5-BEB9-72867EBC5747}" name="Column12442"/>
    <tableColumn id="12443" xr3:uid="{A4B92B1D-44CF-40FC-BA36-4177ECA76DE8}" name="Column12443"/>
    <tableColumn id="12444" xr3:uid="{4BAD7282-98EF-44BD-AC26-F2C015924071}" name="Column12444"/>
    <tableColumn id="12445" xr3:uid="{514A8808-C3AD-4321-8C13-F5855AAF2582}" name="Column12445"/>
    <tableColumn id="12446" xr3:uid="{B7F26A2B-C320-446D-A4E3-D2381EA3AEC6}" name="Column12446"/>
    <tableColumn id="12447" xr3:uid="{D5EE8A25-B085-43B3-87BB-922A885F000D}" name="Column12447"/>
    <tableColumn id="12448" xr3:uid="{8F43428C-B0C2-4384-8695-9DFBF7D3C665}" name="Column12448"/>
    <tableColumn id="12449" xr3:uid="{89AEF9D8-2844-47C2-80DF-DB8D7D0925AA}" name="Column12449"/>
    <tableColumn id="12450" xr3:uid="{CE5BC45B-C850-463D-87E7-4195EBA76CD9}" name="Column12450"/>
    <tableColumn id="12451" xr3:uid="{2D7DE4FE-8D24-4EEB-9B0E-511E2916E71A}" name="Column12451"/>
    <tableColumn id="12452" xr3:uid="{82187D40-C2BB-4929-BFB5-092D5AC38D25}" name="Column12452"/>
    <tableColumn id="12453" xr3:uid="{86C0C0E7-752F-4D14-84CD-278285B6F47B}" name="Column12453"/>
    <tableColumn id="12454" xr3:uid="{09670DFF-2D7C-4936-A218-0022DCA5B2AA}" name="Column12454"/>
    <tableColumn id="12455" xr3:uid="{1461A434-D528-4400-9C53-A5E9DFFDCC0E}" name="Column12455"/>
    <tableColumn id="12456" xr3:uid="{28D74FD7-B810-4AD5-BF2D-DF32640F0B95}" name="Column12456"/>
    <tableColumn id="12457" xr3:uid="{20DD5517-40A5-4E1E-ACD1-B6711D617C67}" name="Column12457"/>
    <tableColumn id="12458" xr3:uid="{7EA15786-5014-48DC-95C3-79C066636DD6}" name="Column12458"/>
    <tableColumn id="12459" xr3:uid="{2CE3636A-6380-42BC-AFDF-9252917E4FF7}" name="Column12459"/>
    <tableColumn id="12460" xr3:uid="{09F85BF5-34D1-461F-8E74-78D17B5AA7E2}" name="Column12460"/>
    <tableColumn id="12461" xr3:uid="{1E0418D5-2D2E-4226-B070-354224A6D3CA}" name="Column12461"/>
    <tableColumn id="12462" xr3:uid="{5616E370-0466-4A71-9A21-16979415C55B}" name="Column12462"/>
    <tableColumn id="12463" xr3:uid="{648581B7-F90B-40AB-8BD3-CD7084716BD3}" name="Column12463"/>
    <tableColumn id="12464" xr3:uid="{61AA705F-63D0-4485-A95A-B329D3F608FE}" name="Column12464"/>
    <tableColumn id="12465" xr3:uid="{502CAA22-8DE1-4A48-A1C1-6ED931E5327D}" name="Column12465"/>
    <tableColumn id="12466" xr3:uid="{0F631852-F55A-410C-867B-608D85CA007C}" name="Column12466"/>
    <tableColumn id="12467" xr3:uid="{DF2CD8D2-9B89-44DE-BC62-49446462E459}" name="Column12467"/>
    <tableColumn id="12468" xr3:uid="{D5703C47-3D3B-43B5-B4F7-09076C1C299D}" name="Column12468"/>
    <tableColumn id="12469" xr3:uid="{716781E9-314E-4C64-99E2-5487E3E40FF6}" name="Column12469"/>
    <tableColumn id="12470" xr3:uid="{1BDE8303-AF8F-40BD-B0DC-04C14EA11A17}" name="Column12470"/>
    <tableColumn id="12471" xr3:uid="{47899B47-E719-43C2-A1AE-6255124C8A74}" name="Column12471"/>
    <tableColumn id="12472" xr3:uid="{9D221C5B-8439-4543-A377-5B5855096FCD}" name="Column12472"/>
    <tableColumn id="12473" xr3:uid="{64A22373-5831-4BDB-ABAF-8D6E263DE47B}" name="Column12473"/>
    <tableColumn id="12474" xr3:uid="{B19DF8D1-1CA6-406B-90C7-BE112B626536}" name="Column12474"/>
    <tableColumn id="12475" xr3:uid="{8D3FDE3D-04E5-45BE-A667-DA0B179BB154}" name="Column12475"/>
    <tableColumn id="12476" xr3:uid="{BC01CFC6-C680-4B07-9194-B4440313C96D}" name="Column12476"/>
    <tableColumn id="12477" xr3:uid="{58039B64-69BC-4088-8379-0B03E00DC530}" name="Column12477"/>
    <tableColumn id="12478" xr3:uid="{371414C3-E2E8-4302-A8C6-177BA1A4FF3B}" name="Column12478"/>
    <tableColumn id="12479" xr3:uid="{4EFAE960-DECA-408F-9A5C-E26AF0D41507}" name="Column12479"/>
    <tableColumn id="12480" xr3:uid="{34AB4672-0132-4BBB-BB0F-DA76D599DF9C}" name="Column12480"/>
    <tableColumn id="12481" xr3:uid="{5A329CCC-12C3-4973-90FB-66D0B852C54F}" name="Column12481"/>
    <tableColumn id="12482" xr3:uid="{3FA68DC3-323E-413E-B782-E3CB880A18C5}" name="Column12482"/>
    <tableColumn id="12483" xr3:uid="{67CE117E-1156-4EE5-B91D-B0C5F2C6E119}" name="Column12483"/>
    <tableColumn id="12484" xr3:uid="{817D8EE9-00FC-4902-856B-6C2D42976579}" name="Column12484"/>
    <tableColumn id="12485" xr3:uid="{4B44A2C1-ED77-40B5-BC2B-FDADAAA8C991}" name="Column12485"/>
    <tableColumn id="12486" xr3:uid="{8350936F-C3C9-4BCE-9E3C-1872C90E550C}" name="Column12486"/>
    <tableColumn id="12487" xr3:uid="{8FB27B51-BF11-444A-972D-15E70888D3A0}" name="Column12487"/>
    <tableColumn id="12488" xr3:uid="{7D89087A-B907-4E52-AEE2-EB6F4D828E23}" name="Column12488"/>
    <tableColumn id="12489" xr3:uid="{8433C4A7-5205-48BB-AC1F-73A895206E51}" name="Column12489"/>
    <tableColumn id="12490" xr3:uid="{45EF241A-6617-44D8-BE64-E7FDCB0F44D1}" name="Column12490"/>
    <tableColumn id="12491" xr3:uid="{3E7691BE-ECFC-4A53-A754-2F0CED7D8379}" name="Column12491"/>
    <tableColumn id="12492" xr3:uid="{AF3975B3-7860-48AF-83CD-F69E241F4FF7}" name="Column12492"/>
    <tableColumn id="12493" xr3:uid="{1E93024C-D20C-449F-AD85-4AE8A698A2F6}" name="Column12493"/>
    <tableColumn id="12494" xr3:uid="{B11CA3AD-81A0-4E94-9323-4A353AAF0E02}" name="Column12494"/>
    <tableColumn id="12495" xr3:uid="{E2564042-3305-478E-AA45-2093923F0CD2}" name="Column12495"/>
    <tableColumn id="12496" xr3:uid="{3A336B0F-1091-4AF9-8DC3-227326D29A61}" name="Column12496"/>
    <tableColumn id="12497" xr3:uid="{E0DFBF27-4846-4E5A-988C-349FC4E80E41}" name="Column12497"/>
    <tableColumn id="12498" xr3:uid="{BE0A1594-C463-46D9-90A9-10754453AEF8}" name="Column12498"/>
    <tableColumn id="12499" xr3:uid="{2EF86737-BA39-4C7C-973F-ED252065ADF3}" name="Column12499"/>
    <tableColumn id="12500" xr3:uid="{57787DE0-365E-4567-B91D-E243E766445A}" name="Column12500"/>
    <tableColumn id="12501" xr3:uid="{3E7AA60A-9C49-4A6A-8F71-A57F4E3CAF1B}" name="Column12501"/>
    <tableColumn id="12502" xr3:uid="{C6A36BDD-7D05-4659-8A8C-838B50664E7C}" name="Column12502"/>
    <tableColumn id="12503" xr3:uid="{D54F8445-7155-40E3-89FF-58BACD9AAB4A}" name="Column12503"/>
    <tableColumn id="12504" xr3:uid="{6000EA35-C5CC-4C21-8444-895DEA15D513}" name="Column12504"/>
    <tableColumn id="12505" xr3:uid="{CDBF17FB-2A25-413E-A0FB-2E91840D7F0C}" name="Column12505"/>
    <tableColumn id="12506" xr3:uid="{C70D975A-0F42-411E-8182-45F4251C39E1}" name="Column12506"/>
    <tableColumn id="12507" xr3:uid="{AAC7A9A3-19A6-450E-A300-018E63167BF6}" name="Column12507"/>
    <tableColumn id="12508" xr3:uid="{AD41F34A-CF19-49FB-B76F-EBBBB93458C8}" name="Column12508"/>
    <tableColumn id="12509" xr3:uid="{EA125054-FCDB-4EF2-BA1E-ADB8C81FF267}" name="Column12509"/>
    <tableColumn id="12510" xr3:uid="{2A34822B-8DAA-4188-90F4-AD2660619ED7}" name="Column12510"/>
    <tableColumn id="12511" xr3:uid="{0BC58BC8-0860-4E0E-A668-2F6FC9E3B9BA}" name="Column12511"/>
    <tableColumn id="12512" xr3:uid="{F2D01673-2105-4A32-9F9E-AB81B7F6F178}" name="Column12512"/>
    <tableColumn id="12513" xr3:uid="{E729A4BD-6AD0-4D17-B7BA-0E0CEB86A16A}" name="Column12513"/>
    <tableColumn id="12514" xr3:uid="{167762F9-72A7-482D-96DF-18E51273DAEE}" name="Column12514"/>
    <tableColumn id="12515" xr3:uid="{99DE57A9-FEC2-4F39-82FF-88EE49C0F15E}" name="Column12515"/>
    <tableColumn id="12516" xr3:uid="{965D8454-FC93-433B-9249-5B14952B9A9A}" name="Column12516"/>
    <tableColumn id="12517" xr3:uid="{841B3EC7-DE18-4762-B9A3-48DD27513213}" name="Column12517"/>
    <tableColumn id="12518" xr3:uid="{F503FC82-24BA-4022-9E62-CBF8D949735D}" name="Column12518"/>
    <tableColumn id="12519" xr3:uid="{A5B1FF5C-9B76-4E0A-B01C-6723798CDD22}" name="Column12519"/>
    <tableColumn id="12520" xr3:uid="{32223691-2C53-4061-A74F-00B51AE3572B}" name="Column12520"/>
    <tableColumn id="12521" xr3:uid="{D12B04F2-176B-431A-A95C-C83149798968}" name="Column12521"/>
    <tableColumn id="12522" xr3:uid="{06DE1BE2-BF5C-4661-AAA6-584CEDE347F7}" name="Column12522"/>
    <tableColumn id="12523" xr3:uid="{7888043A-7421-4AF0-B68C-DCA06A429C76}" name="Column12523"/>
    <tableColumn id="12524" xr3:uid="{FEA71287-5C7E-4D7B-8212-663598BED704}" name="Column12524"/>
    <tableColumn id="12525" xr3:uid="{0BD8E099-17F0-4FA4-B516-4704E895E055}" name="Column12525"/>
    <tableColumn id="12526" xr3:uid="{FC7C6589-2DDB-4327-89B5-7C1D50080ABA}" name="Column12526"/>
    <tableColumn id="12527" xr3:uid="{C47E1A89-3FC6-4655-BC74-0BC6B1731DDC}" name="Column12527"/>
    <tableColumn id="12528" xr3:uid="{659349F6-2552-45E1-899E-22BEC956AC4D}" name="Column12528"/>
    <tableColumn id="12529" xr3:uid="{76553FB0-AB65-447D-BD35-D32AA8481C25}" name="Column12529"/>
    <tableColumn id="12530" xr3:uid="{9B852CD7-096E-4729-A0E6-1371A3339FAA}" name="Column12530"/>
    <tableColumn id="12531" xr3:uid="{A2A6E537-8406-4392-89BE-C84A7664B435}" name="Column12531"/>
    <tableColumn id="12532" xr3:uid="{80009E90-56DC-4DB5-9294-CCBE605FE5CE}" name="Column12532"/>
    <tableColumn id="12533" xr3:uid="{B3A82B4B-8FFA-46B9-8D66-C9E4DDE77E60}" name="Column12533"/>
    <tableColumn id="12534" xr3:uid="{61DAB0D4-F79F-4732-A5AE-0AE397CC765E}" name="Column12534"/>
    <tableColumn id="12535" xr3:uid="{04E61822-F610-47C9-AD4C-13DC3840AB4F}" name="Column12535"/>
    <tableColumn id="12536" xr3:uid="{34AF0077-4C17-4ECE-9781-BA3CA65EFB2F}" name="Column12536"/>
    <tableColumn id="12537" xr3:uid="{1A3A69F0-AE73-4222-9CF0-13FE353C99BF}" name="Column12537"/>
    <tableColumn id="12538" xr3:uid="{26EF2F4A-D391-4F46-B25E-3CC9AC6FCE0F}" name="Column12538"/>
    <tableColumn id="12539" xr3:uid="{9AAC6891-B955-4D15-891C-4B82721DE6A6}" name="Column12539"/>
    <tableColumn id="12540" xr3:uid="{F57BA6FD-0A79-4C94-B10B-30D044BB9045}" name="Column12540"/>
    <tableColumn id="12541" xr3:uid="{6F80B6E2-18AB-435D-B217-CD912AF7FF57}" name="Column12541"/>
    <tableColumn id="12542" xr3:uid="{D6F5EC8F-A4EF-4F67-BB99-E4F283745B2B}" name="Column12542"/>
    <tableColumn id="12543" xr3:uid="{F34D3082-B9DB-444B-A06A-0B7F041D3DD3}" name="Column12543"/>
    <tableColumn id="12544" xr3:uid="{3120FAC2-6D89-429A-96BD-7458614C96D0}" name="Column12544"/>
    <tableColumn id="12545" xr3:uid="{D825E3F7-592E-49AB-A581-0837C0438626}" name="Column12545"/>
    <tableColumn id="12546" xr3:uid="{9FA35546-2DDC-47AE-A4AF-E81FF644FAE0}" name="Column12546"/>
    <tableColumn id="12547" xr3:uid="{80E95CA1-6287-46D1-BB08-0A5A64529A80}" name="Column12547"/>
    <tableColumn id="12548" xr3:uid="{F8A464FB-5246-4C0A-9D9F-C3C681054F71}" name="Column12548"/>
    <tableColumn id="12549" xr3:uid="{2750498C-8929-4B4B-BB21-660D669EB353}" name="Column12549"/>
    <tableColumn id="12550" xr3:uid="{4EAC8404-0750-4C29-8980-57D54AE9DD50}" name="Column12550"/>
    <tableColumn id="12551" xr3:uid="{00306F43-CBCF-46B5-B327-BB05BD46E2D7}" name="Column12551"/>
    <tableColumn id="12552" xr3:uid="{2ADE3632-5E2F-42B3-A982-19D69E3B4C6E}" name="Column12552"/>
    <tableColumn id="12553" xr3:uid="{EFBA4E1C-3A28-4D04-835B-629697939ABE}" name="Column12553"/>
    <tableColumn id="12554" xr3:uid="{E8982636-96CE-46EF-86A0-6CF2036F4D97}" name="Column12554"/>
    <tableColumn id="12555" xr3:uid="{B171D0CF-4540-4443-BDA5-520F75C667B4}" name="Column12555"/>
    <tableColumn id="12556" xr3:uid="{CDABCE21-EBB0-42EF-8A27-6867F454081E}" name="Column12556"/>
    <tableColumn id="12557" xr3:uid="{4204881C-B2CE-4450-9340-E1177DF12FC8}" name="Column12557"/>
    <tableColumn id="12558" xr3:uid="{83A68217-9B65-442C-933D-327FE1C82018}" name="Column12558"/>
    <tableColumn id="12559" xr3:uid="{01BC7628-1E1F-43A8-B819-3BF4E576565D}" name="Column12559"/>
    <tableColumn id="12560" xr3:uid="{9F2FC55F-9E59-4137-9504-CBECE3D7CF97}" name="Column12560"/>
    <tableColumn id="12561" xr3:uid="{3991E047-F579-4543-BDB2-15047FE5399A}" name="Column12561"/>
    <tableColumn id="12562" xr3:uid="{4E541CBB-B3EA-44AF-B0CC-8860DC965E3F}" name="Column12562"/>
    <tableColumn id="12563" xr3:uid="{AEB54ED1-FFC4-45AB-B691-AD3BD51708F5}" name="Column12563"/>
    <tableColumn id="12564" xr3:uid="{3758B4A7-5742-4839-9802-B8A875E91AEF}" name="Column12564"/>
    <tableColumn id="12565" xr3:uid="{BE881D8C-92A0-4EAE-9FE5-2A2216C5125D}" name="Column12565"/>
    <tableColumn id="12566" xr3:uid="{3E179E54-EEA2-4A93-99E0-3DB2506B1240}" name="Column12566"/>
    <tableColumn id="12567" xr3:uid="{51AC7066-2A34-4757-A4EE-6943513CF2AE}" name="Column12567"/>
    <tableColumn id="12568" xr3:uid="{7B48FE32-9494-442A-9611-52054A1D9889}" name="Column12568"/>
    <tableColumn id="12569" xr3:uid="{8F018FC6-D4FC-4F7E-9510-4048411EED81}" name="Column12569"/>
    <tableColumn id="12570" xr3:uid="{7EBB9777-9F6E-4EEC-BDDF-1498494B33FA}" name="Column12570"/>
    <tableColumn id="12571" xr3:uid="{24EC70F9-EEE0-4D39-B7CF-B0AD48D736E7}" name="Column12571"/>
    <tableColumn id="12572" xr3:uid="{6E566834-8A84-4FAA-9352-CCEA3E0F8AC3}" name="Column12572"/>
    <tableColumn id="12573" xr3:uid="{C9EA9781-104E-4219-A8D9-290C12D3DA74}" name="Column12573"/>
    <tableColumn id="12574" xr3:uid="{4EB73856-C274-4ACD-8A8D-899E9FC8A2C0}" name="Column12574"/>
    <tableColumn id="12575" xr3:uid="{BC5DCF93-9D76-42BD-B1CC-FC3039563EAC}" name="Column12575"/>
    <tableColumn id="12576" xr3:uid="{85653446-FC6D-47BA-82CF-14D63E68EF43}" name="Column12576"/>
    <tableColumn id="12577" xr3:uid="{727A5BF8-A6CF-41E7-A9EA-44F9221E32E9}" name="Column12577"/>
    <tableColumn id="12578" xr3:uid="{B346F791-3C2D-46DF-BD4F-5ABB1DC5623D}" name="Column12578"/>
    <tableColumn id="12579" xr3:uid="{C239A70E-E5B1-46AE-8588-6E1C1318580E}" name="Column12579"/>
    <tableColumn id="12580" xr3:uid="{B5F821CF-FB66-49E4-B82D-0223E78B112D}" name="Column12580"/>
    <tableColumn id="12581" xr3:uid="{43907810-71CC-44A6-BCE3-FC8D4CBA4266}" name="Column12581"/>
    <tableColumn id="12582" xr3:uid="{4F12E483-E08A-4739-A12D-D0F747E28DEE}" name="Column12582"/>
    <tableColumn id="12583" xr3:uid="{93A42FD9-A9FB-4673-8A5F-27897BCD5C94}" name="Column12583"/>
    <tableColumn id="12584" xr3:uid="{DC9FFEE5-D170-4606-96FE-D5090367FEBA}" name="Column12584"/>
    <tableColumn id="12585" xr3:uid="{80B7D731-5902-4EFA-BF34-F678FE5576C4}" name="Column12585"/>
    <tableColumn id="12586" xr3:uid="{D2B997B8-8ECC-47B4-90CB-CF004978D12D}" name="Column12586"/>
    <tableColumn id="12587" xr3:uid="{AE2EF073-106A-426F-BC81-04A014C198DC}" name="Column12587"/>
    <tableColumn id="12588" xr3:uid="{94552725-A932-47DB-B5BF-F33553B00391}" name="Column12588"/>
    <tableColumn id="12589" xr3:uid="{07BEFC2D-3FD2-4A49-8804-B3114F68F2B4}" name="Column12589"/>
    <tableColumn id="12590" xr3:uid="{8B090965-F76A-45CD-B4C5-DB92617A7C7E}" name="Column12590"/>
    <tableColumn id="12591" xr3:uid="{8DE32DDE-BA1D-48FF-BCF5-D8E90ED56635}" name="Column12591"/>
    <tableColumn id="12592" xr3:uid="{F2AE8761-C71F-48A7-8CCB-139DB06A2DAA}" name="Column12592"/>
    <tableColumn id="12593" xr3:uid="{B5D3F3AD-1404-4645-BD69-87692DA74099}" name="Column12593"/>
    <tableColumn id="12594" xr3:uid="{E894B1E1-13C6-48E8-9A09-81074183EE82}" name="Column12594"/>
    <tableColumn id="12595" xr3:uid="{9521D863-BD2C-4BAC-A3F6-311BB7BC933F}" name="Column12595"/>
    <tableColumn id="12596" xr3:uid="{C8FA840E-09E0-4754-B28E-8DBB6B0D03B1}" name="Column12596"/>
    <tableColumn id="12597" xr3:uid="{639834B9-B4E0-41B6-B3A2-171B0677227D}" name="Column12597"/>
    <tableColumn id="12598" xr3:uid="{E3B97B5B-2A6C-4EAE-9B90-68B1F8B29455}" name="Column12598"/>
    <tableColumn id="12599" xr3:uid="{BC59756F-3A94-450F-8C60-3CC7A0BA008D}" name="Column12599"/>
    <tableColumn id="12600" xr3:uid="{06BE417F-60D0-4404-9251-092F61DBD1B4}" name="Column12600"/>
    <tableColumn id="12601" xr3:uid="{3CF39DC2-F45B-4BB2-92D2-838DBC1EB502}" name="Column12601"/>
    <tableColumn id="12602" xr3:uid="{010D0179-17BC-4C14-B252-7A1820AACE0C}" name="Column12602"/>
    <tableColumn id="12603" xr3:uid="{9561FE08-901A-496C-A901-3E6EEAB7BD71}" name="Column12603"/>
    <tableColumn id="12604" xr3:uid="{60F30FF7-D3DC-4150-BC04-6DB536A5446A}" name="Column12604"/>
    <tableColumn id="12605" xr3:uid="{7A011C17-42B1-4720-8CF8-56A80C00A1AB}" name="Column12605"/>
    <tableColumn id="12606" xr3:uid="{79B35424-5E7B-41BF-87C4-6FF1C8298CB5}" name="Column12606"/>
    <tableColumn id="12607" xr3:uid="{4C2DC63A-E0C3-4360-B3C0-5F68123CCE44}" name="Column12607"/>
    <tableColumn id="12608" xr3:uid="{15DC4C2F-670D-4864-9AEC-C2C5E6C49222}" name="Column12608"/>
    <tableColumn id="12609" xr3:uid="{53BC42AF-A245-4FF4-92ED-4806450458F9}" name="Column12609"/>
    <tableColumn id="12610" xr3:uid="{76D88E4C-0446-402F-8E2E-46D4FD1A9582}" name="Column12610"/>
    <tableColumn id="12611" xr3:uid="{1843D642-E916-443F-8D03-FD9EFEF4A919}" name="Column12611"/>
    <tableColumn id="12612" xr3:uid="{F84A1BE7-1BD8-4EAF-98CD-8E44F2E822ED}" name="Column12612"/>
    <tableColumn id="12613" xr3:uid="{388D1D65-8B68-4DE3-8159-A802C49E7875}" name="Column12613"/>
    <tableColumn id="12614" xr3:uid="{57081F49-E40F-44B5-93D3-A492D668C360}" name="Column12614"/>
    <tableColumn id="12615" xr3:uid="{6A7D57F7-65E0-4AFC-B401-C94EBA747978}" name="Column12615"/>
    <tableColumn id="12616" xr3:uid="{EA82B4B2-8BB0-432D-9B59-A47169B5F3C1}" name="Column12616"/>
    <tableColumn id="12617" xr3:uid="{B9FCA823-F889-4123-90D6-266EAFD6E0EF}" name="Column12617"/>
    <tableColumn id="12618" xr3:uid="{E57F71D6-7916-471F-96CA-A3C4F1BF5914}" name="Column12618"/>
    <tableColumn id="12619" xr3:uid="{B9643556-553A-4358-A42C-BA1F807CA47A}" name="Column12619"/>
    <tableColumn id="12620" xr3:uid="{972708EE-DEEF-4250-AAC7-960091267522}" name="Column12620"/>
    <tableColumn id="12621" xr3:uid="{53D5F68B-B3E7-4583-89F2-079E69646726}" name="Column12621"/>
    <tableColumn id="12622" xr3:uid="{C27581C5-B793-4DE5-B2A2-201026C00683}" name="Column12622"/>
    <tableColumn id="12623" xr3:uid="{EAA6B82D-1C5D-4662-A1EE-7EC8297305BA}" name="Column12623"/>
    <tableColumn id="12624" xr3:uid="{4888E4B7-93F0-485E-B25F-682171C9367D}" name="Column12624"/>
    <tableColumn id="12625" xr3:uid="{3BDC6A51-CD52-4F83-8B42-BF2A011C0302}" name="Column12625"/>
    <tableColumn id="12626" xr3:uid="{E500C1A2-0411-47D6-B321-19E1047FC6A6}" name="Column12626"/>
    <tableColumn id="12627" xr3:uid="{B4E1D640-CF9C-4C61-A8FD-5CC0841FD3DB}" name="Column12627"/>
    <tableColumn id="12628" xr3:uid="{AE2D88CD-EDF5-45A4-AA18-4D7102755406}" name="Column12628"/>
    <tableColumn id="12629" xr3:uid="{B6740ACE-48BA-44FE-8551-269E43F39965}" name="Column12629"/>
    <tableColumn id="12630" xr3:uid="{03B00CF6-F5A0-4032-B359-A39237CF136F}" name="Column12630"/>
    <tableColumn id="12631" xr3:uid="{17904121-39B6-4A7E-BD74-ED2468C58D81}" name="Column12631"/>
    <tableColumn id="12632" xr3:uid="{FA5E5E2B-D7B1-4897-A9CA-8FB3D73BA7FE}" name="Column12632"/>
    <tableColumn id="12633" xr3:uid="{1F4FC2B1-33A4-4378-ABB2-01A4E8EA6C58}" name="Column12633"/>
    <tableColumn id="12634" xr3:uid="{642A8C4E-2E7B-415B-A380-3B18BCD277BD}" name="Column12634"/>
    <tableColumn id="12635" xr3:uid="{F29CDAAF-A32D-4AD0-8E88-72A1A5BF59F9}" name="Column12635"/>
    <tableColumn id="12636" xr3:uid="{0B87A714-43BA-4452-8B5D-6C290D2494B7}" name="Column12636"/>
    <tableColumn id="12637" xr3:uid="{2E69CF2E-526B-40D4-888A-652ED1AE66D7}" name="Column12637"/>
    <tableColumn id="12638" xr3:uid="{62F78596-5C01-4684-8564-0F1B5C4F185E}" name="Column12638"/>
    <tableColumn id="12639" xr3:uid="{7A533F82-D5D3-450B-9097-D2DC85A7A46E}" name="Column12639"/>
    <tableColumn id="12640" xr3:uid="{89449B0D-AA11-4BC6-A9F5-D2B23DE03A4A}" name="Column12640"/>
    <tableColumn id="12641" xr3:uid="{E66E4343-47B0-46EF-B0A9-7E338C9925A2}" name="Column12641"/>
    <tableColumn id="12642" xr3:uid="{668D6174-C635-41BD-A28C-4AD6EF27C253}" name="Column12642"/>
    <tableColumn id="12643" xr3:uid="{114B584A-288B-4604-9359-9994F3100E0B}" name="Column12643"/>
    <tableColumn id="12644" xr3:uid="{4AE21904-8242-4612-958F-7B62FA298BDF}" name="Column12644"/>
    <tableColumn id="12645" xr3:uid="{06168557-2D70-42D9-81D8-145B1209D8BF}" name="Column12645"/>
    <tableColumn id="12646" xr3:uid="{3A2ABA74-F028-4405-BCE5-C1A1BF2A1575}" name="Column12646"/>
    <tableColumn id="12647" xr3:uid="{C367C112-2E1B-492D-92A8-4EFD74E11987}" name="Column12647"/>
    <tableColumn id="12648" xr3:uid="{0C04F4FD-F4E0-4D57-A8B1-710CE805D244}" name="Column12648"/>
    <tableColumn id="12649" xr3:uid="{CBD17790-FE28-44CF-9EFB-5C4013A814B1}" name="Column12649"/>
    <tableColumn id="12650" xr3:uid="{22DD5EE0-05F6-417C-A361-8A31E9678E7E}" name="Column12650"/>
    <tableColumn id="12651" xr3:uid="{4C8F8EEB-7014-43CD-9AEF-30B2D554B9F0}" name="Column12651"/>
    <tableColumn id="12652" xr3:uid="{26656E34-08BD-4809-8590-C775B1A7B465}" name="Column12652"/>
    <tableColumn id="12653" xr3:uid="{6CADE872-38F1-4652-B2D1-7F35D2481893}" name="Column12653"/>
    <tableColumn id="12654" xr3:uid="{BB18F395-6207-48F4-8686-1353DC8FAB0F}" name="Column12654"/>
    <tableColumn id="12655" xr3:uid="{434E3AC7-7FCB-4E5E-9C72-7E860FBBEEB9}" name="Column12655"/>
    <tableColumn id="12656" xr3:uid="{A0556FEC-3EFD-4C2D-9753-74604A7A2ACA}" name="Column12656"/>
    <tableColumn id="12657" xr3:uid="{D271883F-39E3-4A99-88BF-2D07B43D0F5A}" name="Column12657"/>
    <tableColumn id="12658" xr3:uid="{575A4F0B-C315-4883-935B-5628D042AACA}" name="Column12658"/>
    <tableColumn id="12659" xr3:uid="{0BD0E396-81B4-4BD2-88FD-EBEB455A0194}" name="Column12659"/>
    <tableColumn id="12660" xr3:uid="{0FDA963C-6198-4F8C-999B-0C22F16B5CAA}" name="Column12660"/>
    <tableColumn id="12661" xr3:uid="{2E289C37-77B1-4C14-89DE-B656A96793A7}" name="Column12661"/>
    <tableColumn id="12662" xr3:uid="{D21B29F1-52E8-420D-AC86-EC55EE7D4611}" name="Column12662"/>
    <tableColumn id="12663" xr3:uid="{09906861-EDB6-46F2-B954-D655299A10F6}" name="Column12663"/>
    <tableColumn id="12664" xr3:uid="{DF1134C2-781C-4D61-9208-ABFA0F8699BD}" name="Column12664"/>
    <tableColumn id="12665" xr3:uid="{F3626C02-B211-4E74-A714-54F0AC255EF0}" name="Column12665"/>
    <tableColumn id="12666" xr3:uid="{55E72AF6-419C-4B30-B9B5-B4B96D791524}" name="Column12666"/>
    <tableColumn id="12667" xr3:uid="{DC57BD7E-71AD-4ACD-ADD2-FA2BBF03A6D6}" name="Column12667"/>
    <tableColumn id="12668" xr3:uid="{80DA7694-8525-40F7-8086-0E75ED05CD95}" name="Column12668"/>
    <tableColumn id="12669" xr3:uid="{B283944B-E225-46A9-A91A-0D5E30299411}" name="Column12669"/>
    <tableColumn id="12670" xr3:uid="{582CA4DF-8E56-49F8-A1B3-8337D7758FA2}" name="Column12670"/>
    <tableColumn id="12671" xr3:uid="{EB7AB86E-A65B-4B3F-B9F7-5F906B520D21}" name="Column12671"/>
    <tableColumn id="12672" xr3:uid="{F1B7F44C-4604-4437-B94F-7C5F0B8A3275}" name="Column12672"/>
    <tableColumn id="12673" xr3:uid="{A55622F2-2E42-469A-B40E-2162F214548C}" name="Column12673"/>
    <tableColumn id="12674" xr3:uid="{B86DCEE1-2EED-4B02-AA5D-BB1DC53CED93}" name="Column12674"/>
    <tableColumn id="12675" xr3:uid="{205851C9-6710-4411-A7FC-29E923DCFC8F}" name="Column12675"/>
    <tableColumn id="12676" xr3:uid="{B0C0A72F-B66D-4323-A861-75FAD897894B}" name="Column12676"/>
    <tableColumn id="12677" xr3:uid="{C2F52C1F-B08F-4B0D-A1C7-DC48F475BF8F}" name="Column12677"/>
    <tableColumn id="12678" xr3:uid="{4FD4B49E-7313-47B1-A6D0-9574BC968A3F}" name="Column12678"/>
    <tableColumn id="12679" xr3:uid="{1E460C70-F987-4115-8D3D-76091D9D7CD6}" name="Column12679"/>
    <tableColumn id="12680" xr3:uid="{2616CA53-3E12-4428-AE2B-F808F71C2705}" name="Column12680"/>
    <tableColumn id="12681" xr3:uid="{33186835-890F-4629-BE7B-A53DBB1B6894}" name="Column12681"/>
    <tableColumn id="12682" xr3:uid="{A8CF0093-D419-4C8A-A4D4-261376EE26E7}" name="Column12682"/>
    <tableColumn id="12683" xr3:uid="{C6B4F365-7C22-4833-B92E-7F3789417FC1}" name="Column12683"/>
    <tableColumn id="12684" xr3:uid="{33974DF6-2356-4233-BF35-C882E3C79565}" name="Column12684"/>
    <tableColumn id="12685" xr3:uid="{530E8DDB-4D3E-449D-883C-23C24A9F5D34}" name="Column12685"/>
    <tableColumn id="12686" xr3:uid="{062FA60B-B253-4BC3-BF55-ECD1F5887925}" name="Column12686"/>
    <tableColumn id="12687" xr3:uid="{FF428B68-333E-4BDF-A41D-3B40541371FC}" name="Column12687"/>
    <tableColumn id="12688" xr3:uid="{4B2FE5A4-AEFC-4FFA-A837-24D1AC0ED054}" name="Column12688"/>
    <tableColumn id="12689" xr3:uid="{63D7E559-968D-411D-875D-28BFFC1CBBC6}" name="Column12689"/>
    <tableColumn id="12690" xr3:uid="{9CC9BA04-01FA-4975-80AD-AC32EFFB1AD7}" name="Column12690"/>
    <tableColumn id="12691" xr3:uid="{F9BF238B-10D1-4CE0-A210-04C3C2417043}" name="Column12691"/>
    <tableColumn id="12692" xr3:uid="{A69C7945-BF09-4612-A6AC-78BF56B6ECAD}" name="Column12692"/>
    <tableColumn id="12693" xr3:uid="{C22F7368-9485-44D8-8DC7-AFF0EAF17B91}" name="Column12693"/>
    <tableColumn id="12694" xr3:uid="{46AA15E5-C747-4F36-87C3-6EA6C02F5DE0}" name="Column12694"/>
    <tableColumn id="12695" xr3:uid="{8AFA52CF-27E5-47B7-9C5B-103952FC1693}" name="Column12695"/>
    <tableColumn id="12696" xr3:uid="{B852A49A-0637-401F-A29F-230BCEE1A0B7}" name="Column12696"/>
    <tableColumn id="12697" xr3:uid="{E42C0E64-652F-4BEC-ADDC-A8D48EBF7A50}" name="Column12697"/>
    <tableColumn id="12698" xr3:uid="{BF48D1AA-B0BA-4965-B7C7-77F75394A50F}" name="Column12698"/>
    <tableColumn id="12699" xr3:uid="{1E059CB1-E87A-4D1D-8F3E-CDA7F1391706}" name="Column12699"/>
    <tableColumn id="12700" xr3:uid="{8A744C02-E41B-4E86-97FF-F08B13C573D1}" name="Column12700"/>
    <tableColumn id="12701" xr3:uid="{14671E8C-29DB-4BE2-8EFF-CA5253A3D328}" name="Column12701"/>
    <tableColumn id="12702" xr3:uid="{A8CA95AB-0A12-4612-956B-371F805AC6AE}" name="Column12702"/>
    <tableColumn id="12703" xr3:uid="{67176645-1630-476F-A003-18CF3A74144C}" name="Column12703"/>
    <tableColumn id="12704" xr3:uid="{26C80DB8-D641-4F45-85BF-2BF0A09E78C4}" name="Column12704"/>
    <tableColumn id="12705" xr3:uid="{2BB5B469-5025-4FB0-AC16-2723A87CD4E2}" name="Column12705"/>
    <tableColumn id="12706" xr3:uid="{68A42A75-3A13-42E7-8DD5-B613728DDF1C}" name="Column12706"/>
    <tableColumn id="12707" xr3:uid="{67DB073F-2982-4EC3-B5AA-97C1168EC8C5}" name="Column12707"/>
    <tableColumn id="12708" xr3:uid="{CACCDA5E-FBE5-4EBD-A832-9203C2E5A911}" name="Column12708"/>
    <tableColumn id="12709" xr3:uid="{088BD2BB-A013-4C2F-B17D-A9B09F51942F}" name="Column12709"/>
    <tableColumn id="12710" xr3:uid="{2BC359BB-9FE6-4CAC-B9EB-36A5454F2C30}" name="Column12710"/>
    <tableColumn id="12711" xr3:uid="{B78BB9F6-31AD-4444-B7DA-9F3D914E57CB}" name="Column12711"/>
    <tableColumn id="12712" xr3:uid="{AB6CC306-33B8-4E63-AD8E-93A2F868D690}" name="Column12712"/>
    <tableColumn id="12713" xr3:uid="{0A34A3BE-820E-4BF4-A0FF-300C12784974}" name="Column12713"/>
    <tableColumn id="12714" xr3:uid="{99AE0599-0034-45FE-8757-E00EE441D56E}" name="Column12714"/>
    <tableColumn id="12715" xr3:uid="{106089DC-B4B5-4A82-8117-EAEF4C5C5423}" name="Column12715"/>
    <tableColumn id="12716" xr3:uid="{74E930F6-AF04-400A-9FDB-FA31E8A88823}" name="Column12716"/>
    <tableColumn id="12717" xr3:uid="{D0FE2A3F-1014-4590-B3E2-59E6178C6B26}" name="Column12717"/>
    <tableColumn id="12718" xr3:uid="{F6998A5B-50AB-4167-99B9-31AD6AF85C01}" name="Column12718"/>
    <tableColumn id="12719" xr3:uid="{AC0BB026-A865-4919-8388-E3FEFCF553A5}" name="Column12719"/>
    <tableColumn id="12720" xr3:uid="{C95DDF36-A023-4B87-BB9D-B64B64E01B20}" name="Column12720"/>
    <tableColumn id="12721" xr3:uid="{2530770B-554E-4D07-94A2-2711E80387C4}" name="Column12721"/>
    <tableColumn id="12722" xr3:uid="{85E10A71-F030-4CD7-B831-C44E1D795CEC}" name="Column12722"/>
    <tableColumn id="12723" xr3:uid="{6B0DF06C-C95F-436F-978B-B3D74F94232D}" name="Column12723"/>
    <tableColumn id="12724" xr3:uid="{F332BF1D-FB6D-4858-A97D-0001C4EB0F14}" name="Column12724"/>
    <tableColumn id="12725" xr3:uid="{F252685C-E115-43C7-8852-D8E10BFD41F6}" name="Column12725"/>
    <tableColumn id="12726" xr3:uid="{DF93322B-A1A7-4B8F-9EBF-9653209916C4}" name="Column12726"/>
    <tableColumn id="12727" xr3:uid="{5D946472-24CC-4634-A90D-A84101766E57}" name="Column12727"/>
    <tableColumn id="12728" xr3:uid="{A9B8902A-37F2-45AE-B3CF-0904204C4698}" name="Column12728"/>
    <tableColumn id="12729" xr3:uid="{83599882-C1BA-4582-B7BD-303CDE3E54BE}" name="Column12729"/>
    <tableColumn id="12730" xr3:uid="{6BD231C2-2E6E-4C24-BC83-480D00A2A06D}" name="Column12730"/>
    <tableColumn id="12731" xr3:uid="{AEBBEC52-3110-49A4-8B68-614A30D535B0}" name="Column12731"/>
    <tableColumn id="12732" xr3:uid="{E284FE84-8A9E-4E5B-A3B2-E77315A00A18}" name="Column12732"/>
    <tableColumn id="12733" xr3:uid="{0961C554-3496-425E-B4DB-907FCA72F364}" name="Column12733"/>
    <tableColumn id="12734" xr3:uid="{350941CE-4414-48CD-9520-6BF32F6A032C}" name="Column12734"/>
    <tableColumn id="12735" xr3:uid="{DDA91CA9-ED21-474C-922E-0CA265778FC9}" name="Column12735"/>
    <tableColumn id="12736" xr3:uid="{2E76EEC9-CDFD-444C-8271-B270094E8C95}" name="Column12736"/>
    <tableColumn id="12737" xr3:uid="{02D1DCAF-7D88-40D4-92DE-9F9AFA6A357A}" name="Column12737"/>
    <tableColumn id="12738" xr3:uid="{95EDC790-3EB8-4114-B51D-4DD86837F2F1}" name="Column12738"/>
    <tableColumn id="12739" xr3:uid="{366D136E-D46B-447A-9A3E-C4CF7EAB44C5}" name="Column12739"/>
    <tableColumn id="12740" xr3:uid="{1923756D-F555-4D3E-BC2C-8E33490375AD}" name="Column12740"/>
    <tableColumn id="12741" xr3:uid="{E159E732-A9EE-4AF3-84F3-418DE3982F53}" name="Column12741"/>
    <tableColumn id="12742" xr3:uid="{03B85339-29C4-4699-96B3-34D926AD3BC7}" name="Column12742"/>
    <tableColumn id="12743" xr3:uid="{4241B455-E133-44E0-AC53-CA8D2473946B}" name="Column12743"/>
    <tableColumn id="12744" xr3:uid="{C3FBB91F-E65C-401D-9B7F-77F2C15EEFC7}" name="Column12744"/>
    <tableColumn id="12745" xr3:uid="{CE421A6F-8B29-4103-8701-70964A3E4ED3}" name="Column12745"/>
    <tableColumn id="12746" xr3:uid="{27BA607D-8CB1-435D-ACC6-45F40D857A9F}" name="Column12746"/>
    <tableColumn id="12747" xr3:uid="{C000AB1E-C6EE-4CF3-A50B-997483514F1C}" name="Column12747"/>
    <tableColumn id="12748" xr3:uid="{C7A0FBB7-E7D6-4198-A103-1CAFEAB9F50F}" name="Column12748"/>
    <tableColumn id="12749" xr3:uid="{F494745C-841E-4451-9CDD-AA0397C96AE8}" name="Column12749"/>
    <tableColumn id="12750" xr3:uid="{ADB91310-2103-4F78-BF4D-31FF6B49CFA8}" name="Column12750"/>
    <tableColumn id="12751" xr3:uid="{26FB1818-75F1-4094-8DCE-E085EE8A75B6}" name="Column12751"/>
    <tableColumn id="12752" xr3:uid="{9B7B6EC8-1C0D-471F-BCC6-C708279CF8D2}" name="Column12752"/>
    <tableColumn id="12753" xr3:uid="{43A9F80A-91BA-493E-9429-B4AF11F0D76A}" name="Column12753"/>
    <tableColumn id="12754" xr3:uid="{F2C0D569-6067-4B42-B9F0-BE2F167108CF}" name="Column12754"/>
    <tableColumn id="12755" xr3:uid="{2D4DD4DC-AD22-4DF1-BE23-92396030E229}" name="Column12755"/>
    <tableColumn id="12756" xr3:uid="{D26B3E6C-803F-48FE-B4DF-B88E88B18541}" name="Column12756"/>
    <tableColumn id="12757" xr3:uid="{334E44B9-4702-479E-A996-FE6A6E344E4C}" name="Column12757"/>
    <tableColumn id="12758" xr3:uid="{57F67F52-F3A5-43F3-A6BB-0495C402D66E}" name="Column12758"/>
    <tableColumn id="12759" xr3:uid="{FD297D7F-0048-4258-A920-C32A058C79E9}" name="Column12759"/>
    <tableColumn id="12760" xr3:uid="{90E9E7DA-B282-465D-BDD7-1AFF81C25D25}" name="Column12760"/>
    <tableColumn id="12761" xr3:uid="{2E720E0D-7768-4D91-AA49-EFFB0B415F27}" name="Column12761"/>
    <tableColumn id="12762" xr3:uid="{6CBF80EA-B099-4091-9FDC-78C35ADE777F}" name="Column12762"/>
    <tableColumn id="12763" xr3:uid="{D08100DD-2B95-41C2-B028-0CFF31CF5EF7}" name="Column12763"/>
    <tableColumn id="12764" xr3:uid="{7C4F69CC-F7EB-4BD9-84F6-4B21A62D6B45}" name="Column12764"/>
    <tableColumn id="12765" xr3:uid="{1078BAC6-273C-4CD0-9225-96FD96021C85}" name="Column12765"/>
    <tableColumn id="12766" xr3:uid="{CEBC47D4-8647-4B7F-BACD-4C5984C8F604}" name="Column12766"/>
    <tableColumn id="12767" xr3:uid="{D7A662FA-43C8-4EC1-95D4-EECADD354D91}" name="Column12767"/>
    <tableColumn id="12768" xr3:uid="{60BC4F83-6A31-45F0-AA50-F4F7F8E2D253}" name="Column12768"/>
    <tableColumn id="12769" xr3:uid="{A01D055D-D39B-4931-93BE-55063F14359E}" name="Column12769"/>
    <tableColumn id="12770" xr3:uid="{B6A3D216-700B-4C6C-8F34-6B1BB36B887D}" name="Column12770"/>
    <tableColumn id="12771" xr3:uid="{38D8E7A6-335B-4822-91CF-A96226A9016E}" name="Column12771"/>
    <tableColumn id="12772" xr3:uid="{CB7660FC-8A3E-45F5-8F4D-2BB91A3EDA32}" name="Column12772"/>
    <tableColumn id="12773" xr3:uid="{B4A0A5BF-260C-4509-AD09-18A35207746A}" name="Column12773"/>
    <tableColumn id="12774" xr3:uid="{FE1CC5DB-1AE1-4D7C-B795-D3F2A8F05BE1}" name="Column12774"/>
    <tableColumn id="12775" xr3:uid="{81D39660-3426-4579-8A36-1D8068997AA1}" name="Column12775"/>
    <tableColumn id="12776" xr3:uid="{9C736552-F8EF-477E-BE12-18A6DC01E792}" name="Column12776"/>
    <tableColumn id="12777" xr3:uid="{71E7E139-BBE0-4CBE-ACBA-CE06CD8EA89D}" name="Column12777"/>
    <tableColumn id="12778" xr3:uid="{30F94EF3-8F97-49E8-816A-001BBE661E43}" name="Column12778"/>
    <tableColumn id="12779" xr3:uid="{EE76254F-2BEF-4EE5-9079-1618042464AB}" name="Column12779"/>
    <tableColumn id="12780" xr3:uid="{FF5F0088-72A0-476E-855A-97253F71964A}" name="Column12780"/>
    <tableColumn id="12781" xr3:uid="{97F81BDB-DDA0-48DE-B746-19ABE2E111CA}" name="Column12781"/>
    <tableColumn id="12782" xr3:uid="{D7EA902D-6766-4380-9C89-BAB4A45185A2}" name="Column12782"/>
    <tableColumn id="12783" xr3:uid="{5C61C93C-D022-4D57-803E-B838EAEB6742}" name="Column12783"/>
    <tableColumn id="12784" xr3:uid="{C55BC9EA-870A-46B9-AD92-88EEBAC93C25}" name="Column12784"/>
    <tableColumn id="12785" xr3:uid="{2090F817-4145-4164-9F12-C9B8E5FC0103}" name="Column12785"/>
    <tableColumn id="12786" xr3:uid="{7D244F4A-E1E0-4B59-8763-98029EFD0108}" name="Column12786"/>
    <tableColumn id="12787" xr3:uid="{022C6FD7-AF7E-4105-B35D-FE52553CA5D7}" name="Column12787"/>
    <tableColumn id="12788" xr3:uid="{F9708A92-1163-467D-AEC2-E9FA811D0CC9}" name="Column12788"/>
    <tableColumn id="12789" xr3:uid="{B9044B10-5BC4-4D4F-8540-7A6E11671060}" name="Column12789"/>
    <tableColumn id="12790" xr3:uid="{3885A1FC-F5AD-4DFD-BC61-622DD79E79AD}" name="Column12790"/>
    <tableColumn id="12791" xr3:uid="{C756A214-9E12-4A1F-86FB-16624F44BC2B}" name="Column12791"/>
    <tableColumn id="12792" xr3:uid="{31E86EB0-FB09-4AA5-BBD0-F84175F519DF}" name="Column12792"/>
    <tableColumn id="12793" xr3:uid="{942E4306-8F92-47DB-975B-F86E543D470C}" name="Column12793"/>
    <tableColumn id="12794" xr3:uid="{C92ADA78-DFF2-452A-820B-170569C675C3}" name="Column12794"/>
    <tableColumn id="12795" xr3:uid="{32797FB7-A368-4CCE-AD86-235C30A70BCB}" name="Column12795"/>
    <tableColumn id="12796" xr3:uid="{333A1A38-6E1D-4B4D-A4F8-39DDEE508CB7}" name="Column12796"/>
    <tableColumn id="12797" xr3:uid="{AE11ACB4-D482-4865-B4C6-A24B4EC89441}" name="Column12797"/>
    <tableColumn id="12798" xr3:uid="{8C7B6BCE-F0A8-4A36-A080-335734E21F9E}" name="Column12798"/>
    <tableColumn id="12799" xr3:uid="{1A64AC72-0DDB-4482-9F1F-D684B17E8889}" name="Column12799"/>
    <tableColumn id="12800" xr3:uid="{A382259E-47A3-44F6-B4E1-F4F1D8D655B6}" name="Column12800"/>
    <tableColumn id="12801" xr3:uid="{AD6C4F2E-4209-489C-9194-7DEECA3C4652}" name="Column12801"/>
    <tableColumn id="12802" xr3:uid="{8E53D854-CA3A-4AED-809F-C9EC717EDEC4}" name="Column12802"/>
    <tableColumn id="12803" xr3:uid="{03FFB088-CDB6-4189-AF0A-75CE71881D46}" name="Column12803"/>
    <tableColumn id="12804" xr3:uid="{563818F0-7686-419F-B244-79EF51463450}" name="Column12804"/>
    <tableColumn id="12805" xr3:uid="{8FDA0432-E09D-4E38-8965-118A14A98AB8}" name="Column12805"/>
    <tableColumn id="12806" xr3:uid="{1CD647A0-BE04-4501-9C38-C97A8337061A}" name="Column12806"/>
    <tableColumn id="12807" xr3:uid="{A905999A-B6C7-4924-9FD0-EA52E4C3882A}" name="Column12807"/>
    <tableColumn id="12808" xr3:uid="{048B8316-4109-4135-94EA-0CB06722C8B9}" name="Column12808"/>
    <tableColumn id="12809" xr3:uid="{A795315C-2336-494F-80BD-FA54D6C7F690}" name="Column12809"/>
    <tableColumn id="12810" xr3:uid="{F8E8A490-0290-4451-9992-1B3FA96FC3C0}" name="Column12810"/>
    <tableColumn id="12811" xr3:uid="{6B4FB6D1-D04E-4AFD-9253-6BC5987504D7}" name="Column12811"/>
    <tableColumn id="12812" xr3:uid="{EB09B2F7-0B08-4CBA-9320-7A6FDB1C3D7E}" name="Column12812"/>
    <tableColumn id="12813" xr3:uid="{5DA7269A-CC78-4145-ACFE-C7391AB9AD35}" name="Column12813"/>
    <tableColumn id="12814" xr3:uid="{DF231C08-9548-4F88-8BFB-24D284017A3C}" name="Column12814"/>
    <tableColumn id="12815" xr3:uid="{C129C0EE-AB42-46B6-B67B-3B8AEA5A1B74}" name="Column12815"/>
    <tableColumn id="12816" xr3:uid="{1BAB28D5-A034-4A46-8249-876259B75653}" name="Column12816"/>
    <tableColumn id="12817" xr3:uid="{E4C78A33-9AE5-476A-839E-0D4735363726}" name="Column12817"/>
    <tableColumn id="12818" xr3:uid="{63D05328-B13E-4C19-805C-0512D580FCC3}" name="Column12818"/>
    <tableColumn id="12819" xr3:uid="{FE599C85-03B9-468B-B56E-D98ED1BB8773}" name="Column12819"/>
    <tableColumn id="12820" xr3:uid="{4383C63D-9EA1-45A1-8145-00BA242A6755}" name="Column12820"/>
    <tableColumn id="12821" xr3:uid="{B725CF7F-8891-419B-B983-E3AA66FECF49}" name="Column12821"/>
    <tableColumn id="12822" xr3:uid="{AFE9293A-C294-49DE-94A4-2E805A2B4C0C}" name="Column12822"/>
    <tableColumn id="12823" xr3:uid="{82F6DB49-5DAF-47BE-84EF-D39CC047332A}" name="Column12823"/>
    <tableColumn id="12824" xr3:uid="{2A2AA621-44A0-4F4B-94EE-0AEA20F5591B}" name="Column12824"/>
    <tableColumn id="12825" xr3:uid="{05B665C1-241F-41EE-9B35-90464DE44AEB}" name="Column12825"/>
    <tableColumn id="12826" xr3:uid="{AD181529-3DBE-4CA1-8361-E4421604FC3C}" name="Column12826"/>
    <tableColumn id="12827" xr3:uid="{29E35E76-1E15-4E0E-BFA9-62E585FCB040}" name="Column12827"/>
    <tableColumn id="12828" xr3:uid="{BBAFC16F-1DA6-418A-8211-E9CA275715D0}" name="Column12828"/>
    <tableColumn id="12829" xr3:uid="{6A185A7C-E930-4DB2-BFEC-65BE9F053B5F}" name="Column12829"/>
    <tableColumn id="12830" xr3:uid="{CD665B1F-59BD-47C2-9993-A186C0D6BD4E}" name="Column12830"/>
    <tableColumn id="12831" xr3:uid="{29DE0542-1883-41CA-9E4A-D7B72E9DB739}" name="Column12831"/>
    <tableColumn id="12832" xr3:uid="{7CA8A7C9-1A4F-40B6-9E4C-63CF132C9667}" name="Column12832"/>
    <tableColumn id="12833" xr3:uid="{AA362501-A427-49FC-91CE-A8AFC14346E5}" name="Column12833"/>
    <tableColumn id="12834" xr3:uid="{B7051FE7-DFF4-478C-AADC-AB815C39E3C9}" name="Column12834"/>
    <tableColumn id="12835" xr3:uid="{F0C1AB0E-7A9C-4D3F-B8A5-70DA2D496BAA}" name="Column12835"/>
    <tableColumn id="12836" xr3:uid="{99B06187-1CD5-4029-92BB-176A19721DD5}" name="Column12836"/>
    <tableColumn id="12837" xr3:uid="{36956627-A704-4AC9-8C83-9F7E8EE39257}" name="Column12837"/>
    <tableColumn id="12838" xr3:uid="{4F138EBD-1901-4E8E-A478-C89A80E0A4F6}" name="Column12838"/>
    <tableColumn id="12839" xr3:uid="{8E8C39D6-7CE4-48EA-A7F2-FEACAAE44ACD}" name="Column12839"/>
    <tableColumn id="12840" xr3:uid="{EF55648D-555F-4533-8699-C90984BA1D54}" name="Column12840"/>
    <tableColumn id="12841" xr3:uid="{FC284ABB-6FF9-4653-A183-1BCB8D8883D4}" name="Column12841"/>
    <tableColumn id="12842" xr3:uid="{665EDD06-DF9F-4FF6-B836-18AD426591F4}" name="Column12842"/>
    <tableColumn id="12843" xr3:uid="{0E451C2A-0EDD-4B82-B483-85EDE9C1DAC2}" name="Column12843"/>
    <tableColumn id="12844" xr3:uid="{53EF66CE-1D38-4B7A-8945-5FCAFD33E5F2}" name="Column12844"/>
    <tableColumn id="12845" xr3:uid="{4785D59C-2AF4-494F-A6FC-2B5E0CC87FD6}" name="Column12845"/>
    <tableColumn id="12846" xr3:uid="{848513CE-3309-46DB-9972-A591A75B947D}" name="Column12846"/>
    <tableColumn id="12847" xr3:uid="{729B7489-FE1F-45E9-806E-A9B0EEC78753}" name="Column12847"/>
    <tableColumn id="12848" xr3:uid="{E465F9A5-CCAB-4556-8EBF-E7F0AE6CAEBF}" name="Column12848"/>
    <tableColumn id="12849" xr3:uid="{7F94FC52-D658-4144-88E0-0D58122E01A1}" name="Column12849"/>
    <tableColumn id="12850" xr3:uid="{2A67CC8B-619D-491F-AF96-7461010F2C0C}" name="Column12850"/>
    <tableColumn id="12851" xr3:uid="{CA68513D-5A34-4A94-BCFB-9937AEC5A937}" name="Column12851"/>
    <tableColumn id="12852" xr3:uid="{78C4A717-3369-440B-8905-1D8489BBF46E}" name="Column12852"/>
    <tableColumn id="12853" xr3:uid="{27C3A9DB-A45E-4778-8F08-BD3184F9ABDA}" name="Column12853"/>
    <tableColumn id="12854" xr3:uid="{ABE105BC-CF99-46CB-B3AD-7803202CC95B}" name="Column12854"/>
    <tableColumn id="12855" xr3:uid="{75E6BC82-B8EA-4290-A539-1B82888B8DF7}" name="Column12855"/>
    <tableColumn id="12856" xr3:uid="{0AE275AC-2444-4965-A6F8-2228B980117C}" name="Column12856"/>
    <tableColumn id="12857" xr3:uid="{07F3F9F1-2402-4347-B4E5-C05E30E4439E}" name="Column12857"/>
    <tableColumn id="12858" xr3:uid="{6E37D226-BF62-4E97-A9A4-F342ED758FB8}" name="Column12858"/>
    <tableColumn id="12859" xr3:uid="{C7BA3ECD-611E-405B-9204-6ED8A0742C75}" name="Column12859"/>
    <tableColumn id="12860" xr3:uid="{A90DF25E-D1F6-483B-BD68-541ED8554527}" name="Column12860"/>
    <tableColumn id="12861" xr3:uid="{1D1ECCB2-FB99-4438-BC9A-0BCE3EE9016C}" name="Column12861"/>
    <tableColumn id="12862" xr3:uid="{6E0D3D3F-BBC6-4F7A-BE53-B8912FED0D69}" name="Column12862"/>
    <tableColumn id="12863" xr3:uid="{FC8B0E82-D452-4CE8-B86B-81B7C8593FF0}" name="Column12863"/>
    <tableColumn id="12864" xr3:uid="{7A5564A4-8056-456F-97BA-DA6AE58A2F73}" name="Column12864"/>
    <tableColumn id="12865" xr3:uid="{1AA3C266-6C02-46B9-A889-FC27F575867E}" name="Column12865"/>
    <tableColumn id="12866" xr3:uid="{7A9173A2-7838-42A4-9396-CA494A3466AC}" name="Column12866"/>
    <tableColumn id="12867" xr3:uid="{4A280080-6D6E-4BB0-BC96-CF769E8D0EB5}" name="Column12867"/>
    <tableColumn id="12868" xr3:uid="{53FDEEE8-4710-4228-A01F-72A3B2E51C96}" name="Column12868"/>
    <tableColumn id="12869" xr3:uid="{410B624F-19ED-4CF0-9BD1-333B8610EB75}" name="Column12869"/>
    <tableColumn id="12870" xr3:uid="{6B0D95C6-A0D4-477C-A390-9A8A5BC59F48}" name="Column12870"/>
    <tableColumn id="12871" xr3:uid="{BA655616-FA04-4D8E-85E4-00B3DF8F9CEA}" name="Column12871"/>
    <tableColumn id="12872" xr3:uid="{87B9B2EC-DAC7-4CCB-9C30-BC374DE21FFE}" name="Column12872"/>
    <tableColumn id="12873" xr3:uid="{8B35639A-9AB9-43F3-8CF9-7814127C8BB8}" name="Column12873"/>
    <tableColumn id="12874" xr3:uid="{214C5C8B-9200-4A10-AE52-DCE3FF37E07F}" name="Column12874"/>
    <tableColumn id="12875" xr3:uid="{95FE32C7-9FEE-405E-90A7-F344816E5DE4}" name="Column12875"/>
    <tableColumn id="12876" xr3:uid="{20AD0E78-4D9D-4582-8E08-BEAB2FCFAA5A}" name="Column12876"/>
    <tableColumn id="12877" xr3:uid="{9EDA8566-5F20-4DF9-B1D8-6BCE93EC9F55}" name="Column12877"/>
    <tableColumn id="12878" xr3:uid="{3B828274-0C09-4D2A-8563-8948B4D9285F}" name="Column12878"/>
    <tableColumn id="12879" xr3:uid="{CAB6AF08-BE11-4BFA-8E65-C44A9A57310F}" name="Column12879"/>
    <tableColumn id="12880" xr3:uid="{4CEAF47C-0152-4E0F-B409-D0E4E4873372}" name="Column12880"/>
    <tableColumn id="12881" xr3:uid="{83494E12-574B-4EFC-8814-958551441082}" name="Column12881"/>
    <tableColumn id="12882" xr3:uid="{D8B8E166-B767-4E6E-9D00-DB93C35EAA72}" name="Column12882"/>
    <tableColumn id="12883" xr3:uid="{C416FB95-F127-4D72-8BF9-97E824DDFB9F}" name="Column12883"/>
    <tableColumn id="12884" xr3:uid="{D9681FE6-D46E-40B7-8F18-03120A7FEAED}" name="Column12884"/>
    <tableColumn id="12885" xr3:uid="{D945E8BA-D131-43DA-95CE-D7EA26149B58}" name="Column12885"/>
    <tableColumn id="12886" xr3:uid="{EB5E13DA-1000-49DB-A148-55BEEE5D16AE}" name="Column12886"/>
    <tableColumn id="12887" xr3:uid="{87690A0A-079F-47F8-B766-4E6F05722578}" name="Column12887"/>
    <tableColumn id="12888" xr3:uid="{9DBC2BFA-6657-4344-9436-DEA0251D2AFF}" name="Column12888"/>
    <tableColumn id="12889" xr3:uid="{DB497568-DD65-4421-9011-64E67B2AB22B}" name="Column12889"/>
    <tableColumn id="12890" xr3:uid="{D5B4C003-725E-4F15-BFF6-C260060F2F98}" name="Column12890"/>
    <tableColumn id="12891" xr3:uid="{E6D6133D-767B-4EC5-A3DA-0A5E150F8CF4}" name="Column12891"/>
    <tableColumn id="12892" xr3:uid="{50B5D085-4262-4EC9-95F1-A98BDBD05F80}" name="Column12892"/>
    <tableColumn id="12893" xr3:uid="{837FD72D-1837-46A1-B193-6B5F24765C4A}" name="Column12893"/>
    <tableColumn id="12894" xr3:uid="{6930DCD6-4CAB-463E-A5B0-A9820D0FEE1B}" name="Column12894"/>
    <tableColumn id="12895" xr3:uid="{BDF242A9-E1E5-446C-8B81-5EF59E0E3E38}" name="Column12895"/>
    <tableColumn id="12896" xr3:uid="{434D1387-2767-45A2-B3C9-D4507244AA6C}" name="Column12896"/>
    <tableColumn id="12897" xr3:uid="{D03AD431-BEBE-45F4-B461-BB074CCCD2D8}" name="Column12897"/>
    <tableColumn id="12898" xr3:uid="{6E9F00D0-5067-45A8-8265-F46D89C3759B}" name="Column12898"/>
    <tableColumn id="12899" xr3:uid="{7FC302FB-601B-45C8-A24F-7964417C1EC8}" name="Column12899"/>
    <tableColumn id="12900" xr3:uid="{59410DB3-A7A7-489C-BB2F-A7D554E346A0}" name="Column12900"/>
    <tableColumn id="12901" xr3:uid="{37B1A4D5-94E4-4E62-BF26-1EBEB4CD9F94}" name="Column12901"/>
    <tableColumn id="12902" xr3:uid="{3D17103E-8FB9-4A99-85D8-246D3C67E299}" name="Column12902"/>
    <tableColumn id="12903" xr3:uid="{E45E5600-C182-42F7-B2C1-F5D6F6817EFA}" name="Column12903"/>
    <tableColumn id="12904" xr3:uid="{C3EEA1E5-C78F-444A-897F-A26EA731AB06}" name="Column12904"/>
    <tableColumn id="12905" xr3:uid="{D3FB027B-F675-4258-A9DD-FEA26BC4650A}" name="Column12905"/>
    <tableColumn id="12906" xr3:uid="{E4CF8EE0-B962-4AE8-A7CF-52472C0BC862}" name="Column12906"/>
    <tableColumn id="12907" xr3:uid="{8660705E-CA2F-44DE-8D45-C94D8B7628FC}" name="Column12907"/>
    <tableColumn id="12908" xr3:uid="{3951E789-9F3F-4E77-BBCD-5FAA5F208DDA}" name="Column12908"/>
    <tableColumn id="12909" xr3:uid="{4E52455B-17D6-455D-B20D-26D9FC8CC69E}" name="Column12909"/>
    <tableColumn id="12910" xr3:uid="{6CE0C53A-3C08-476E-A5D2-601BEE519C8E}" name="Column12910"/>
    <tableColumn id="12911" xr3:uid="{B057A9DB-EC6F-4929-A035-D1FD4AE76C60}" name="Column12911"/>
    <tableColumn id="12912" xr3:uid="{D8982529-FF94-4569-A6D8-A9BF0581AA1F}" name="Column12912"/>
    <tableColumn id="12913" xr3:uid="{1880AC05-F096-4349-BE65-7FB513F3C467}" name="Column12913"/>
    <tableColumn id="12914" xr3:uid="{3F2DB911-FE7B-477A-B0B3-D2D0D54C5415}" name="Column12914"/>
    <tableColumn id="12915" xr3:uid="{989CC836-8007-415F-90BC-EB7B4697E51F}" name="Column12915"/>
    <tableColumn id="12916" xr3:uid="{EB4E7DB6-E687-43D4-8448-73B9DA5D68FE}" name="Column12916"/>
    <tableColumn id="12917" xr3:uid="{344D1612-9F31-428D-AF01-697D737AF619}" name="Column12917"/>
    <tableColumn id="12918" xr3:uid="{D807B342-AF5B-42E8-ABF4-C061AA3F2CEB}" name="Column12918"/>
    <tableColumn id="12919" xr3:uid="{89842096-315A-49FC-B166-20DA652F699A}" name="Column12919"/>
    <tableColumn id="12920" xr3:uid="{B84BF6BB-D2CA-43A1-B325-3A342DE1B0B2}" name="Column12920"/>
    <tableColumn id="12921" xr3:uid="{E507217B-D2F9-4403-916C-AF2E9D7CA0A3}" name="Column12921"/>
    <tableColumn id="12922" xr3:uid="{2D0C2760-AEBB-4B9F-B480-4351BCE6D88E}" name="Column12922"/>
    <tableColumn id="12923" xr3:uid="{80EDD5DE-2B29-4ECE-83A3-D2BD7B88F4CE}" name="Column12923"/>
    <tableColumn id="12924" xr3:uid="{7BE97F6D-1864-4B76-9EC0-7BC80B5EFD16}" name="Column12924"/>
    <tableColumn id="12925" xr3:uid="{C37A077F-9AC4-4D0B-AD3A-D65266E4E84C}" name="Column12925"/>
    <tableColumn id="12926" xr3:uid="{CF90F248-D819-4D76-942F-F7CD73D2F0F5}" name="Column12926"/>
    <tableColumn id="12927" xr3:uid="{D27C6053-910C-4C76-83F7-C18581E3D3E1}" name="Column12927"/>
    <tableColumn id="12928" xr3:uid="{3BB2BBF1-4432-420F-8C00-D876A88097AE}" name="Column12928"/>
    <tableColumn id="12929" xr3:uid="{07ABE93A-ED5B-4646-B94B-4CD96232D601}" name="Column12929"/>
    <tableColumn id="12930" xr3:uid="{1B0C1139-A821-4C2A-9690-3B68854112BC}" name="Column12930"/>
    <tableColumn id="12931" xr3:uid="{BF0239BA-1226-4B58-973A-3B9D049E96B5}" name="Column12931"/>
    <tableColumn id="12932" xr3:uid="{059FA767-7DA2-446F-B445-E34BE953B9B0}" name="Column12932"/>
    <tableColumn id="12933" xr3:uid="{A0F44739-4838-49DB-A9BE-0597191CB59C}" name="Column12933"/>
    <tableColumn id="12934" xr3:uid="{02D08B0A-6035-4649-9A2C-321891607D5C}" name="Column12934"/>
    <tableColumn id="12935" xr3:uid="{96A82BBD-8926-402D-878F-00B125C20407}" name="Column12935"/>
    <tableColumn id="12936" xr3:uid="{8365C1A1-8B19-4717-9409-344007814944}" name="Column12936"/>
    <tableColumn id="12937" xr3:uid="{893C7104-4A5E-4C52-9476-DB92EDC3597D}" name="Column12937"/>
    <tableColumn id="12938" xr3:uid="{68B3241B-830D-490A-B85F-CD317377FCD8}" name="Column12938"/>
    <tableColumn id="12939" xr3:uid="{E6B3DB7D-1621-4423-A725-5A3D7F35E326}" name="Column12939"/>
    <tableColumn id="12940" xr3:uid="{BD3C7F9C-ED81-44AC-A66F-4CAA4A63BF14}" name="Column12940"/>
    <tableColumn id="12941" xr3:uid="{012F3771-3E97-4B6E-A62C-153264890F68}" name="Column12941"/>
    <tableColumn id="12942" xr3:uid="{F101B5DA-CA0B-4D5B-8161-BCC4F2A1329B}" name="Column12942"/>
    <tableColumn id="12943" xr3:uid="{1F45B5F0-0403-4D49-A713-F366851E43EA}" name="Column12943"/>
    <tableColumn id="12944" xr3:uid="{0422CC6A-7A6E-4C95-983A-309DE417DB07}" name="Column12944"/>
    <tableColumn id="12945" xr3:uid="{146F8D8F-640D-410F-B74F-9CE5866C2646}" name="Column12945"/>
    <tableColumn id="12946" xr3:uid="{2C30B64C-B40B-4FBC-9779-1095937C5DD4}" name="Column12946"/>
    <tableColumn id="12947" xr3:uid="{34F4E428-0CBC-4743-B411-1833C202F19F}" name="Column12947"/>
    <tableColumn id="12948" xr3:uid="{A9562E8D-F7EF-478B-BDCB-9771720D9F1F}" name="Column12948"/>
    <tableColumn id="12949" xr3:uid="{531887D1-53AE-4CA3-9EDC-7AB44E5A1694}" name="Column12949"/>
    <tableColumn id="12950" xr3:uid="{5F9AEBE3-A2DD-4752-8D12-0E74A776FB8B}" name="Column12950"/>
    <tableColumn id="12951" xr3:uid="{79E4F4F2-1710-438D-941F-1F806750F2C3}" name="Column12951"/>
    <tableColumn id="12952" xr3:uid="{ABEE57EF-8D6B-4FD6-AB24-D4AB4FC25ABF}" name="Column12952"/>
    <tableColumn id="12953" xr3:uid="{992C1F08-7F94-4456-A1C6-7F4CF5E376C8}" name="Column12953"/>
    <tableColumn id="12954" xr3:uid="{831916DD-40F8-48B3-AE81-0EF6E667FA40}" name="Column12954"/>
    <tableColumn id="12955" xr3:uid="{FF4EB78B-DB05-417E-926B-D4250474B60A}" name="Column12955"/>
    <tableColumn id="12956" xr3:uid="{813E642B-5707-4071-8EC2-FF0386C01187}" name="Column12956"/>
    <tableColumn id="12957" xr3:uid="{D1B466D2-5F1C-4959-AF54-5E2A4953F7E6}" name="Column12957"/>
    <tableColumn id="12958" xr3:uid="{9B4CDA6D-657C-4C44-A7C9-4E8FF30558C5}" name="Column12958"/>
    <tableColumn id="12959" xr3:uid="{11C273CB-2B89-42FE-9081-39AED2F51D2A}" name="Column12959"/>
    <tableColumn id="12960" xr3:uid="{B4139B31-FDB3-4E28-8CB2-BAD413311B4A}" name="Column12960"/>
    <tableColumn id="12961" xr3:uid="{1250DE18-9773-4F18-AFB8-8DEAF9B9EB57}" name="Column12961"/>
    <tableColumn id="12962" xr3:uid="{B28DEA5A-73BD-46BA-9CAD-356AE8E85C13}" name="Column12962"/>
    <tableColumn id="12963" xr3:uid="{A5BAE6BB-8C42-41B5-A2BE-90E28B030BB6}" name="Column12963"/>
    <tableColumn id="12964" xr3:uid="{B7254D24-408A-4064-9F53-5B86BEDF31D1}" name="Column12964"/>
    <tableColumn id="12965" xr3:uid="{522D043D-D2BE-46A7-8F76-50E05CB63939}" name="Column12965"/>
    <tableColumn id="12966" xr3:uid="{31157BA9-5FD2-4BD9-968B-FF05BB77577C}" name="Column12966"/>
    <tableColumn id="12967" xr3:uid="{61D1D469-3820-4467-AE22-3F5C263C95BE}" name="Column12967"/>
    <tableColumn id="12968" xr3:uid="{C68B36E6-6B85-4DA7-AA5E-4F2BC0C070C1}" name="Column12968"/>
    <tableColumn id="12969" xr3:uid="{69539057-1079-4BC7-B4B4-DF33CD3D7120}" name="Column12969"/>
    <tableColumn id="12970" xr3:uid="{5A436AF6-B4AD-452B-825A-076AFA8F2E0D}" name="Column12970"/>
    <tableColumn id="12971" xr3:uid="{E5F1B37A-37A5-4188-AFFF-DDC4C82CEE6C}" name="Column12971"/>
    <tableColumn id="12972" xr3:uid="{C7C5FC4A-5C85-4CF1-93F0-C404DFDA39A3}" name="Column12972"/>
    <tableColumn id="12973" xr3:uid="{F1DD5986-0E19-4102-8787-A796E9AC4AE9}" name="Column12973"/>
    <tableColumn id="12974" xr3:uid="{3DF96065-9AAF-40FE-B07C-B1ED0D1C0F9F}" name="Column12974"/>
    <tableColumn id="12975" xr3:uid="{37F8B660-879F-438A-A039-77227DA58C2F}" name="Column12975"/>
    <tableColumn id="12976" xr3:uid="{A78A74EE-3885-47A0-871C-6A2D83188415}" name="Column12976"/>
    <tableColumn id="12977" xr3:uid="{A130A408-63CE-40F3-9151-1D1F764F2280}" name="Column12977"/>
    <tableColumn id="12978" xr3:uid="{8BF7F57B-F1E3-428C-AEB9-B0D7CAA3A9F3}" name="Column12978"/>
    <tableColumn id="12979" xr3:uid="{B52F7BF5-0ACC-4A99-9277-DF9B86A08BBB}" name="Column12979"/>
    <tableColumn id="12980" xr3:uid="{DE162832-2440-4EF3-9E73-C5D95477A815}" name="Column12980"/>
    <tableColumn id="12981" xr3:uid="{D6A59B0F-BD94-45AC-83A9-072CFDF220EF}" name="Column12981"/>
    <tableColumn id="12982" xr3:uid="{00A1593F-916D-4923-B769-28031E3F4AD8}" name="Column12982"/>
    <tableColumn id="12983" xr3:uid="{3A21DC42-5DF1-401F-8B5B-ED423EA2411B}" name="Column12983"/>
    <tableColumn id="12984" xr3:uid="{428D66E2-1530-4E84-BEFE-35046564DB0C}" name="Column12984"/>
    <tableColumn id="12985" xr3:uid="{604FF2E7-4BAC-4BEC-AAF1-63576F888E3A}" name="Column12985"/>
    <tableColumn id="12986" xr3:uid="{59A8A81C-457E-4E65-BE18-263203AEB448}" name="Column12986"/>
    <tableColumn id="12987" xr3:uid="{0F0461BE-A287-4559-9A79-85B15069A9B0}" name="Column12987"/>
    <tableColumn id="12988" xr3:uid="{565256FC-EFDC-4268-AE7E-454D0C14AA5A}" name="Column12988"/>
    <tableColumn id="12989" xr3:uid="{787585D9-99D4-4245-B2F2-7266E156C558}" name="Column12989"/>
    <tableColumn id="12990" xr3:uid="{1773ACE8-4D3E-4CB0-9F02-5C3387CF10F0}" name="Column12990"/>
    <tableColumn id="12991" xr3:uid="{8C6867D6-2996-4F02-9391-3CBEC55158D2}" name="Column12991"/>
    <tableColumn id="12992" xr3:uid="{962CF7E9-2D45-46B2-9A24-C132F18520BD}" name="Column12992"/>
    <tableColumn id="12993" xr3:uid="{515309B4-AFD0-4024-998C-C32931A6E1E2}" name="Column12993"/>
    <tableColumn id="12994" xr3:uid="{95FF3607-9070-4E7B-9868-D4FE21EA328F}" name="Column12994"/>
    <tableColumn id="12995" xr3:uid="{2E8B350F-4089-4673-A635-0878A49B5E87}" name="Column12995"/>
    <tableColumn id="12996" xr3:uid="{CB31DCCA-6302-4694-B655-00C8F1ABCD4E}" name="Column12996"/>
    <tableColumn id="12997" xr3:uid="{F7A667BC-D908-42A8-A32D-160D76122C06}" name="Column12997"/>
    <tableColumn id="12998" xr3:uid="{9BD7D8CA-FC1F-41E7-A7BC-AEEC8E13BB1D}" name="Column12998"/>
    <tableColumn id="12999" xr3:uid="{00EA9DAA-9807-4C1C-89F3-9A145021A9C2}" name="Column12999"/>
    <tableColumn id="13000" xr3:uid="{61C7295E-0D56-487D-B01D-C02B98E484E2}" name="Column13000"/>
    <tableColumn id="13001" xr3:uid="{4814AF51-29D4-482A-9786-39AFABB768D2}" name="Column13001"/>
    <tableColumn id="13002" xr3:uid="{28231473-0A81-49E7-9650-FD592015D5A9}" name="Column13002"/>
    <tableColumn id="13003" xr3:uid="{02B0FEF9-F356-47E3-B5AB-5B71FCC42D4F}" name="Column13003"/>
    <tableColumn id="13004" xr3:uid="{AF95F7AD-6D76-4FA5-86ED-28FE3C0EA06B}" name="Column13004"/>
    <tableColumn id="13005" xr3:uid="{F07EBB6E-3CEB-440A-A662-DFEEBD5ADF3C}" name="Column13005"/>
    <tableColumn id="13006" xr3:uid="{C735ACBA-DE43-4DF1-B38B-714920A48AB3}" name="Column13006"/>
    <tableColumn id="13007" xr3:uid="{33F38C14-8084-43AE-B97E-71161F84E9EB}" name="Column13007"/>
    <tableColumn id="13008" xr3:uid="{C1CFC376-F4D3-43C4-9EB7-E0827344F1B1}" name="Column13008"/>
    <tableColumn id="13009" xr3:uid="{E3AA70CC-5BD5-4881-8F5C-39478A64755B}" name="Column13009"/>
    <tableColumn id="13010" xr3:uid="{AD179CB6-B198-4542-BA0D-8EC0EFF2D2A4}" name="Column13010"/>
    <tableColumn id="13011" xr3:uid="{DBCD5F42-8225-4E8A-8013-5B3E344F01F0}" name="Column13011"/>
    <tableColumn id="13012" xr3:uid="{F602B416-7D87-464C-B64E-82CBFC82BC4E}" name="Column13012"/>
    <tableColumn id="13013" xr3:uid="{D25D5A43-94F3-4521-858D-FCC4FC3F36F9}" name="Column13013"/>
    <tableColumn id="13014" xr3:uid="{AB71F6FC-A320-4826-949C-225C0FE0A88E}" name="Column13014"/>
    <tableColumn id="13015" xr3:uid="{A5C03EA2-D4E1-4A63-A879-7B32EC7A7E37}" name="Column13015"/>
    <tableColumn id="13016" xr3:uid="{29CEC1EA-A943-46E4-9564-B71CE912A871}" name="Column13016"/>
    <tableColumn id="13017" xr3:uid="{CA2A0697-D74A-4152-8696-740A4690ADB4}" name="Column13017"/>
    <tableColumn id="13018" xr3:uid="{D81BA61F-3A20-4ACB-989B-40A759955B7C}" name="Column13018"/>
    <tableColumn id="13019" xr3:uid="{F580835C-5F53-4835-AB02-44737EA1D270}" name="Column13019"/>
    <tableColumn id="13020" xr3:uid="{4F34DE95-0972-4A1C-8867-7E851348AF80}" name="Column13020"/>
    <tableColumn id="13021" xr3:uid="{BE738833-BF19-4CBB-8CE9-EA47DB33881C}" name="Column13021"/>
    <tableColumn id="13022" xr3:uid="{8C7AA873-8A1F-476D-A221-9895800D8608}" name="Column13022"/>
    <tableColumn id="13023" xr3:uid="{922DC8CC-EE08-4CEF-AFF3-754D4D839FC4}" name="Column13023"/>
    <tableColumn id="13024" xr3:uid="{823C424D-2C4F-4B61-A267-A3734EB15B32}" name="Column13024"/>
    <tableColumn id="13025" xr3:uid="{17F3520C-068A-42D4-8D3C-9A0A4B41172C}" name="Column13025"/>
    <tableColumn id="13026" xr3:uid="{FEA6EB77-9FDF-4C5B-B212-C657466A5908}" name="Column13026"/>
    <tableColumn id="13027" xr3:uid="{727EA55F-4B3A-42E4-B2B6-10E77365C6F1}" name="Column13027"/>
    <tableColumn id="13028" xr3:uid="{D2FBAD05-F99F-4ED1-8EBD-28D8121FF189}" name="Column13028"/>
    <tableColumn id="13029" xr3:uid="{B73C89B9-A8C8-46CB-8785-A9AC58C4BBB7}" name="Column13029"/>
    <tableColumn id="13030" xr3:uid="{3848AE80-5333-4646-ADAE-08E227E5C316}" name="Column13030"/>
    <tableColumn id="13031" xr3:uid="{104DC505-593F-4A15-9E49-A4E59D7E9536}" name="Column13031"/>
    <tableColumn id="13032" xr3:uid="{3DAF0A18-8C74-4C1D-956D-133CC0649D72}" name="Column13032"/>
    <tableColumn id="13033" xr3:uid="{953AE230-CEE8-4FA9-8F85-912746E0FE74}" name="Column13033"/>
    <tableColumn id="13034" xr3:uid="{BF258F0C-2B20-42CA-A6DC-EE02944BC29A}" name="Column13034"/>
    <tableColumn id="13035" xr3:uid="{2B947816-58BE-4CF9-83BF-1D171FAA8668}" name="Column13035"/>
    <tableColumn id="13036" xr3:uid="{96798043-31CF-496E-B00B-A395A2741EFB}" name="Column13036"/>
    <tableColumn id="13037" xr3:uid="{821780ED-395B-4517-B4D8-5A4687FD4DB8}" name="Column13037"/>
    <tableColumn id="13038" xr3:uid="{FD77F7D0-FBEB-44F7-9A2F-1032838301A3}" name="Column13038"/>
    <tableColumn id="13039" xr3:uid="{D80C606A-02EF-4139-B3F2-E35A1C6F93B2}" name="Column13039"/>
    <tableColumn id="13040" xr3:uid="{2FE4CA31-853B-4E1D-9C48-2D751B1B5D19}" name="Column13040"/>
    <tableColumn id="13041" xr3:uid="{B9151EF3-F238-4F17-93AB-81627254E2D5}" name="Column13041"/>
    <tableColumn id="13042" xr3:uid="{AD0DAB5C-81CA-48EA-BF5C-0DC6D9BDB857}" name="Column13042"/>
    <tableColumn id="13043" xr3:uid="{A5861904-46B9-4B94-BFD9-7CC411124EE5}" name="Column13043"/>
    <tableColumn id="13044" xr3:uid="{81CF94A7-66AE-4B83-9CFE-5E5DD12F6C33}" name="Column13044"/>
    <tableColumn id="13045" xr3:uid="{DEC9B6AB-9109-4020-AB21-735C849215BC}" name="Column13045"/>
    <tableColumn id="13046" xr3:uid="{FD7BB770-DF38-493E-9F07-66E1417D16F9}" name="Column13046"/>
    <tableColumn id="13047" xr3:uid="{0004557C-6CB6-4243-8DA8-79699936079B}" name="Column13047"/>
    <tableColumn id="13048" xr3:uid="{A4AD9FA1-CA58-4F85-ADB3-E9E1AC40C2E4}" name="Column13048"/>
    <tableColumn id="13049" xr3:uid="{9F694E5E-D533-46D4-952E-E0BAA1D7F76F}" name="Column13049"/>
    <tableColumn id="13050" xr3:uid="{F59FBFBD-FDD5-4534-984D-FCCBE7350521}" name="Column13050"/>
    <tableColumn id="13051" xr3:uid="{2931143D-2F2A-45B5-8964-4B9AC8546729}" name="Column13051"/>
    <tableColumn id="13052" xr3:uid="{E8DC9983-F952-46E9-91BD-8BFD30E52B94}" name="Column13052"/>
    <tableColumn id="13053" xr3:uid="{9B5226D7-82DC-4590-9DE6-32EDB729B3AE}" name="Column13053"/>
    <tableColumn id="13054" xr3:uid="{8C43EA85-4B8F-4285-821C-4904FA72C1BA}" name="Column13054"/>
    <tableColumn id="13055" xr3:uid="{FA16C69E-1F51-437B-AD4E-EBFD2F7BCA06}" name="Column13055"/>
    <tableColumn id="13056" xr3:uid="{F979CEFD-2A54-47B9-9321-8C9F4BA6616E}" name="Column13056"/>
    <tableColumn id="13057" xr3:uid="{FA97F75D-4A5D-4323-AEC4-A2816D0A4AF9}" name="Column13057"/>
    <tableColumn id="13058" xr3:uid="{1B6B86E1-B87F-4257-941C-A113F1E23B60}" name="Column13058"/>
    <tableColumn id="13059" xr3:uid="{1EFCBEBE-E0BA-4A24-9D2F-33D16C780253}" name="Column13059"/>
    <tableColumn id="13060" xr3:uid="{A4A5C24E-4543-4196-BAA5-8AA43832E323}" name="Column13060"/>
    <tableColumn id="13061" xr3:uid="{FE288766-7B31-4FDF-877A-43D29BD1052A}" name="Column13061"/>
    <tableColumn id="13062" xr3:uid="{DF5ED1DF-500C-430A-B647-37FEACF2BAA7}" name="Column13062"/>
    <tableColumn id="13063" xr3:uid="{142684D8-6470-4F68-A8B6-A9B441AFBD35}" name="Column13063"/>
    <tableColumn id="13064" xr3:uid="{83A4B693-0B51-4E74-A7CF-3C841C6C5170}" name="Column13064"/>
    <tableColumn id="13065" xr3:uid="{7BA1226A-17F6-4122-9A2C-8B0156281B3C}" name="Column13065"/>
    <tableColumn id="13066" xr3:uid="{56B833E7-0935-42C4-A9CE-6AABC708745C}" name="Column13066"/>
    <tableColumn id="13067" xr3:uid="{0DBB2086-B911-45B1-A89E-E7BD6BBF01AA}" name="Column13067"/>
    <tableColumn id="13068" xr3:uid="{57F677BE-7E07-44ED-98DE-865E23F422A9}" name="Column13068"/>
    <tableColumn id="13069" xr3:uid="{F6252DC0-9B1C-4D7C-B9B0-7C1AD09E9682}" name="Column13069"/>
    <tableColumn id="13070" xr3:uid="{6FA8206A-1F72-45D3-B825-BEC95EF83367}" name="Column13070"/>
    <tableColumn id="13071" xr3:uid="{6DD0D7B2-7D46-4FEF-93F9-40BBDBABB3A2}" name="Column13071"/>
    <tableColumn id="13072" xr3:uid="{44B7F078-DCDC-4F69-AE47-CD5D7EA89D37}" name="Column13072"/>
    <tableColumn id="13073" xr3:uid="{81BB5F16-8557-4BCA-B40E-B3FDF380B1BE}" name="Column13073"/>
    <tableColumn id="13074" xr3:uid="{22F5C407-DBA6-4DFB-AEB3-F7D511BD9A63}" name="Column13074"/>
    <tableColumn id="13075" xr3:uid="{ABDFCF68-371A-4F34-AC8F-C48B3C9ADC51}" name="Column13075"/>
    <tableColumn id="13076" xr3:uid="{1EE3397A-BD4E-4DB7-8815-363E60F92670}" name="Column13076"/>
    <tableColumn id="13077" xr3:uid="{2987195F-6324-45DB-BA89-1F8EC4D83347}" name="Column13077"/>
    <tableColumn id="13078" xr3:uid="{09BC5419-2637-48DC-AFF8-045B26C05738}" name="Column13078"/>
    <tableColumn id="13079" xr3:uid="{E5A6934E-C9F5-42C7-B6E8-9F75E3F8D2F8}" name="Column13079"/>
    <tableColumn id="13080" xr3:uid="{CFD71BE3-CA41-43CA-8DE0-9C92AEF05233}" name="Column13080"/>
    <tableColumn id="13081" xr3:uid="{839F7477-C44B-413F-972B-CA468C984997}" name="Column13081"/>
    <tableColumn id="13082" xr3:uid="{ED993E21-56FF-4C85-87D3-3591E72CC817}" name="Column13082"/>
    <tableColumn id="13083" xr3:uid="{AF50E639-1C3C-47A0-B0E5-C5581B3CFE28}" name="Column13083"/>
    <tableColumn id="13084" xr3:uid="{1238A7E5-0A45-46C9-BC1A-F303C54E84E0}" name="Column13084"/>
    <tableColumn id="13085" xr3:uid="{B029F65B-CC94-48C4-A879-FCAA9A377B18}" name="Column13085"/>
    <tableColumn id="13086" xr3:uid="{ABF59DB4-2666-4B80-B11C-31505C563125}" name="Column13086"/>
    <tableColumn id="13087" xr3:uid="{C4DB7D4E-BF01-48CA-B67D-CA51649D031A}" name="Column13087"/>
    <tableColumn id="13088" xr3:uid="{B2AF3E88-3026-4920-88B2-3AA0E50553F2}" name="Column13088"/>
    <tableColumn id="13089" xr3:uid="{8B562F4A-F55F-4225-8C13-9A4F96FE07A9}" name="Column13089"/>
    <tableColumn id="13090" xr3:uid="{45284A0A-4B1D-4A59-A847-1377AE0B2F61}" name="Column13090"/>
    <tableColumn id="13091" xr3:uid="{4E9F7B41-D3F1-4ED1-A741-14EF87205AC2}" name="Column13091"/>
    <tableColumn id="13092" xr3:uid="{85F2382D-0EB1-405F-BD64-46D70709A2EC}" name="Column13092"/>
    <tableColumn id="13093" xr3:uid="{EFCA5896-93E3-4C5D-8F61-ECCF8097B292}" name="Column13093"/>
    <tableColumn id="13094" xr3:uid="{A9EA805D-B41A-49E6-8501-B6168A73A587}" name="Column13094"/>
    <tableColumn id="13095" xr3:uid="{B857D7E3-7B3E-43E1-9D1D-82BF952F2D38}" name="Column13095"/>
    <tableColumn id="13096" xr3:uid="{4770E553-29FE-472C-A13C-D43F498088E1}" name="Column13096"/>
    <tableColumn id="13097" xr3:uid="{3C9789D4-72C3-43B3-B099-CAB3F6D24809}" name="Column13097"/>
    <tableColumn id="13098" xr3:uid="{96BF45B1-0E4C-4147-808D-C75720C0C80E}" name="Column13098"/>
    <tableColumn id="13099" xr3:uid="{18F4614B-C632-4892-AC58-58F8A21FF7C6}" name="Column13099"/>
    <tableColumn id="13100" xr3:uid="{D9B73DB7-42AD-4852-B4A5-189E8BD81D1B}" name="Column13100"/>
    <tableColumn id="13101" xr3:uid="{F675A1C9-210E-4C53-8634-E5C295919393}" name="Column13101"/>
    <tableColumn id="13102" xr3:uid="{4184648D-3658-4A6F-A1A0-2861998DE6EC}" name="Column13102"/>
    <tableColumn id="13103" xr3:uid="{9D26E420-BCAC-4787-B8E3-25A49D286748}" name="Column13103"/>
    <tableColumn id="13104" xr3:uid="{8464D503-51D2-4ECC-89F6-5D76840628ED}" name="Column13104"/>
    <tableColumn id="13105" xr3:uid="{B6A41845-69D8-4734-917B-AD4E68D7B260}" name="Column13105"/>
    <tableColumn id="13106" xr3:uid="{D02E8838-0124-4601-8F17-566BC11A6A07}" name="Column13106"/>
    <tableColumn id="13107" xr3:uid="{E9E79253-ADDA-4412-86D9-82D10CFE7861}" name="Column13107"/>
    <tableColumn id="13108" xr3:uid="{AE435F56-0936-41E1-A9B4-35CEB5232171}" name="Column13108"/>
    <tableColumn id="13109" xr3:uid="{5B5ADA36-5EDD-4ECC-B503-AFA89DBAD926}" name="Column13109"/>
    <tableColumn id="13110" xr3:uid="{57F4B95D-8BDB-4EEC-A84E-9080DA75DC0A}" name="Column13110"/>
    <tableColumn id="13111" xr3:uid="{B52BC777-9BD5-43A4-8ACB-08390E0BA46C}" name="Column13111"/>
    <tableColumn id="13112" xr3:uid="{0956F494-F4E9-4618-AA02-3F1D968DABA3}" name="Column13112"/>
    <tableColumn id="13113" xr3:uid="{69242F6E-BBA9-4657-9F4F-715446AE123D}" name="Column13113"/>
    <tableColumn id="13114" xr3:uid="{4440E443-998E-4914-BA88-91F649C911A4}" name="Column13114"/>
    <tableColumn id="13115" xr3:uid="{CA0C19FF-290E-45D7-8033-6A095C029667}" name="Column13115"/>
    <tableColumn id="13116" xr3:uid="{742A1973-BBC6-4003-92C1-3FC4007BD73A}" name="Column13116"/>
    <tableColumn id="13117" xr3:uid="{B4BE8974-F11E-4CD0-830C-BEF03188D917}" name="Column13117"/>
    <tableColumn id="13118" xr3:uid="{0F597911-EDDB-47EA-8798-AD08CF98A77B}" name="Column13118"/>
    <tableColumn id="13119" xr3:uid="{99C84B60-6DEA-42BF-986F-187CB3C52A63}" name="Column13119"/>
    <tableColumn id="13120" xr3:uid="{C17E4991-91CB-471E-BBAC-4F2D3EFD3C79}" name="Column13120"/>
    <tableColumn id="13121" xr3:uid="{6DDF69C0-8500-448A-BD17-9942B558F64A}" name="Column13121"/>
    <tableColumn id="13122" xr3:uid="{F28376E6-280B-4AA6-B036-815CC373F56C}" name="Column13122"/>
    <tableColumn id="13123" xr3:uid="{AB0A9333-0C62-4A8B-8B7C-F00299B4088F}" name="Column13123"/>
    <tableColumn id="13124" xr3:uid="{9F8AF252-9B2A-4130-B0FD-388811769B6A}" name="Column13124"/>
    <tableColumn id="13125" xr3:uid="{83F1D6D7-06A5-408F-8B8E-741C77721AA6}" name="Column13125"/>
    <tableColumn id="13126" xr3:uid="{9173A08B-6E7E-41A9-A5EA-FA0423E619EB}" name="Column13126"/>
    <tableColumn id="13127" xr3:uid="{724A860E-8B4D-4B36-8147-E57C93BD371A}" name="Column13127"/>
    <tableColumn id="13128" xr3:uid="{6FC3D77E-EB2E-4E14-8F93-780AA2F99679}" name="Column13128"/>
    <tableColumn id="13129" xr3:uid="{260C61BE-B898-4FF9-960A-A29A1D2544A2}" name="Column13129"/>
    <tableColumn id="13130" xr3:uid="{BD45A3BE-E696-4D89-B160-8CE50169451C}" name="Column13130"/>
    <tableColumn id="13131" xr3:uid="{5FF2C83A-770F-4D01-887F-AD5D2A61D7C9}" name="Column13131"/>
    <tableColumn id="13132" xr3:uid="{A0F62350-86AC-41AD-9BFD-838163FE2228}" name="Column13132"/>
    <tableColumn id="13133" xr3:uid="{B9804BF8-1F9C-4BBF-BCF9-AD9BF917D877}" name="Column13133"/>
    <tableColumn id="13134" xr3:uid="{DC95C87F-0B41-4EF7-8B3C-514C7F9959D9}" name="Column13134"/>
    <tableColumn id="13135" xr3:uid="{B242A220-23D6-4324-8700-78F837F01CD2}" name="Column13135"/>
    <tableColumn id="13136" xr3:uid="{1BCC328E-4028-4DE6-A3D6-ABB1E937CD5F}" name="Column13136"/>
    <tableColumn id="13137" xr3:uid="{A885EA4F-C9D4-4DC2-B67F-9485E2A144E0}" name="Column13137"/>
    <tableColumn id="13138" xr3:uid="{70780230-F348-4EA0-A9DA-AAC8B7B4E871}" name="Column13138"/>
    <tableColumn id="13139" xr3:uid="{7C100E12-F586-4800-B257-A15FB64D6954}" name="Column13139"/>
    <tableColumn id="13140" xr3:uid="{F28EAD82-91F7-4194-B869-AF79783F34A5}" name="Column13140"/>
    <tableColumn id="13141" xr3:uid="{4E173CEC-F9AA-4B30-9B44-147D8F0C84F7}" name="Column13141"/>
    <tableColumn id="13142" xr3:uid="{85F47CDC-AFCA-4897-8266-8D4E1AE8B2CF}" name="Column13142"/>
    <tableColumn id="13143" xr3:uid="{E503CA31-0130-43CF-B4F7-13085A02EB38}" name="Column13143"/>
    <tableColumn id="13144" xr3:uid="{2AD84D76-6DBC-4380-A9BF-C3566187626B}" name="Column13144"/>
    <tableColumn id="13145" xr3:uid="{EF7F4DE7-1E07-4250-8DD8-67134CF4702F}" name="Column13145"/>
    <tableColumn id="13146" xr3:uid="{DBA170A6-EC66-41D6-AD47-2DBE72C3FCC6}" name="Column13146"/>
    <tableColumn id="13147" xr3:uid="{9B11D472-82A8-4753-A589-1E3D2598E5B9}" name="Column13147"/>
    <tableColumn id="13148" xr3:uid="{4113AC3C-6958-4450-8D23-9AC351B2E5E0}" name="Column13148"/>
    <tableColumn id="13149" xr3:uid="{6E8CEF00-850A-4204-A197-5E3D27F78C79}" name="Column13149"/>
    <tableColumn id="13150" xr3:uid="{6EC65D99-040D-41C9-882F-21AB1B98CB28}" name="Column13150"/>
    <tableColumn id="13151" xr3:uid="{5088850E-D06A-4885-89F8-6F9E7DDA1342}" name="Column13151"/>
    <tableColumn id="13152" xr3:uid="{D3DE8368-287D-4551-BF46-3F6533D8DA33}" name="Column13152"/>
    <tableColumn id="13153" xr3:uid="{F26A66E0-3A1B-4986-95F5-16AFDD671742}" name="Column13153"/>
    <tableColumn id="13154" xr3:uid="{41645B40-5BE9-4606-8E06-34421EE401A9}" name="Column13154"/>
    <tableColumn id="13155" xr3:uid="{6CEA447E-1A46-4BC8-94C8-0A477B948516}" name="Column13155"/>
    <tableColumn id="13156" xr3:uid="{B3765A56-750C-4432-9E74-4C409F5D710D}" name="Column13156"/>
    <tableColumn id="13157" xr3:uid="{210F2289-CCD6-4D4D-A5DE-EC059E8178B9}" name="Column13157"/>
    <tableColumn id="13158" xr3:uid="{E7B9B0B8-CA01-4DF7-BB17-73051D37C7D1}" name="Column13158"/>
    <tableColumn id="13159" xr3:uid="{7380BF1B-D424-4A8E-80AC-6E35F97E4E55}" name="Column13159"/>
    <tableColumn id="13160" xr3:uid="{DEB8A981-338E-4242-8009-A8297DD88D0F}" name="Column13160"/>
    <tableColumn id="13161" xr3:uid="{5CC563A6-1D65-417E-B84E-9F35E55D1405}" name="Column13161"/>
    <tableColumn id="13162" xr3:uid="{AC363341-B255-4ADE-A05F-8C73750B8249}" name="Column13162"/>
    <tableColumn id="13163" xr3:uid="{14395CC5-2FC0-4EF7-96BC-5F3270636B89}" name="Column13163"/>
    <tableColumn id="13164" xr3:uid="{D51E5784-E616-409D-B451-73E21A69F0FF}" name="Column13164"/>
    <tableColumn id="13165" xr3:uid="{708F1D59-4300-4B1B-BFF0-97D630E850D0}" name="Column13165"/>
    <tableColumn id="13166" xr3:uid="{F457348A-7046-47EF-AC09-625E676E5F0A}" name="Column13166"/>
    <tableColumn id="13167" xr3:uid="{5D945F63-9589-4C43-A2F4-36B8A937A85A}" name="Column13167"/>
    <tableColumn id="13168" xr3:uid="{33180350-5A16-470E-AD43-C1804AD936D4}" name="Column13168"/>
    <tableColumn id="13169" xr3:uid="{9C79B94C-DFB1-4272-A468-4A128DA835C4}" name="Column13169"/>
    <tableColumn id="13170" xr3:uid="{F4279256-1477-433E-BBBF-72616423F27D}" name="Column13170"/>
    <tableColumn id="13171" xr3:uid="{BEDFA67F-4C10-4DC9-B598-6E0171A308B6}" name="Column13171"/>
    <tableColumn id="13172" xr3:uid="{2B0FC359-F108-4A6B-A6EB-7E96E9C30633}" name="Column13172"/>
    <tableColumn id="13173" xr3:uid="{C6319F22-F4D6-4979-A86A-8E1B56EB7D18}" name="Column13173"/>
    <tableColumn id="13174" xr3:uid="{BB8EC44A-152A-49EF-A392-281FB60336EB}" name="Column13174"/>
    <tableColumn id="13175" xr3:uid="{D1102B8E-3595-4970-B1EA-33D3A413F9EB}" name="Column13175"/>
    <tableColumn id="13176" xr3:uid="{9222BA32-F594-49CC-9C0D-00B909D9D7AF}" name="Column13176"/>
    <tableColumn id="13177" xr3:uid="{0B838CB4-BDA8-4D05-B292-70CF1BC73BFA}" name="Column13177"/>
    <tableColumn id="13178" xr3:uid="{04B8ACDA-0A6F-46DC-BAFE-14CDBC2024AC}" name="Column13178"/>
    <tableColumn id="13179" xr3:uid="{E0D0AD87-686A-464B-9D9B-BB55C9205451}" name="Column13179"/>
    <tableColumn id="13180" xr3:uid="{0F9E452A-EF9B-404B-B735-7DB647BCE1CB}" name="Column13180"/>
    <tableColumn id="13181" xr3:uid="{A7A7CFC5-DB40-4ACF-BD58-18841E2C41CB}" name="Column13181"/>
    <tableColumn id="13182" xr3:uid="{B4F1A694-E0B9-4CB3-B427-21FDD3B9A626}" name="Column13182"/>
    <tableColumn id="13183" xr3:uid="{89D2CA87-47F2-4B69-B47D-B7AFF11BAF92}" name="Column13183"/>
    <tableColumn id="13184" xr3:uid="{D4A77824-0403-4AD7-A353-ED66CF4AA571}" name="Column13184"/>
    <tableColumn id="13185" xr3:uid="{221E0A63-1168-467F-8600-85382BB08BB4}" name="Column13185"/>
    <tableColumn id="13186" xr3:uid="{80D4609D-4DC8-485D-AE44-20E151301A3F}" name="Column13186"/>
    <tableColumn id="13187" xr3:uid="{4DC6A66D-3641-4A0C-ACCD-25BD21EE69B3}" name="Column13187"/>
    <tableColumn id="13188" xr3:uid="{5A179756-4538-40C3-9E6E-0B572042A789}" name="Column13188"/>
    <tableColumn id="13189" xr3:uid="{F7BA03EB-071C-4F0B-8715-7CB7E1637F2E}" name="Column13189"/>
    <tableColumn id="13190" xr3:uid="{CCD7EE99-514B-4652-B210-709E8EB52281}" name="Column13190"/>
    <tableColumn id="13191" xr3:uid="{0BF55D82-2A5E-497A-B74D-297DFF44142B}" name="Column13191"/>
    <tableColumn id="13192" xr3:uid="{B4B44F98-20FB-4DCB-95C3-66458100A619}" name="Column13192"/>
    <tableColumn id="13193" xr3:uid="{770B433E-8DE2-4F1B-83A2-C1C9B032C18C}" name="Column13193"/>
    <tableColumn id="13194" xr3:uid="{2C4A3415-8927-44D8-8A80-65385E51F762}" name="Column13194"/>
    <tableColumn id="13195" xr3:uid="{4D4E8F79-1526-476F-A9B7-17DA6D4FD08C}" name="Column13195"/>
    <tableColumn id="13196" xr3:uid="{B637343D-AFAD-4602-9DA1-80113309804D}" name="Column13196"/>
    <tableColumn id="13197" xr3:uid="{49C48756-802E-479D-8648-483B0485AE4D}" name="Column13197"/>
    <tableColumn id="13198" xr3:uid="{446A3DA0-FCA2-4AA9-8AF4-CF73169DF22A}" name="Column13198"/>
    <tableColumn id="13199" xr3:uid="{FE7252D2-033B-488A-B638-4585E253CD0C}" name="Column13199"/>
    <tableColumn id="13200" xr3:uid="{172EAAAA-9AFF-4D37-B9D2-4D4D7BCFCBC9}" name="Column13200"/>
    <tableColumn id="13201" xr3:uid="{918E3E6D-80BC-46FD-AE1A-FDF649C5BAD3}" name="Column13201"/>
    <tableColumn id="13202" xr3:uid="{5AA3C213-AC1E-45BD-8F9E-1E3E7BEFD9D0}" name="Column13202"/>
    <tableColumn id="13203" xr3:uid="{CF2964E8-1FA6-49BC-92A8-F89FA7EDC513}" name="Column13203"/>
    <tableColumn id="13204" xr3:uid="{D24460D2-9A3C-4F56-A05E-573CCEED0BC0}" name="Column13204"/>
    <tableColumn id="13205" xr3:uid="{735249DA-E440-45DF-BE5A-E14B6A09F1AE}" name="Column13205"/>
    <tableColumn id="13206" xr3:uid="{E2598FBB-1A51-46B7-90F3-6746ED73A743}" name="Column13206"/>
    <tableColumn id="13207" xr3:uid="{EF5F44A1-4F11-4248-B0B6-1255E42314AC}" name="Column13207"/>
    <tableColumn id="13208" xr3:uid="{AF4AE461-1BE4-40E1-89FF-1BD3676F59BF}" name="Column13208"/>
    <tableColumn id="13209" xr3:uid="{D1DDC28A-C218-4804-B59E-2E1AEB28092D}" name="Column13209"/>
    <tableColumn id="13210" xr3:uid="{2E2980F3-2C4F-41E5-A42E-C3D4985EC3CE}" name="Column13210"/>
    <tableColumn id="13211" xr3:uid="{3EC33011-669E-448A-AA7D-F4DD6FB9D71A}" name="Column13211"/>
    <tableColumn id="13212" xr3:uid="{555452A6-4D39-4D2F-8E98-5B55A261671A}" name="Column13212"/>
    <tableColumn id="13213" xr3:uid="{E612F983-2E90-49F5-915B-E683FCA482F5}" name="Column13213"/>
    <tableColumn id="13214" xr3:uid="{623D03D3-65B9-4F29-BB19-FD788AA30591}" name="Column13214"/>
    <tableColumn id="13215" xr3:uid="{7816A673-0961-41B2-874C-E586C40C7C4F}" name="Column13215"/>
    <tableColumn id="13216" xr3:uid="{C0193229-3835-49A7-BE7F-76ED8C83DC42}" name="Column13216"/>
    <tableColumn id="13217" xr3:uid="{0F0D98F8-4410-4238-951F-A356E4DF55A4}" name="Column13217"/>
    <tableColumn id="13218" xr3:uid="{2A81998D-2660-4D3F-AF42-F24FA29F874E}" name="Column13218"/>
    <tableColumn id="13219" xr3:uid="{EF3A476D-589D-44F1-912B-278DC7D1C56B}" name="Column13219"/>
    <tableColumn id="13220" xr3:uid="{CCC08259-6D7D-4ADB-9FBA-9FB459A69192}" name="Column13220"/>
    <tableColumn id="13221" xr3:uid="{59B0323B-21ED-4944-A1E5-A265D4725DA7}" name="Column13221"/>
    <tableColumn id="13222" xr3:uid="{DB23709C-5AF6-4C1F-A44E-95BDF6CB0D41}" name="Column13222"/>
    <tableColumn id="13223" xr3:uid="{4480BAA5-72C5-4C29-BD88-6BC9AEF1C854}" name="Column13223"/>
    <tableColumn id="13224" xr3:uid="{99F23ED3-FDFD-4C4F-AE6F-3804EA269358}" name="Column13224"/>
    <tableColumn id="13225" xr3:uid="{5BAD8AA4-20B1-47C4-BCFA-1604A925F35A}" name="Column13225"/>
    <tableColumn id="13226" xr3:uid="{3AFF2269-0C15-47D8-8C51-836ED92F1CCD}" name="Column13226"/>
    <tableColumn id="13227" xr3:uid="{245B0E84-7EEA-4C65-99A6-96D033CC4CD3}" name="Column13227"/>
    <tableColumn id="13228" xr3:uid="{D30555FA-E58B-4B25-95ED-F1B82856DAD8}" name="Column13228"/>
    <tableColumn id="13229" xr3:uid="{1918C486-C803-4BEA-AECB-9C6900548072}" name="Column13229"/>
    <tableColumn id="13230" xr3:uid="{088A0BD7-EEEC-4DB6-9B07-DC17DC17BAF9}" name="Column13230"/>
    <tableColumn id="13231" xr3:uid="{1833069E-719B-4A99-A2E2-79C05D459A6A}" name="Column13231"/>
    <tableColumn id="13232" xr3:uid="{4FAC40B6-B208-47A2-8A5D-51A746D9D002}" name="Column13232"/>
    <tableColumn id="13233" xr3:uid="{AD47CA6E-F4F8-41E0-92D5-107C6BDE649F}" name="Column13233"/>
    <tableColumn id="13234" xr3:uid="{1C0B9270-1AC0-4B07-8519-C712EADA89A3}" name="Column13234"/>
    <tableColumn id="13235" xr3:uid="{3A7695DD-79A4-49EE-A853-62448B8362B1}" name="Column13235"/>
    <tableColumn id="13236" xr3:uid="{2FC54CC3-2FA2-4A93-A306-95A86B4D4106}" name="Column13236"/>
    <tableColumn id="13237" xr3:uid="{10F3261B-0544-4C80-99E6-B0B67A73E8A7}" name="Column13237"/>
    <tableColumn id="13238" xr3:uid="{83039766-57E4-49AC-AC61-9A359C481557}" name="Column13238"/>
    <tableColumn id="13239" xr3:uid="{AF2D2A54-DE56-497C-9442-1A277A48D654}" name="Column13239"/>
    <tableColumn id="13240" xr3:uid="{005F3351-CAF2-4E4B-868A-E272976AD6BD}" name="Column13240"/>
    <tableColumn id="13241" xr3:uid="{DF872870-DDF7-44FB-8670-9CA5C9A900F3}" name="Column13241"/>
    <tableColumn id="13242" xr3:uid="{D25B7432-E31D-49B3-86C3-C5181A8EE5A9}" name="Column13242"/>
    <tableColumn id="13243" xr3:uid="{0342D9C8-5C6A-4116-9042-BA94F94CBDD6}" name="Column13243"/>
    <tableColumn id="13244" xr3:uid="{2A81FA27-DDE9-4329-91BE-C8A54B12B3EC}" name="Column13244"/>
    <tableColumn id="13245" xr3:uid="{D0E6A121-12BC-4A48-ACF9-E3A32928B67F}" name="Column13245"/>
    <tableColumn id="13246" xr3:uid="{D27A85F8-BACF-4341-89D7-E65442FF8EEE}" name="Column13246"/>
    <tableColumn id="13247" xr3:uid="{D86FCC02-113E-424C-A98A-24FA689F70A2}" name="Column13247"/>
    <tableColumn id="13248" xr3:uid="{303EA2FF-2D83-473E-A77F-45C0579A5041}" name="Column13248"/>
    <tableColumn id="13249" xr3:uid="{BB31EDED-3A9A-4A7E-8EB5-46DF1325F327}" name="Column13249"/>
    <tableColumn id="13250" xr3:uid="{D0ACCC1B-59FB-4492-8C95-8EE9EB380C6E}" name="Column13250"/>
    <tableColumn id="13251" xr3:uid="{CEC03C7F-85B9-4BEC-AFF5-C8CF84BDADD0}" name="Column13251"/>
    <tableColumn id="13252" xr3:uid="{FBDAD2D2-9D6E-47E0-82D4-CA733DD9319E}" name="Column13252"/>
    <tableColumn id="13253" xr3:uid="{2E6FE31C-5181-4543-B46D-14983B4BFDF7}" name="Column13253"/>
    <tableColumn id="13254" xr3:uid="{60D73C86-0031-4A3D-B38C-CCB41BC84331}" name="Column13254"/>
    <tableColumn id="13255" xr3:uid="{44A5258A-39FB-460D-9910-1BCFF198C4F9}" name="Column13255"/>
    <tableColumn id="13256" xr3:uid="{334B0CE5-11B3-45C2-9F28-3423B653B75E}" name="Column13256"/>
    <tableColumn id="13257" xr3:uid="{73008D9C-0365-4199-B005-08BECC472EDB}" name="Column13257"/>
    <tableColumn id="13258" xr3:uid="{C71BF5B6-8491-4791-B788-113282BEB00B}" name="Column13258"/>
    <tableColumn id="13259" xr3:uid="{516092CA-2499-40CF-AE76-EB3C1FA08791}" name="Column13259"/>
    <tableColumn id="13260" xr3:uid="{D603B595-CF10-4642-A06C-FB47EFF7794F}" name="Column13260"/>
    <tableColumn id="13261" xr3:uid="{A9BBE7C6-7391-4E9E-8FDC-4E99DC069EEC}" name="Column13261"/>
    <tableColumn id="13262" xr3:uid="{679160C2-F4D2-48A9-A56F-10891DBBAEC3}" name="Column13262"/>
    <tableColumn id="13263" xr3:uid="{56FF36B8-F91A-48D6-BFD0-F8F7D7C93B9C}" name="Column13263"/>
    <tableColumn id="13264" xr3:uid="{E602D7A0-0CBF-40F8-85E5-96FF1B21DF86}" name="Column13264"/>
    <tableColumn id="13265" xr3:uid="{E0F8B740-C76D-46F5-9426-DDABF92546D3}" name="Column13265"/>
    <tableColumn id="13266" xr3:uid="{EAC42B98-C7A6-4404-862E-E061DD1D24D5}" name="Column13266"/>
    <tableColumn id="13267" xr3:uid="{30DC687E-4655-465E-A19B-4422249DEC8D}" name="Column13267"/>
    <tableColumn id="13268" xr3:uid="{178A4978-7B14-4D1E-AF48-2014A781C50E}" name="Column13268"/>
    <tableColumn id="13269" xr3:uid="{4C9EEFAD-3DB0-4D7E-85FD-247F57C5B9FC}" name="Column13269"/>
    <tableColumn id="13270" xr3:uid="{CA5DAB98-8461-484E-AD03-E6ACCC12C7F6}" name="Column13270"/>
    <tableColumn id="13271" xr3:uid="{E16195A9-6926-4F53-B7F9-A1C282FC64CD}" name="Column13271"/>
    <tableColumn id="13272" xr3:uid="{8962ABF3-E274-478E-AA43-04BDD5E5E5B3}" name="Column13272"/>
    <tableColumn id="13273" xr3:uid="{48B465EC-FA60-4035-AE80-9D9BF258E8ED}" name="Column13273"/>
    <tableColumn id="13274" xr3:uid="{2CA6D0E2-6058-4851-9E0F-2587EABF13F3}" name="Column13274"/>
    <tableColumn id="13275" xr3:uid="{02F8A1B9-3490-49BD-B56D-C37A5086DBE2}" name="Column13275"/>
    <tableColumn id="13276" xr3:uid="{8D0C8872-0849-4556-A09E-4DF1CFA8596C}" name="Column13276"/>
    <tableColumn id="13277" xr3:uid="{0DBBE4AF-DE8F-403E-A2F0-56D69952BA34}" name="Column13277"/>
    <tableColumn id="13278" xr3:uid="{23002FE9-2FAB-4746-9498-7E94C3EDC75C}" name="Column13278"/>
    <tableColumn id="13279" xr3:uid="{32352E1A-9D88-4E62-81C0-99D3ADDBE545}" name="Column13279"/>
    <tableColumn id="13280" xr3:uid="{BD07A030-480A-4ED2-AD9A-9B66806E2545}" name="Column13280"/>
    <tableColumn id="13281" xr3:uid="{ED5104D6-F593-4D61-90ED-FF0B8F8314A2}" name="Column13281"/>
    <tableColumn id="13282" xr3:uid="{B460ABB6-7DD5-4EB1-9A33-78C141553D5B}" name="Column13282"/>
    <tableColumn id="13283" xr3:uid="{A92CE232-6647-4991-8AAA-19E3477F60ED}" name="Column13283"/>
    <tableColumn id="13284" xr3:uid="{4D71EC2A-71FD-470F-9D0C-B6C088D1C016}" name="Column13284"/>
    <tableColumn id="13285" xr3:uid="{1D804142-0C28-40B6-B15C-9759CA9730A8}" name="Column13285"/>
    <tableColumn id="13286" xr3:uid="{6B7A8CAD-E869-4DFA-9488-5428062D7F57}" name="Column13286"/>
    <tableColumn id="13287" xr3:uid="{3483B69C-CB58-41A6-860C-1843A242BB8F}" name="Column13287"/>
    <tableColumn id="13288" xr3:uid="{41270E37-73B7-4B33-A1D1-D1EA80D01474}" name="Column13288"/>
    <tableColumn id="13289" xr3:uid="{EDD066DD-0B21-4FBE-A1CB-A84A10E7DDD6}" name="Column13289"/>
    <tableColumn id="13290" xr3:uid="{B64059B4-1702-4CE1-B095-6931D055CA2E}" name="Column13290"/>
    <tableColumn id="13291" xr3:uid="{712C87E2-0FD1-4F26-9917-C77A812249F6}" name="Column13291"/>
    <tableColumn id="13292" xr3:uid="{5D1722BC-B189-4CEA-8C25-B8B0B336E79F}" name="Column13292"/>
    <tableColumn id="13293" xr3:uid="{65164211-3582-4B4F-A800-637637F65C93}" name="Column13293"/>
    <tableColumn id="13294" xr3:uid="{D3A49095-E0EB-484D-978F-F624D55F0FA4}" name="Column13294"/>
    <tableColumn id="13295" xr3:uid="{1046218F-565C-4905-ABEF-F5D2E616DECA}" name="Column13295"/>
    <tableColumn id="13296" xr3:uid="{BC1495D8-A256-43A0-BFE2-2716B5677381}" name="Column13296"/>
    <tableColumn id="13297" xr3:uid="{DA40079A-7111-4EF1-885F-30AF0F05A853}" name="Column13297"/>
    <tableColumn id="13298" xr3:uid="{888C21EF-6EE7-4A2A-ACC2-CBD373E22BE2}" name="Column13298"/>
    <tableColumn id="13299" xr3:uid="{6CBB1FC1-0C2F-4EED-8C16-6C290C4ACD50}" name="Column13299"/>
    <tableColumn id="13300" xr3:uid="{57CE0D2B-001F-4476-AB9E-D87F593D3A0A}" name="Column13300"/>
    <tableColumn id="13301" xr3:uid="{53DA5369-9C11-419C-A1B8-D7A7EC8EDFE2}" name="Column13301"/>
    <tableColumn id="13302" xr3:uid="{2A7738FE-7EC2-4762-8044-3B5870F7C8D9}" name="Column13302"/>
    <tableColumn id="13303" xr3:uid="{51F78C11-2871-473D-ACFF-09CCAF8A0429}" name="Column13303"/>
    <tableColumn id="13304" xr3:uid="{C67D60A4-7C1D-440D-9F37-3BCEDDE08651}" name="Column13304"/>
    <tableColumn id="13305" xr3:uid="{3CD84C83-01C6-4B08-82A1-E3ACE334D660}" name="Column13305"/>
    <tableColumn id="13306" xr3:uid="{B778C724-0A7D-4E46-9C4C-3017A5853094}" name="Column13306"/>
    <tableColumn id="13307" xr3:uid="{00E6344F-F2B4-4F25-83F8-4EE7ADAD9A3E}" name="Column13307"/>
    <tableColumn id="13308" xr3:uid="{FE1AB0C7-E064-4924-95AA-5A03EF11579D}" name="Column13308"/>
    <tableColumn id="13309" xr3:uid="{7A1BA058-4BD0-434B-A708-4E658F42078F}" name="Column13309"/>
    <tableColumn id="13310" xr3:uid="{9131E916-7668-4304-9672-FAE51FAFD970}" name="Column13310"/>
    <tableColumn id="13311" xr3:uid="{843E1807-32C0-4BD7-B702-87FD5524491C}" name="Column13311"/>
    <tableColumn id="13312" xr3:uid="{8EC2B447-00AE-448B-A616-026F13DC4A15}" name="Column13312"/>
    <tableColumn id="13313" xr3:uid="{4E7A52CE-7388-44D7-B99F-65D979D45C82}" name="Column13313"/>
    <tableColumn id="13314" xr3:uid="{9CECFF88-4152-4BEE-82B0-6D54CFC81B2F}" name="Column13314"/>
    <tableColumn id="13315" xr3:uid="{41A01602-21A9-46DA-831C-2FED09859F96}" name="Column13315"/>
    <tableColumn id="13316" xr3:uid="{AA046B86-1FDA-43F9-8080-0CF831E7C94B}" name="Column13316"/>
    <tableColumn id="13317" xr3:uid="{7B55AA57-F524-4529-A6B1-D7BC92BA7A4F}" name="Column13317"/>
    <tableColumn id="13318" xr3:uid="{B9FC4CDA-3922-47CE-8CA5-B2941215E4E2}" name="Column13318"/>
    <tableColumn id="13319" xr3:uid="{C4AC3ECA-5CE3-4CD8-A0BE-608B9C7D6E4B}" name="Column13319"/>
    <tableColumn id="13320" xr3:uid="{231E788A-955A-4E99-BDD0-5604557BAFAB}" name="Column13320"/>
    <tableColumn id="13321" xr3:uid="{87F2EF00-8EF4-445A-9586-F5A3B1C7FE32}" name="Column13321"/>
    <tableColumn id="13322" xr3:uid="{524A7F0B-E6CA-4ADE-A63E-A2E98D16663C}" name="Column13322"/>
    <tableColumn id="13323" xr3:uid="{CB6C9217-7FAB-4D40-B094-A61235E011A2}" name="Column13323"/>
    <tableColumn id="13324" xr3:uid="{5219C76C-3002-4DBF-B302-0D62A27BE488}" name="Column13324"/>
    <tableColumn id="13325" xr3:uid="{A2EF5829-A8F8-49E7-AE51-E43F4DC3A25A}" name="Column13325"/>
    <tableColumn id="13326" xr3:uid="{9D15CF95-735C-435C-BC84-C660D71FAD38}" name="Column13326"/>
    <tableColumn id="13327" xr3:uid="{4B1DE9F4-C537-4484-977A-3DD79D0DDB5F}" name="Column13327"/>
    <tableColumn id="13328" xr3:uid="{F60FF546-04E2-4047-8B1D-1A05198E991E}" name="Column13328"/>
    <tableColumn id="13329" xr3:uid="{3C9AEC1B-5BAC-494E-9A6D-6F65080DF247}" name="Column13329"/>
    <tableColumn id="13330" xr3:uid="{B4851E14-3BEA-42AE-AEB9-E2E02F8957A1}" name="Column13330"/>
    <tableColumn id="13331" xr3:uid="{5DFE84BC-989A-49C2-B69C-A7CE972044A1}" name="Column13331"/>
    <tableColumn id="13332" xr3:uid="{ECB2881D-DC7C-49F2-B646-C00AB84D1959}" name="Column13332"/>
    <tableColumn id="13333" xr3:uid="{0FDF0B3E-D661-48D5-B23A-D8D443F3FF7C}" name="Column13333"/>
    <tableColumn id="13334" xr3:uid="{468C0CE5-D9A4-4451-A439-21D1DACB7E93}" name="Column13334"/>
    <tableColumn id="13335" xr3:uid="{4E3E1805-E77C-4CD0-9C35-BD631057AEBA}" name="Column13335"/>
    <tableColumn id="13336" xr3:uid="{8FA02881-54AB-4309-9F67-ABE0E63E164A}" name="Column13336"/>
    <tableColumn id="13337" xr3:uid="{772D2055-A505-4002-AC58-1E46ACB5C029}" name="Column13337"/>
    <tableColumn id="13338" xr3:uid="{AC3F8987-334F-48E8-93D2-DDFAB1A64A6B}" name="Column13338"/>
    <tableColumn id="13339" xr3:uid="{9CD1DDE2-6C9A-44DD-A683-765AD0F7D520}" name="Column13339"/>
    <tableColumn id="13340" xr3:uid="{F6ABA459-B30F-4ED7-B5D9-64EB5E745129}" name="Column13340"/>
    <tableColumn id="13341" xr3:uid="{73A6166B-BB19-4EB0-AD10-D0B8E8D156D5}" name="Column13341"/>
    <tableColumn id="13342" xr3:uid="{0CBB7FC1-74E0-470F-B6BC-1F60026BE5BB}" name="Column13342"/>
    <tableColumn id="13343" xr3:uid="{E38460C9-0A9A-4FD7-96AC-51336307D0C8}" name="Column13343"/>
    <tableColumn id="13344" xr3:uid="{00E77FD0-8117-4372-B064-A798DBF58BB8}" name="Column13344"/>
    <tableColumn id="13345" xr3:uid="{6A13915C-DBB7-4713-AF12-4F0F560F44F8}" name="Column13345"/>
    <tableColumn id="13346" xr3:uid="{F5AF1317-DBDA-4D97-B202-F009967B6920}" name="Column13346"/>
    <tableColumn id="13347" xr3:uid="{FDBF673A-D3ED-4DFE-BD7A-C7A0BE4C3406}" name="Column13347"/>
    <tableColumn id="13348" xr3:uid="{6DAB0FB8-AD26-47CB-82F3-E737CB2C6415}" name="Column13348"/>
    <tableColumn id="13349" xr3:uid="{8DF9CABC-6A8D-45A2-970D-FACC941EA5FE}" name="Column13349"/>
    <tableColumn id="13350" xr3:uid="{AEC5A773-79CF-4232-B635-E9AEE6EDF4CF}" name="Column13350"/>
    <tableColumn id="13351" xr3:uid="{07F72F84-C8BC-4003-BD42-D18246654EE0}" name="Column13351"/>
    <tableColumn id="13352" xr3:uid="{B2174142-0CE4-48D2-8525-17803E76D15A}" name="Column13352"/>
    <tableColumn id="13353" xr3:uid="{E80673C3-68D2-468B-85C6-02F1FDCE7649}" name="Column13353"/>
    <tableColumn id="13354" xr3:uid="{BC69DA21-FFBB-45F2-9AFD-3D9C3D853171}" name="Column13354"/>
    <tableColumn id="13355" xr3:uid="{914833CB-7E3A-4092-85BC-FFAA42710A3F}" name="Column13355"/>
    <tableColumn id="13356" xr3:uid="{6509B345-AADE-4C8C-8BDE-0940A654D8A8}" name="Column13356"/>
    <tableColumn id="13357" xr3:uid="{E9F91477-E65A-4A48-8017-30F994323C50}" name="Column13357"/>
    <tableColumn id="13358" xr3:uid="{38299065-D4EF-499D-8DD3-A98173CB5D64}" name="Column13358"/>
    <tableColumn id="13359" xr3:uid="{B8E22CD0-B7DD-4D85-A576-6BBE31D02FB7}" name="Column13359"/>
    <tableColumn id="13360" xr3:uid="{24CEB897-52A5-4376-843B-EC616DAF89A5}" name="Column13360"/>
    <tableColumn id="13361" xr3:uid="{C00E9894-F1E7-4175-989E-672ED9565043}" name="Column13361"/>
    <tableColumn id="13362" xr3:uid="{6AA9DDC1-C91E-4E50-BD3B-1EF087C10098}" name="Column13362"/>
    <tableColumn id="13363" xr3:uid="{322D1A9B-6E58-4459-B9AD-AD8AD7D17185}" name="Column13363"/>
    <tableColumn id="13364" xr3:uid="{920EB384-76C8-488E-AC7C-7C9679E06587}" name="Column13364"/>
    <tableColumn id="13365" xr3:uid="{D8AE02C9-6651-4CC7-9CCC-471ACC394C29}" name="Column13365"/>
    <tableColumn id="13366" xr3:uid="{C1413521-FB3A-422A-80C4-8A465B6C49C1}" name="Column13366"/>
    <tableColumn id="13367" xr3:uid="{FA63220E-7553-4334-B07E-C42C34F78B05}" name="Column13367"/>
    <tableColumn id="13368" xr3:uid="{C9D4458F-0B81-4CA4-AF91-F22F7F0DC554}" name="Column13368"/>
    <tableColumn id="13369" xr3:uid="{273CAA9C-BC78-47AA-98FD-EF0DEB277125}" name="Column13369"/>
    <tableColumn id="13370" xr3:uid="{EA59028D-9DCA-4481-AFB2-CD505CEE87E5}" name="Column13370"/>
    <tableColumn id="13371" xr3:uid="{5E9C25D6-DF0E-4E2C-822B-824AB0A20061}" name="Column13371"/>
    <tableColumn id="13372" xr3:uid="{B4DA57EA-8C14-4DE0-A9C5-BD98F8D47E61}" name="Column13372"/>
    <tableColumn id="13373" xr3:uid="{B4B398C9-8974-4E7D-A1CA-0A64E9EB607A}" name="Column13373"/>
    <tableColumn id="13374" xr3:uid="{84C34408-1B30-45C9-8D03-B5D1B8770912}" name="Column13374"/>
    <tableColumn id="13375" xr3:uid="{CEEA9449-32B2-4553-A00D-5FDBE275F0D0}" name="Column13375"/>
    <tableColumn id="13376" xr3:uid="{45DFF122-9EF7-4F32-B23D-BA51C755C035}" name="Column13376"/>
    <tableColumn id="13377" xr3:uid="{B813CAA0-1E2B-41C1-B359-9C4DAEE6CD6A}" name="Column13377"/>
    <tableColumn id="13378" xr3:uid="{57C873E7-8F58-4BC5-979A-A8F88854E723}" name="Column13378"/>
    <tableColumn id="13379" xr3:uid="{6E7AF567-5C29-4B3E-A667-28E242E72844}" name="Column13379"/>
    <tableColumn id="13380" xr3:uid="{BAD180AD-553D-47E5-B89E-C6F15C0FA79E}" name="Column13380"/>
    <tableColumn id="13381" xr3:uid="{E0A7FF56-D4C6-4C02-91E4-49950E8CDDE1}" name="Column13381"/>
    <tableColumn id="13382" xr3:uid="{6064D562-F360-4293-AB77-243D90625908}" name="Column13382"/>
    <tableColumn id="13383" xr3:uid="{F690DDA0-6F19-4CC0-AEEB-53836792E3F4}" name="Column13383"/>
    <tableColumn id="13384" xr3:uid="{52195497-A8CA-46C1-A1B4-C25E3494ECFF}" name="Column13384"/>
    <tableColumn id="13385" xr3:uid="{16BCC16B-F7ED-4CDF-895A-22688E6C304B}" name="Column13385"/>
    <tableColumn id="13386" xr3:uid="{CBE2E0ED-5F57-4776-9F06-8969616EA477}" name="Column13386"/>
    <tableColumn id="13387" xr3:uid="{D3DA9EC2-0579-4E6C-AED1-731C0381CE16}" name="Column13387"/>
    <tableColumn id="13388" xr3:uid="{3F7FF8DD-0C36-4F13-A0C0-339AEA938C72}" name="Column13388"/>
    <tableColumn id="13389" xr3:uid="{387A967C-A637-4B39-9249-45951FF4BB49}" name="Column13389"/>
    <tableColumn id="13390" xr3:uid="{D40B606E-D550-4333-8B8E-1FAC100EFE51}" name="Column13390"/>
    <tableColumn id="13391" xr3:uid="{FC5DFFD3-EC43-417B-BB40-00B30D212A1E}" name="Column13391"/>
    <tableColumn id="13392" xr3:uid="{571120DA-DDC7-4032-8159-3412F83B4601}" name="Column13392"/>
    <tableColumn id="13393" xr3:uid="{4816DFA8-D80C-4461-A561-9548C2E6379B}" name="Column13393"/>
    <tableColumn id="13394" xr3:uid="{C2440E09-FC49-4BDC-B189-550503878BA8}" name="Column13394"/>
    <tableColumn id="13395" xr3:uid="{278F8CE2-DBC9-4982-AFAF-DDBA2F4F2791}" name="Column13395"/>
    <tableColumn id="13396" xr3:uid="{C4368E7F-73F3-408D-A0B9-CC0518A70D6B}" name="Column13396"/>
    <tableColumn id="13397" xr3:uid="{8BEC38B0-D067-42F8-8E44-8BEC91110341}" name="Column13397"/>
    <tableColumn id="13398" xr3:uid="{2E21A61A-7A94-42F5-9D93-FF14263C80F8}" name="Column13398"/>
    <tableColumn id="13399" xr3:uid="{25AA8E96-5617-412B-A5BF-44B3B150CC20}" name="Column13399"/>
    <tableColumn id="13400" xr3:uid="{581A3CD2-0694-4F4C-AB80-FAC14E5AE1CD}" name="Column13400"/>
    <tableColumn id="13401" xr3:uid="{179518A9-501A-40BD-84B5-5E91743C9D38}" name="Column13401"/>
    <tableColumn id="13402" xr3:uid="{A2E63B85-E618-45B9-9B7C-2DA81991D19E}" name="Column13402"/>
    <tableColumn id="13403" xr3:uid="{A1F04F1F-9708-48E2-9994-DBF8F326982D}" name="Column13403"/>
    <tableColumn id="13404" xr3:uid="{70D7129D-A306-4FF8-B81B-23863B2E8D44}" name="Column13404"/>
    <tableColumn id="13405" xr3:uid="{B375B88E-5ED9-4444-9722-A67AA9E8899E}" name="Column13405"/>
    <tableColumn id="13406" xr3:uid="{A2BEA497-60E8-4FBB-AA88-BB9AEE104B82}" name="Column13406"/>
    <tableColumn id="13407" xr3:uid="{DA0548CF-E025-4D00-99A8-B8E406EA5BDE}" name="Column13407"/>
    <tableColumn id="13408" xr3:uid="{8FBB14F4-7562-42EA-8D24-B611609CF8E6}" name="Column13408"/>
    <tableColumn id="13409" xr3:uid="{09979550-1BD2-41A2-A4FE-18A3C9555EE3}" name="Column13409"/>
    <tableColumn id="13410" xr3:uid="{927C1DFB-FD4B-4B59-9063-FC6782C18CDD}" name="Column13410"/>
    <tableColumn id="13411" xr3:uid="{D1CEB4E1-034D-4364-AA1D-AF64134D0605}" name="Column13411"/>
    <tableColumn id="13412" xr3:uid="{963EFC90-970E-4EE3-85EF-49FD84478577}" name="Column13412"/>
    <tableColumn id="13413" xr3:uid="{7FCBD535-5A93-4698-8A87-7C308C07CD0B}" name="Column13413"/>
    <tableColumn id="13414" xr3:uid="{D763564D-D74C-43A4-A8D3-B50BC5B47513}" name="Column13414"/>
    <tableColumn id="13415" xr3:uid="{DBAF2025-F950-4616-B43A-D0D391DE477A}" name="Column13415"/>
    <tableColumn id="13416" xr3:uid="{192B19ED-3ADA-4DCB-9465-0CB9C4651BC8}" name="Column13416"/>
    <tableColumn id="13417" xr3:uid="{7E14F4DF-6CD1-4EE4-94DC-4B37B422EF5B}" name="Column13417"/>
    <tableColumn id="13418" xr3:uid="{EFB53EC8-C572-40AA-884B-AA81CF51B0D4}" name="Column13418"/>
    <tableColumn id="13419" xr3:uid="{E013B376-7FCB-4813-A25A-351BE382926E}" name="Column13419"/>
    <tableColumn id="13420" xr3:uid="{38F8A6A5-FF5C-4A02-8E77-E19E7A258FA0}" name="Column13420"/>
    <tableColumn id="13421" xr3:uid="{65C44BE4-9BAC-4EE4-9519-192C9CB5F9E0}" name="Column13421"/>
    <tableColumn id="13422" xr3:uid="{FDD66BD5-6B83-4C9A-80BF-F04F595ED1DE}" name="Column13422"/>
    <tableColumn id="13423" xr3:uid="{D986EC4B-6B7E-4330-A059-E396FBFBB443}" name="Column13423"/>
    <tableColumn id="13424" xr3:uid="{9FF13AC1-9761-4946-965A-7985067396ED}" name="Column13424"/>
    <tableColumn id="13425" xr3:uid="{04E94F38-FEE5-4BEF-BDDC-7748BFF4CEDD}" name="Column13425"/>
    <tableColumn id="13426" xr3:uid="{34F6B60F-00FA-4895-84E8-DF3382435404}" name="Column13426"/>
    <tableColumn id="13427" xr3:uid="{E44FF592-B681-49E0-8887-3B4FA2199F51}" name="Column13427"/>
    <tableColumn id="13428" xr3:uid="{A4E98BF7-4BD1-42E3-936C-6601953AC216}" name="Column13428"/>
    <tableColumn id="13429" xr3:uid="{9305C712-36C2-41FD-9F60-074F9E36EDA8}" name="Column13429"/>
    <tableColumn id="13430" xr3:uid="{5DE6C3A5-36BB-4EDE-ACFD-667E73816F65}" name="Column13430"/>
    <tableColumn id="13431" xr3:uid="{9F18C372-AE89-42A0-935D-3826F2AD32EA}" name="Column13431"/>
    <tableColumn id="13432" xr3:uid="{95DA6D52-4328-42BD-B5D4-0F3647C66ECC}" name="Column13432"/>
    <tableColumn id="13433" xr3:uid="{EFD950A6-76C9-48BF-B220-C18A426816E0}" name="Column13433"/>
    <tableColumn id="13434" xr3:uid="{1B012E6B-0F64-413C-8C98-31081C041529}" name="Column13434"/>
    <tableColumn id="13435" xr3:uid="{3A748D82-431F-4E89-9AE2-8385A88FBB88}" name="Column13435"/>
    <tableColumn id="13436" xr3:uid="{FC929CA6-B967-481E-A67B-0A24A41E313B}" name="Column13436"/>
    <tableColumn id="13437" xr3:uid="{F739B7DB-A298-4F7A-BB9D-E3240093E5F9}" name="Column13437"/>
    <tableColumn id="13438" xr3:uid="{0EABA273-3FF8-4337-AFB2-A7A9A4CEC859}" name="Column13438"/>
    <tableColumn id="13439" xr3:uid="{A294F29E-6CA2-4B37-B9F0-84B8A037E9EF}" name="Column13439"/>
    <tableColumn id="13440" xr3:uid="{125A14B4-BA59-4EA7-A18B-4BF23388D94A}" name="Column13440"/>
    <tableColumn id="13441" xr3:uid="{E0E043A1-45E2-4F1C-A042-9BFD9B56F53A}" name="Column13441"/>
    <tableColumn id="13442" xr3:uid="{EC7058E4-8F1B-4F9B-AAD6-EEF5C5298512}" name="Column13442"/>
    <tableColumn id="13443" xr3:uid="{D75D5EC6-ACB2-40CF-8A26-A7C4D0CE98D1}" name="Column13443"/>
    <tableColumn id="13444" xr3:uid="{EAEDF3DD-6829-4EAC-9A98-9EB7B1F89E10}" name="Column13444"/>
    <tableColumn id="13445" xr3:uid="{9BFD772D-4862-42D9-A0C8-29E1E1FEF418}" name="Column13445"/>
    <tableColumn id="13446" xr3:uid="{24D6A8B5-A1F1-46C1-A3F4-6F1BE437D945}" name="Column13446"/>
    <tableColumn id="13447" xr3:uid="{59DB7FFA-4B15-4111-8918-3839ACBD15EC}" name="Column13447"/>
    <tableColumn id="13448" xr3:uid="{F2C3744D-364C-4387-9FCF-6620C54136B4}" name="Column13448"/>
    <tableColumn id="13449" xr3:uid="{EED27339-8AF3-4E6C-A751-35840C86AEA9}" name="Column13449"/>
    <tableColumn id="13450" xr3:uid="{BF5E7F54-9BE5-4BB6-ABE6-36E79C638C13}" name="Column13450"/>
    <tableColumn id="13451" xr3:uid="{74A17966-65A3-4AD1-AABF-15C177045BA2}" name="Column13451"/>
    <tableColumn id="13452" xr3:uid="{AC2EFA0D-6339-4624-82E1-08B2C61BE888}" name="Column13452"/>
    <tableColumn id="13453" xr3:uid="{5D972730-AF32-4BD9-B225-4A2542835E29}" name="Column13453"/>
    <tableColumn id="13454" xr3:uid="{95542AA8-455C-4CCE-AC37-80B691416215}" name="Column13454"/>
    <tableColumn id="13455" xr3:uid="{E8C775E8-FA57-4C05-87AA-F03956F05C5B}" name="Column13455"/>
    <tableColumn id="13456" xr3:uid="{615AC676-C789-475B-B5A7-ECB784495CB6}" name="Column13456"/>
    <tableColumn id="13457" xr3:uid="{BF272EB7-65BC-4189-96EC-070512A4A0A2}" name="Column13457"/>
    <tableColumn id="13458" xr3:uid="{474B9F5C-8EBA-4AFC-AA06-ECC17644B96C}" name="Column13458"/>
    <tableColumn id="13459" xr3:uid="{2CAAC353-2A13-4E93-8F8D-E9A5B696D840}" name="Column13459"/>
    <tableColumn id="13460" xr3:uid="{3FEF6B05-3A90-498F-BDAD-50C2B9F3BE45}" name="Column13460"/>
    <tableColumn id="13461" xr3:uid="{5C1FC39F-0FB5-44AA-B482-8F100FEC5D81}" name="Column13461"/>
    <tableColumn id="13462" xr3:uid="{FF96E229-5EFB-4FF3-8533-B1B81C9BE99D}" name="Column13462"/>
    <tableColumn id="13463" xr3:uid="{A7D38411-8A32-4864-BF52-6BC87D926C12}" name="Column13463"/>
    <tableColumn id="13464" xr3:uid="{3D0A0E4F-6BC3-43BF-A5B2-F4211780A919}" name="Column13464"/>
    <tableColumn id="13465" xr3:uid="{39EBD1BB-EB63-4EEB-A823-BCACB4C532E9}" name="Column13465"/>
    <tableColumn id="13466" xr3:uid="{07C31060-56C6-45F9-8657-A4E0AB43DD6A}" name="Column13466"/>
    <tableColumn id="13467" xr3:uid="{7A132043-1C5B-454C-B482-A8CAF9959D6F}" name="Column13467"/>
    <tableColumn id="13468" xr3:uid="{5F0A4038-8BCE-452C-BB74-C0238F30E587}" name="Column13468"/>
    <tableColumn id="13469" xr3:uid="{81621663-22CE-4F44-B0E0-28889AA7CFD2}" name="Column13469"/>
    <tableColumn id="13470" xr3:uid="{AE9BA008-B33F-4683-ACDA-54AA53FBDFE1}" name="Column13470"/>
    <tableColumn id="13471" xr3:uid="{E4F2469C-B088-42A7-8959-ACB5EFC861EE}" name="Column13471"/>
    <tableColumn id="13472" xr3:uid="{AD3E59EC-B02D-4FFB-BF26-36BB928B0ED0}" name="Column13472"/>
    <tableColumn id="13473" xr3:uid="{A0F9FCA9-1164-4143-BFDE-9186BF00D97D}" name="Column13473"/>
    <tableColumn id="13474" xr3:uid="{C1EAD87F-ABDD-4120-8B1C-2008F4F7C0ED}" name="Column13474"/>
    <tableColumn id="13475" xr3:uid="{3A578BA3-72D7-4C5C-9D74-16F42F244BF0}" name="Column13475"/>
    <tableColumn id="13476" xr3:uid="{B3AF3810-2904-410F-95BD-D5AF13A49100}" name="Column13476"/>
    <tableColumn id="13477" xr3:uid="{C534D907-9268-4D92-95B7-5F2D92FEBB15}" name="Column13477"/>
    <tableColumn id="13478" xr3:uid="{5DC5F3BB-2647-4FE1-B2BA-B3714A9E37AE}" name="Column13478"/>
    <tableColumn id="13479" xr3:uid="{94430EC4-65A0-4E69-819A-EBB792BAD00F}" name="Column13479"/>
    <tableColumn id="13480" xr3:uid="{6D181EC7-6F59-46F7-B5BF-730AA3AFB909}" name="Column13480"/>
    <tableColumn id="13481" xr3:uid="{1A238FCB-738D-4DC4-95F1-7A848D488F94}" name="Column13481"/>
    <tableColumn id="13482" xr3:uid="{8FE84D06-B807-4508-AF33-F62FC58196D3}" name="Column13482"/>
    <tableColumn id="13483" xr3:uid="{AD4ACD0B-E81B-4400-84EA-3E98EFAB7ED1}" name="Column13483"/>
    <tableColumn id="13484" xr3:uid="{0DA7C1AE-D088-4753-A365-246BB6F46BF7}" name="Column13484"/>
    <tableColumn id="13485" xr3:uid="{F0757071-5303-4DAA-A9DC-F611645AD8B5}" name="Column13485"/>
    <tableColumn id="13486" xr3:uid="{9C06A362-2C04-4750-903C-32BFD63D1223}" name="Column13486"/>
    <tableColumn id="13487" xr3:uid="{4D33FD74-DADA-4A73-8AEE-30B0881D6855}" name="Column13487"/>
    <tableColumn id="13488" xr3:uid="{17C917F1-5DF0-450E-B872-2CA6FC9D1A0B}" name="Column13488"/>
    <tableColumn id="13489" xr3:uid="{90630CD5-3D00-4F8D-91DC-532923D3BE85}" name="Column13489"/>
    <tableColumn id="13490" xr3:uid="{8F801537-EAC8-4565-91DB-F2BCEA294633}" name="Column13490"/>
    <tableColumn id="13491" xr3:uid="{6679256C-D4E7-4153-9D2A-D13AAF17F721}" name="Column13491"/>
    <tableColumn id="13492" xr3:uid="{6116D7A6-D2B7-42D7-9954-5CBDFFF6BA19}" name="Column13492"/>
    <tableColumn id="13493" xr3:uid="{F6DC9B7C-3B56-406A-B175-B4E54A06EE86}" name="Column13493"/>
    <tableColumn id="13494" xr3:uid="{00DEC139-FC52-42AF-8EF4-2BF7761E1073}" name="Column13494"/>
    <tableColumn id="13495" xr3:uid="{626DC5F0-0A13-42AE-A779-5A968C0D2768}" name="Column13495"/>
    <tableColumn id="13496" xr3:uid="{32B13AD9-B6BB-45FF-9EE1-4C8339B9D55F}" name="Column13496"/>
    <tableColumn id="13497" xr3:uid="{86BB0F8B-B0B9-49CD-BB30-D498C37B4329}" name="Column13497"/>
    <tableColumn id="13498" xr3:uid="{B6043A8C-0E6A-4329-9A92-BB4E09722096}" name="Column13498"/>
    <tableColumn id="13499" xr3:uid="{BDC46BDD-6483-48F5-8D78-B9A0634EEAAA}" name="Column13499"/>
    <tableColumn id="13500" xr3:uid="{0D37A804-4A5A-4165-94F8-CCD4FD053711}" name="Column13500"/>
    <tableColumn id="13501" xr3:uid="{38B1E559-E141-47DC-9664-F6E892C9BE77}" name="Column13501"/>
    <tableColumn id="13502" xr3:uid="{F1693E57-2AAF-4096-9C48-8EB4F6E0A179}" name="Column13502"/>
    <tableColumn id="13503" xr3:uid="{1C404150-4E64-45A1-8131-DB46AC62F428}" name="Column13503"/>
    <tableColumn id="13504" xr3:uid="{C198B8CD-CC16-42FE-8D07-165383FBE948}" name="Column13504"/>
    <tableColumn id="13505" xr3:uid="{C479981E-BB10-4AE4-99FD-CB7CD1768F68}" name="Column13505"/>
    <tableColumn id="13506" xr3:uid="{98001500-7678-4E16-AF57-F93EC80111B1}" name="Column13506"/>
    <tableColumn id="13507" xr3:uid="{947F54B1-1DE9-4EC1-A7A1-EB820A967C0D}" name="Column13507"/>
    <tableColumn id="13508" xr3:uid="{F391AF80-E9B7-42DC-8D2F-51D30A533DA2}" name="Column13508"/>
    <tableColumn id="13509" xr3:uid="{AB2915DA-418D-4D3C-BAA5-61A5ECFBE69A}" name="Column13509"/>
    <tableColumn id="13510" xr3:uid="{091F3BA4-DBE1-4098-B9A9-23B54E49A77E}" name="Column13510"/>
    <tableColumn id="13511" xr3:uid="{A1148D84-BB80-40AB-BEA8-017DC8142D44}" name="Column13511"/>
    <tableColumn id="13512" xr3:uid="{C4F452EC-5FE4-422B-BA29-B8992C4350E0}" name="Column13512"/>
    <tableColumn id="13513" xr3:uid="{DBACBC07-63BD-4A5E-A7FE-2B40CE1FBF05}" name="Column13513"/>
    <tableColumn id="13514" xr3:uid="{FF74BAC0-D9D0-48B5-91D2-7ACA3D5ADBBD}" name="Column13514"/>
    <tableColumn id="13515" xr3:uid="{EA0FFF21-3DF2-4583-A121-9E27542B46F4}" name="Column13515"/>
    <tableColumn id="13516" xr3:uid="{37EFBE0E-FC39-4FBF-8948-4DE9F409C75F}" name="Column13516"/>
    <tableColumn id="13517" xr3:uid="{6E5E12C9-5C59-4777-9742-A0586946E221}" name="Column13517"/>
    <tableColumn id="13518" xr3:uid="{373292E8-FA7B-4E3E-AB2A-42C9FD6E61A6}" name="Column13518"/>
    <tableColumn id="13519" xr3:uid="{B84ABAF3-09C9-4B67-8323-1A578672AC43}" name="Column13519"/>
    <tableColumn id="13520" xr3:uid="{E2E6103C-D5A9-4A30-A3E2-3CD7793F5FF4}" name="Column13520"/>
    <tableColumn id="13521" xr3:uid="{54FACD8E-B449-48D1-9703-B60DB574A773}" name="Column13521"/>
    <tableColumn id="13522" xr3:uid="{77F6C7FF-14C3-4214-9698-429A6CCD1926}" name="Column13522"/>
    <tableColumn id="13523" xr3:uid="{E16C9861-198A-43BA-BC73-CCCF9CB9D813}" name="Column13523"/>
    <tableColumn id="13524" xr3:uid="{C3991FE0-5567-4588-963F-8D8F3A54290C}" name="Column13524"/>
    <tableColumn id="13525" xr3:uid="{6E8A4369-F0DF-42FA-9134-A64B230C44D5}" name="Column13525"/>
    <tableColumn id="13526" xr3:uid="{7D81B581-F9C9-4396-BE18-20632FF0AFDC}" name="Column13526"/>
    <tableColumn id="13527" xr3:uid="{C0D9D231-BCB9-4070-A67D-13A24C4CEE8B}" name="Column13527"/>
    <tableColumn id="13528" xr3:uid="{47FB3F5D-701C-4270-BF4B-127C96078DE0}" name="Column13528"/>
    <tableColumn id="13529" xr3:uid="{0C5CFA47-6297-4823-A9F6-E79737DC1CB7}" name="Column13529"/>
    <tableColumn id="13530" xr3:uid="{E83B8497-AE8B-4CC6-9281-F7D7124E05C4}" name="Column13530"/>
    <tableColumn id="13531" xr3:uid="{D5DCD862-DC3E-41B6-B9D8-749E57F92FE4}" name="Column13531"/>
    <tableColumn id="13532" xr3:uid="{BBAC4F35-03D2-42D2-863E-ABED467D5151}" name="Column13532"/>
    <tableColumn id="13533" xr3:uid="{E005102C-73E8-48E1-B4D2-C74019C546A4}" name="Column13533"/>
    <tableColumn id="13534" xr3:uid="{DD2492A3-699D-4D50-9F86-9F12528482A5}" name="Column13534"/>
    <tableColumn id="13535" xr3:uid="{43C34974-C7FC-4A21-856C-63BBE6917D33}" name="Column13535"/>
    <tableColumn id="13536" xr3:uid="{0C05664D-D0E1-4094-9959-4F6A07FEEBEA}" name="Column13536"/>
    <tableColumn id="13537" xr3:uid="{12160D0A-FA92-4485-981A-83C8D1941C93}" name="Column13537"/>
    <tableColumn id="13538" xr3:uid="{97B40802-05DF-4BDA-B9DD-75E01F898A60}" name="Column13538"/>
    <tableColumn id="13539" xr3:uid="{A43DF040-CDD4-4349-A668-B3F5B0739B7A}" name="Column13539"/>
    <tableColumn id="13540" xr3:uid="{1BB64120-BBAB-4363-8751-3C46682749F5}" name="Column13540"/>
    <tableColumn id="13541" xr3:uid="{E843C5DC-831B-49E5-9251-40A5E35C3BCF}" name="Column13541"/>
    <tableColumn id="13542" xr3:uid="{52BD6275-B17E-45B7-87FA-74B81EF0BE84}" name="Column13542"/>
    <tableColumn id="13543" xr3:uid="{144314C7-1E2E-4E2B-8B9A-B17CC8C16DB0}" name="Column13543"/>
    <tableColumn id="13544" xr3:uid="{7EEF1E4B-76B7-444C-9B9B-FAE3069C0471}" name="Column13544"/>
    <tableColumn id="13545" xr3:uid="{CFAFA1E8-9B4F-47D6-9CCF-A5BC6331872E}" name="Column13545"/>
    <tableColumn id="13546" xr3:uid="{3C8B4686-5FC9-4163-BAA4-C132021429B8}" name="Column13546"/>
    <tableColumn id="13547" xr3:uid="{DBB87112-7434-44EC-8A5E-4061A21FDDD3}" name="Column13547"/>
    <tableColumn id="13548" xr3:uid="{E396E44B-307A-4BFB-9E54-02CBC58C611D}" name="Column13548"/>
    <tableColumn id="13549" xr3:uid="{EB2EAFD2-A6A7-4052-B1E6-7F6C16EA4FF8}" name="Column13549"/>
    <tableColumn id="13550" xr3:uid="{3385E5E4-70F1-4463-AE25-103F6B49C63E}" name="Column13550"/>
    <tableColumn id="13551" xr3:uid="{0A236156-F5D5-455A-8246-E2F56BB76A57}" name="Column13551"/>
    <tableColumn id="13552" xr3:uid="{C090A5CC-23C2-47B3-A67A-005C59023EA9}" name="Column13552"/>
    <tableColumn id="13553" xr3:uid="{D1836A13-56DB-431F-AA6E-84EF5F685831}" name="Column13553"/>
    <tableColumn id="13554" xr3:uid="{A037981A-7979-40AD-A934-B1A6FD645039}" name="Column13554"/>
    <tableColumn id="13555" xr3:uid="{9F67B30B-B8FD-412F-842D-87A7F384C71A}" name="Column13555"/>
    <tableColumn id="13556" xr3:uid="{CB4FADD0-AABE-4B6B-BE8A-C7768A79C9F8}" name="Column13556"/>
    <tableColumn id="13557" xr3:uid="{4C9278BB-5A42-48A1-8171-A246E8D7C4F2}" name="Column13557"/>
    <tableColumn id="13558" xr3:uid="{FFDBEAA2-5A5A-440B-A8D7-3A23A6F08D0C}" name="Column13558"/>
    <tableColumn id="13559" xr3:uid="{978E5261-2B66-4420-8E7B-E3A17755B0FF}" name="Column13559"/>
    <tableColumn id="13560" xr3:uid="{717372B8-767F-49E5-8830-39A61C0A6BCA}" name="Column13560"/>
    <tableColumn id="13561" xr3:uid="{AD306F09-C85F-4AE7-AC32-1F3858C58BEA}" name="Column13561"/>
    <tableColumn id="13562" xr3:uid="{64483FE5-F473-42BD-A50A-0B5CDB5EAF37}" name="Column13562"/>
    <tableColumn id="13563" xr3:uid="{6D75BEFA-1CCF-44B7-9604-B9A61F36047E}" name="Column13563"/>
    <tableColumn id="13564" xr3:uid="{4BEC50C2-5B24-479A-A0CD-4430F6287E21}" name="Column13564"/>
    <tableColumn id="13565" xr3:uid="{39470A08-88D9-453D-8CE6-E0B9C90B91F2}" name="Column13565"/>
    <tableColumn id="13566" xr3:uid="{BF02FC13-60A4-46D8-BDB3-89E8C51F89B4}" name="Column13566"/>
    <tableColumn id="13567" xr3:uid="{EBA3ECED-DE6D-478E-A16A-0312416EF7DF}" name="Column13567"/>
    <tableColumn id="13568" xr3:uid="{4947FE6B-FCBA-455D-9769-D86193E9BF4E}" name="Column13568"/>
    <tableColumn id="13569" xr3:uid="{1A9723D5-FA39-4808-9D77-FA5693D7367A}" name="Column13569"/>
    <tableColumn id="13570" xr3:uid="{7D480737-4A81-4B95-9BE6-22C9DB4B33F0}" name="Column13570"/>
    <tableColumn id="13571" xr3:uid="{69D90FEB-AD49-4415-9FB5-47FC2FAC3B52}" name="Column13571"/>
    <tableColumn id="13572" xr3:uid="{8E6974BA-ABCE-4468-802F-FDFFD80AC6B4}" name="Column13572"/>
    <tableColumn id="13573" xr3:uid="{34AC1037-CBC8-4769-A4B9-AA727DA697E8}" name="Column13573"/>
    <tableColumn id="13574" xr3:uid="{6EDF42D3-5431-4E28-9B76-057730BDA459}" name="Column13574"/>
    <tableColumn id="13575" xr3:uid="{D7E35C9A-AB49-4A24-838A-4C25EC118D45}" name="Column13575"/>
    <tableColumn id="13576" xr3:uid="{DD8C7526-D322-4AD6-B673-9BD2D444933A}" name="Column13576"/>
    <tableColumn id="13577" xr3:uid="{41093BB4-3E4A-4278-8F7A-523286CCB502}" name="Column13577"/>
    <tableColumn id="13578" xr3:uid="{0AFEF617-8E53-42E8-9124-C8ACD9156C67}" name="Column13578"/>
    <tableColumn id="13579" xr3:uid="{7D187C5F-FA5E-4BBB-A166-C2642C9EDECB}" name="Column13579"/>
    <tableColumn id="13580" xr3:uid="{71ADBB99-A8E7-4ACD-BAFB-1016A126778E}" name="Column13580"/>
    <tableColumn id="13581" xr3:uid="{34462BE9-668C-4989-9CCF-35F33468037C}" name="Column13581"/>
    <tableColumn id="13582" xr3:uid="{19A390C0-DDDC-47A3-84D0-096FD8150BB8}" name="Column13582"/>
    <tableColumn id="13583" xr3:uid="{58644000-7644-4F76-88BD-2B55E32B33BD}" name="Column13583"/>
    <tableColumn id="13584" xr3:uid="{8D1FDDCE-B281-496D-99B6-CC046E8B97F1}" name="Column13584"/>
    <tableColumn id="13585" xr3:uid="{46A716DF-9983-42C5-A2AD-6F6E945ADE9C}" name="Column13585"/>
    <tableColumn id="13586" xr3:uid="{6E6419E6-5399-41E1-B65F-16C6C313D61C}" name="Column13586"/>
    <tableColumn id="13587" xr3:uid="{AD857690-9F00-474E-8E01-830BA57163E6}" name="Column13587"/>
    <tableColumn id="13588" xr3:uid="{86FE7619-04DA-4D3F-84B0-27BF3B8AA513}" name="Column13588"/>
    <tableColumn id="13589" xr3:uid="{60A636D6-ABBF-4E62-9423-7B2013A00DAD}" name="Column13589"/>
    <tableColumn id="13590" xr3:uid="{45098DFC-2F8D-4D6F-AC44-0A503E7D9EAF}" name="Column13590"/>
    <tableColumn id="13591" xr3:uid="{CEC151C5-9A9E-46F4-AC1C-24D3982B155B}" name="Column13591"/>
    <tableColumn id="13592" xr3:uid="{57F76B8C-614D-4DEA-B434-F93A6962A7DC}" name="Column13592"/>
    <tableColumn id="13593" xr3:uid="{FF96D1E5-E1E9-4B10-ABE1-E28176765CDE}" name="Column13593"/>
    <tableColumn id="13594" xr3:uid="{2CC1493F-2320-4BEC-844F-4C0F84683907}" name="Column13594"/>
    <tableColumn id="13595" xr3:uid="{D22047B5-DD91-47A5-988D-BCCA0AB763C5}" name="Column13595"/>
    <tableColumn id="13596" xr3:uid="{EF7D5BD7-5B70-45DD-8EFC-E0CAC4A59B57}" name="Column13596"/>
    <tableColumn id="13597" xr3:uid="{69CF82B7-3093-4479-BB6C-4C94CF1C4A34}" name="Column13597"/>
    <tableColumn id="13598" xr3:uid="{F06459E4-D179-45CE-B08C-EAA1BD6F4B89}" name="Column13598"/>
    <tableColumn id="13599" xr3:uid="{49F48454-74E0-47BB-9538-1199A92B4AA1}" name="Column13599"/>
    <tableColumn id="13600" xr3:uid="{FD32AD63-7F2B-46D4-ADB0-B1195A5E34A9}" name="Column13600"/>
    <tableColumn id="13601" xr3:uid="{D3931FEC-185C-45DE-BE46-86E193CB239A}" name="Column13601"/>
    <tableColumn id="13602" xr3:uid="{8D7259D6-1918-4246-B3B1-E434CF563FAE}" name="Column13602"/>
    <tableColumn id="13603" xr3:uid="{93F5719A-2365-4ECB-991A-60B171BB81FA}" name="Column13603"/>
    <tableColumn id="13604" xr3:uid="{D149B02A-BCD2-4417-963C-3AD9B3988771}" name="Column13604"/>
    <tableColumn id="13605" xr3:uid="{9DC946DF-C434-4C1A-99E6-2EDEA8663720}" name="Column13605"/>
    <tableColumn id="13606" xr3:uid="{83C1D23A-7F4D-4097-BD71-0329B1ED0809}" name="Column13606"/>
    <tableColumn id="13607" xr3:uid="{313C5EC1-9CE8-41AF-8D70-08F38A87BFFB}" name="Column13607"/>
    <tableColumn id="13608" xr3:uid="{769B2FD9-A667-45B6-A501-71FF4CC5D266}" name="Column13608"/>
    <tableColumn id="13609" xr3:uid="{8A551FAC-1727-4BDE-884E-C370C7F9DB05}" name="Column13609"/>
    <tableColumn id="13610" xr3:uid="{F36C4F3C-8EF0-4D9F-A71C-2C6EA877318C}" name="Column13610"/>
    <tableColumn id="13611" xr3:uid="{0AF69097-A5AC-4890-907A-77334A125507}" name="Column13611"/>
    <tableColumn id="13612" xr3:uid="{0ED5A682-73CA-47B6-9686-597A2978EB23}" name="Column13612"/>
    <tableColumn id="13613" xr3:uid="{D0F4B60E-CDBB-4E1F-8EFC-01B50F6C0CD9}" name="Column13613"/>
    <tableColumn id="13614" xr3:uid="{769F620C-12FE-4448-9A0F-2E4B8DF5B853}" name="Column13614"/>
    <tableColumn id="13615" xr3:uid="{49B90152-BAFA-411A-B7A5-59404135085C}" name="Column13615"/>
    <tableColumn id="13616" xr3:uid="{39D17BFE-D824-4F8C-B589-5EE7176651C5}" name="Column13616"/>
    <tableColumn id="13617" xr3:uid="{61B7FC3D-3E2B-4798-9BF6-949EBFD8DFEC}" name="Column13617"/>
    <tableColumn id="13618" xr3:uid="{69E761DB-6584-4202-AFEA-F562D098E2C1}" name="Column13618"/>
    <tableColumn id="13619" xr3:uid="{1FDF2388-F26C-4B02-AEC3-D472936FB390}" name="Column13619"/>
    <tableColumn id="13620" xr3:uid="{A7E65426-6F55-491D-8505-809C106229C2}" name="Column13620"/>
    <tableColumn id="13621" xr3:uid="{E1C1EBDC-287A-45B4-8800-2AB49157EB6B}" name="Column13621"/>
    <tableColumn id="13622" xr3:uid="{ACA0C4C8-3E4A-4044-9FB3-ED6FFDC9A312}" name="Column13622"/>
    <tableColumn id="13623" xr3:uid="{5E136917-41ED-4A61-AD0C-5E188BC52798}" name="Column13623"/>
    <tableColumn id="13624" xr3:uid="{1FC2CC89-6E71-4F4E-A1F5-54245B2D1CE6}" name="Column13624"/>
    <tableColumn id="13625" xr3:uid="{CC177FAF-E8B2-4A93-8984-AF28D7F395AA}" name="Column13625"/>
    <tableColumn id="13626" xr3:uid="{77AF3F7B-97E9-4FD0-8FE8-3BAE213461C1}" name="Column13626"/>
    <tableColumn id="13627" xr3:uid="{822CA03F-1467-4F71-A896-09DA78FDCDF7}" name="Column13627"/>
    <tableColumn id="13628" xr3:uid="{3C5F63BA-D867-42BF-BAB2-9858CAEEE211}" name="Column13628"/>
    <tableColumn id="13629" xr3:uid="{21AAED3E-3C75-4146-9158-8A7CEFA384EE}" name="Column13629"/>
    <tableColumn id="13630" xr3:uid="{E0C301C6-DA5F-4C1A-A68D-D9C360270FCE}" name="Column13630"/>
    <tableColumn id="13631" xr3:uid="{B86693D8-36E4-462C-BD1B-1B0E07B2EC41}" name="Column13631"/>
    <tableColumn id="13632" xr3:uid="{AF1DA3AB-6AF8-44E8-B59D-D0F6E1D4CFF0}" name="Column13632"/>
    <tableColumn id="13633" xr3:uid="{365295B1-C54D-4497-97F2-5FD01F20F865}" name="Column13633"/>
    <tableColumn id="13634" xr3:uid="{200F7B7E-63AC-41F2-8151-F5F3CDEC8956}" name="Column13634"/>
    <tableColumn id="13635" xr3:uid="{66B17631-EC26-4C95-BC11-959BE646979D}" name="Column13635"/>
    <tableColumn id="13636" xr3:uid="{B96AE622-7892-453D-8AF7-9B93169F042E}" name="Column13636"/>
    <tableColumn id="13637" xr3:uid="{9030BC1A-98CA-4D58-BC81-C226C00EF937}" name="Column13637"/>
    <tableColumn id="13638" xr3:uid="{32F24AA4-0DE8-453B-9A55-A86A03A67EC1}" name="Column13638"/>
    <tableColumn id="13639" xr3:uid="{2034DEED-5FBE-4CA4-8BD8-EFB060A8FD51}" name="Column13639"/>
    <tableColumn id="13640" xr3:uid="{B6F65F30-2D0D-4B5F-B8DE-334205137D79}" name="Column13640"/>
    <tableColumn id="13641" xr3:uid="{5F55F2B9-883A-47F7-B24C-B5C1F095E207}" name="Column13641"/>
    <tableColumn id="13642" xr3:uid="{AAB80055-28CF-4D16-9C1F-BC7AE740805C}" name="Column13642"/>
    <tableColumn id="13643" xr3:uid="{390BF3CD-93FE-4519-805C-8D556B3C65A0}" name="Column13643"/>
    <tableColumn id="13644" xr3:uid="{35A4FAC9-B7B9-4E0C-AA2E-02F29F98B3F0}" name="Column13644"/>
    <tableColumn id="13645" xr3:uid="{A9067EB5-638D-4A71-ADDF-6F09BEEAEBA7}" name="Column13645"/>
    <tableColumn id="13646" xr3:uid="{88A61E6C-9BC2-4F9C-8FCF-55A963BBBED5}" name="Column13646"/>
    <tableColumn id="13647" xr3:uid="{CC22671E-C684-457D-848B-EAE3A2DFE880}" name="Column13647"/>
    <tableColumn id="13648" xr3:uid="{37677522-261C-4079-9CC6-292F8B6F008D}" name="Column13648"/>
    <tableColumn id="13649" xr3:uid="{A16D26FF-64EC-48A1-BF81-4DD2900F8A81}" name="Column13649"/>
    <tableColumn id="13650" xr3:uid="{462C70F2-45FE-4A2C-BD03-D52FF5064193}" name="Column13650"/>
    <tableColumn id="13651" xr3:uid="{2B3EF802-DC7B-4EFC-9086-F11F8936EF20}" name="Column13651"/>
    <tableColumn id="13652" xr3:uid="{AD1D3A57-BA8F-4685-BF82-16351E56ACE0}" name="Column13652"/>
    <tableColumn id="13653" xr3:uid="{AABDA48E-A601-436A-B8B9-092FC33B8661}" name="Column13653"/>
    <tableColumn id="13654" xr3:uid="{1C37B118-75AB-46C6-BE8B-87342C1356F3}" name="Column13654"/>
    <tableColumn id="13655" xr3:uid="{0BF2E516-548B-46D8-9B49-9C5815016467}" name="Column13655"/>
    <tableColumn id="13656" xr3:uid="{02AE8A08-A18A-42AB-B0E2-9E1BDAEBEBA0}" name="Column13656"/>
    <tableColumn id="13657" xr3:uid="{AF62BDF8-8B22-452E-87A7-6F69D3308505}" name="Column13657"/>
    <tableColumn id="13658" xr3:uid="{D6917890-2483-4AC0-BF36-F804FC96E672}" name="Column13658"/>
    <tableColumn id="13659" xr3:uid="{C812F6F7-942D-47EC-8824-CBB6E307B98D}" name="Column13659"/>
    <tableColumn id="13660" xr3:uid="{9082CBFF-B385-4E35-92C4-B79075E85B35}" name="Column13660"/>
    <tableColumn id="13661" xr3:uid="{12F43F91-C83E-4A5E-B753-96D01524F297}" name="Column13661"/>
    <tableColumn id="13662" xr3:uid="{09D697C9-6CB1-4F1B-8294-51AC4C1A9A55}" name="Column13662"/>
    <tableColumn id="13663" xr3:uid="{815A9CA5-60AA-4240-8F02-D381B8D67728}" name="Column13663"/>
    <tableColumn id="13664" xr3:uid="{0013DA5B-AA8E-411B-84DF-667C9E625421}" name="Column13664"/>
    <tableColumn id="13665" xr3:uid="{44F83132-005F-480E-BA9B-28A7DDA36FFD}" name="Column13665"/>
    <tableColumn id="13666" xr3:uid="{ED6DE5AD-EC83-4187-94D4-BB8A284124B4}" name="Column13666"/>
    <tableColumn id="13667" xr3:uid="{5E5854EE-FF2A-4298-8E99-E0786DBAEBCC}" name="Column13667"/>
    <tableColumn id="13668" xr3:uid="{ADC762B9-8018-4C68-B0EB-A806FA3B00B5}" name="Column13668"/>
    <tableColumn id="13669" xr3:uid="{70AA2A9D-C5EC-40F1-97F9-5BAC8B5A0D01}" name="Column13669"/>
    <tableColumn id="13670" xr3:uid="{E7BA7442-DF86-4348-A6F8-D590027CA73A}" name="Column13670"/>
    <tableColumn id="13671" xr3:uid="{0A479507-75DB-4C09-8623-30FB27362F0C}" name="Column13671"/>
    <tableColumn id="13672" xr3:uid="{58D38530-4E9E-4E1C-8B5C-4040A568E0D7}" name="Column13672"/>
    <tableColumn id="13673" xr3:uid="{6CC7C935-7912-4BFB-AFF5-70800515F08E}" name="Column13673"/>
    <tableColumn id="13674" xr3:uid="{B731DB4C-AB8E-4F15-8B4E-F4F121CAD77E}" name="Column13674"/>
    <tableColumn id="13675" xr3:uid="{7DB8F1FC-7A42-4A49-AD42-202A4D079ECE}" name="Column13675"/>
    <tableColumn id="13676" xr3:uid="{A32D20EE-AF87-4F82-9550-718F2D9C0002}" name="Column13676"/>
    <tableColumn id="13677" xr3:uid="{969D528F-9659-4CFE-9BC6-048AE93CC392}" name="Column13677"/>
    <tableColumn id="13678" xr3:uid="{AD32DDD6-AD67-4A88-BF7C-6FE4C358FCC6}" name="Column13678"/>
    <tableColumn id="13679" xr3:uid="{0AD3FB7D-99BF-49D5-9182-6332CDA060B2}" name="Column13679"/>
    <tableColumn id="13680" xr3:uid="{18C251E9-3B10-4FA5-BC50-6BEDFC134BC6}" name="Column13680"/>
    <tableColumn id="13681" xr3:uid="{24F12CEB-3FCB-415D-AF4C-B735981F85B9}" name="Column13681"/>
    <tableColumn id="13682" xr3:uid="{99B07255-2FE1-4860-B1C2-DEA599772029}" name="Column13682"/>
    <tableColumn id="13683" xr3:uid="{DDBDD302-2B1C-4554-AAD1-CEDB7FA2C970}" name="Column13683"/>
    <tableColumn id="13684" xr3:uid="{71900597-C71A-489B-AAC4-A6D6BC4A0D9B}" name="Column13684"/>
    <tableColumn id="13685" xr3:uid="{737DC062-05C3-4B7E-AF87-52864A9B8045}" name="Column13685"/>
    <tableColumn id="13686" xr3:uid="{7AD128AB-C89F-4770-978F-855A0CB2A676}" name="Column13686"/>
    <tableColumn id="13687" xr3:uid="{8D2253DA-752F-4067-B59C-7FF0E33192D0}" name="Column13687"/>
    <tableColumn id="13688" xr3:uid="{FAF909DD-D129-4322-A5B3-9DAEC55B8AB1}" name="Column13688"/>
    <tableColumn id="13689" xr3:uid="{66E4808E-3EE7-42D2-B748-781DDAA32618}" name="Column13689"/>
    <tableColumn id="13690" xr3:uid="{1762543A-587A-44F4-86D5-ADB2C97A8304}" name="Column13690"/>
    <tableColumn id="13691" xr3:uid="{1DB77379-5349-457B-BF05-4FC8FF40B051}" name="Column13691"/>
    <tableColumn id="13692" xr3:uid="{9A589A37-F2B2-47FD-AAD2-6B17BAD76A74}" name="Column13692"/>
    <tableColumn id="13693" xr3:uid="{E75F5DA6-5EDE-469D-96B9-E5A324E8DBAD}" name="Column13693"/>
    <tableColumn id="13694" xr3:uid="{8DA4A1A8-985A-4586-AD6C-4B1957B33963}" name="Column13694"/>
    <tableColumn id="13695" xr3:uid="{8EDECA4B-9769-46B0-AF7E-4211F3FF14F4}" name="Column13695"/>
    <tableColumn id="13696" xr3:uid="{E01C4D82-E4D0-460B-BE28-4714DAFDEA51}" name="Column13696"/>
    <tableColumn id="13697" xr3:uid="{7CB0B5AF-7DFC-4605-90C1-BFFCAA6D7C47}" name="Column13697"/>
    <tableColumn id="13698" xr3:uid="{59A18E33-426D-409C-816F-0261C743E6DB}" name="Column13698"/>
    <tableColumn id="13699" xr3:uid="{8DD31870-BAFE-496C-8ECE-7F07AACDA5C0}" name="Column13699"/>
    <tableColumn id="13700" xr3:uid="{0C799F3E-CD86-41B1-933E-A12CEA5681EB}" name="Column13700"/>
    <tableColumn id="13701" xr3:uid="{4B10CF52-5C0A-43EC-A74B-40C56A87E94F}" name="Column13701"/>
    <tableColumn id="13702" xr3:uid="{F14746AB-CDAC-4A78-A2CC-FF41E7E55E13}" name="Column13702"/>
    <tableColumn id="13703" xr3:uid="{206AB39F-BD46-486A-B9BF-534DE32D04D0}" name="Column13703"/>
    <tableColumn id="13704" xr3:uid="{E4696338-94CD-43CF-808F-43EEDE2AC33E}" name="Column13704"/>
    <tableColumn id="13705" xr3:uid="{87C3CEB6-3A9F-46AB-B48A-04F89B6DA021}" name="Column13705"/>
    <tableColumn id="13706" xr3:uid="{9C0C0794-B991-485E-B9C8-9F3CCBC8A7A9}" name="Column13706"/>
    <tableColumn id="13707" xr3:uid="{62786D7E-54B2-4669-93EF-BD097C079D74}" name="Column13707"/>
    <tableColumn id="13708" xr3:uid="{9F446986-61CB-48AF-928F-089040268753}" name="Column13708"/>
    <tableColumn id="13709" xr3:uid="{2BB6324B-327A-4806-9D96-D53068B2E1F3}" name="Column13709"/>
    <tableColumn id="13710" xr3:uid="{3195AC15-65B0-4AC6-AB49-93B21E9C24CB}" name="Column13710"/>
    <tableColumn id="13711" xr3:uid="{6876A93C-3A9C-4F9A-AF1E-966F6BBCC4BC}" name="Column13711"/>
    <tableColumn id="13712" xr3:uid="{AC3D58F7-9B89-4345-BC3C-99043680F50A}" name="Column13712"/>
    <tableColumn id="13713" xr3:uid="{95CB4FF9-64AD-4A80-85C5-C5B4A057CBD3}" name="Column13713"/>
    <tableColumn id="13714" xr3:uid="{32B8A680-5EF5-4AEC-A509-E1E332E9EF03}" name="Column13714"/>
    <tableColumn id="13715" xr3:uid="{5433C5DA-8982-41DD-B064-81F35388ECB5}" name="Column13715"/>
    <tableColumn id="13716" xr3:uid="{971FB955-5CB3-4143-91B6-CFD2885E760B}" name="Column13716"/>
    <tableColumn id="13717" xr3:uid="{D2B3205B-EA27-46AF-981F-2D4CDECDE9AE}" name="Column13717"/>
    <tableColumn id="13718" xr3:uid="{65790685-12BB-4E9A-BE62-1F6CC55AEAC3}" name="Column13718"/>
    <tableColumn id="13719" xr3:uid="{902A4B79-4745-436F-BFC5-FC76B6CA56A3}" name="Column13719"/>
    <tableColumn id="13720" xr3:uid="{D59CC327-CA7F-4423-B2DC-2F6354A14BC9}" name="Column13720"/>
    <tableColumn id="13721" xr3:uid="{0978FB0F-EE0A-4D78-A288-182E0F3336EB}" name="Column13721"/>
    <tableColumn id="13722" xr3:uid="{F9A87348-5385-4283-A8E9-F3DB3AECB6EC}" name="Column13722"/>
    <tableColumn id="13723" xr3:uid="{DD43A48C-5FB6-4178-8F91-B0B470DB62B4}" name="Column13723"/>
    <tableColumn id="13724" xr3:uid="{803E0D46-56CF-41E7-AF74-1EE4E4B5656C}" name="Column13724"/>
    <tableColumn id="13725" xr3:uid="{21266E59-4428-40F4-9031-F2675ED4F65D}" name="Column13725"/>
    <tableColumn id="13726" xr3:uid="{5363EABD-2FB1-4973-AD5F-16950CB3CA38}" name="Column13726"/>
    <tableColumn id="13727" xr3:uid="{5210E5C2-73D5-4A7E-85F0-CA70A89D725D}" name="Column13727"/>
    <tableColumn id="13728" xr3:uid="{A1C9BBBA-F0E0-424A-96C2-4EF856CFF942}" name="Column13728"/>
    <tableColumn id="13729" xr3:uid="{856BFDD5-6D3F-4DC4-831E-2064D1F3C12F}" name="Column13729"/>
    <tableColumn id="13730" xr3:uid="{F2B7007C-2E50-44C1-8B9D-73AF21051DB2}" name="Column13730"/>
    <tableColumn id="13731" xr3:uid="{1DB9C932-06CB-4AEB-B764-7A321CA983FD}" name="Column13731"/>
    <tableColumn id="13732" xr3:uid="{84649844-4342-4171-A5F8-1572BD5F0E5A}" name="Column13732"/>
    <tableColumn id="13733" xr3:uid="{E7963D3E-D29A-4EA6-9068-2AEC42DD20E1}" name="Column13733"/>
    <tableColumn id="13734" xr3:uid="{F5A7D7C0-A369-4850-89B0-05CDABE92C4B}" name="Column13734"/>
    <tableColumn id="13735" xr3:uid="{591FA086-E9A0-4C80-B40B-D64E69689E95}" name="Column13735"/>
    <tableColumn id="13736" xr3:uid="{A72E6E3D-C774-4978-927E-7E60AF97B665}" name="Column13736"/>
    <tableColumn id="13737" xr3:uid="{0AB9C397-4BDE-43F5-8A2B-07A373FA6160}" name="Column13737"/>
    <tableColumn id="13738" xr3:uid="{3F094F3A-31E2-40EA-9FA1-A78587ACD736}" name="Column13738"/>
    <tableColumn id="13739" xr3:uid="{C35A0AA8-0551-4037-8B6B-C51EDC9ACE46}" name="Column13739"/>
    <tableColumn id="13740" xr3:uid="{8ECD43A9-EC7D-4151-9795-BA6C69235584}" name="Column13740"/>
    <tableColumn id="13741" xr3:uid="{78A80157-AC5A-4A94-A066-1ECD1AA66F95}" name="Column13741"/>
    <tableColumn id="13742" xr3:uid="{E81A237A-1206-41E6-AAD6-0F4DC39900CC}" name="Column13742"/>
    <tableColumn id="13743" xr3:uid="{C76F6035-B2BA-4EEE-A493-8A73633614D7}" name="Column13743"/>
    <tableColumn id="13744" xr3:uid="{6177CB3D-A471-420E-A619-B49EDFF26638}" name="Column13744"/>
    <tableColumn id="13745" xr3:uid="{EBABABB0-324A-4BA3-A10C-0A304084DD84}" name="Column13745"/>
    <tableColumn id="13746" xr3:uid="{74D53DC0-8D80-431C-B679-1395591B4E82}" name="Column13746"/>
    <tableColumn id="13747" xr3:uid="{19C4E442-9CDE-483F-931C-80231E8E5580}" name="Column13747"/>
    <tableColumn id="13748" xr3:uid="{66E1DE6A-3529-4DC4-8819-2D8654415678}" name="Column13748"/>
    <tableColumn id="13749" xr3:uid="{E0E777C9-A0BE-45F1-9F6E-7FF7A024FFCD}" name="Column13749"/>
    <tableColumn id="13750" xr3:uid="{EE14E34E-7912-48E2-8FB4-9028EC3E723D}" name="Column13750"/>
    <tableColumn id="13751" xr3:uid="{F121FF65-52CF-4958-B226-7152E3314801}" name="Column13751"/>
    <tableColumn id="13752" xr3:uid="{4FC47146-DE8D-423C-AC3D-8BB41907D13A}" name="Column13752"/>
    <tableColumn id="13753" xr3:uid="{911ED9FB-64D7-4DBA-913D-FA93C6269B2F}" name="Column13753"/>
    <tableColumn id="13754" xr3:uid="{312C1166-7E03-4770-96CA-B885AF1EFE63}" name="Column13754"/>
    <tableColumn id="13755" xr3:uid="{F6F3341A-24B2-4390-95C7-2F1A6E810D39}" name="Column13755"/>
    <tableColumn id="13756" xr3:uid="{E867F6E9-5111-4025-B470-6EAA119B27BE}" name="Column13756"/>
    <tableColumn id="13757" xr3:uid="{2821CA7E-2AAC-4F41-AE9C-8E0C271AE005}" name="Column13757"/>
    <tableColumn id="13758" xr3:uid="{1A6C7A28-8B37-49F6-88B5-37C0F9AA89E0}" name="Column13758"/>
    <tableColumn id="13759" xr3:uid="{F3733C50-716D-4597-820C-A479FD6AB556}" name="Column13759"/>
    <tableColumn id="13760" xr3:uid="{1DBB3188-6CAE-43EB-8F14-646F55D78F25}" name="Column13760"/>
    <tableColumn id="13761" xr3:uid="{7765CDE1-5C25-4637-A1DD-4B095C3EAEC0}" name="Column13761"/>
    <tableColumn id="13762" xr3:uid="{E70F3608-8ED0-4E56-84ED-737CAC8556C6}" name="Column13762"/>
    <tableColumn id="13763" xr3:uid="{CED179C5-CB4F-4FB8-A83E-495D68E04768}" name="Column13763"/>
    <tableColumn id="13764" xr3:uid="{DD4808DC-4A1E-4D13-BD3C-A01FF351C194}" name="Column13764"/>
    <tableColumn id="13765" xr3:uid="{34BCC67B-DE13-43BD-AD43-430686EDBCD2}" name="Column13765"/>
    <tableColumn id="13766" xr3:uid="{1C5AAA1A-9254-4D02-A45F-BA1487DC1917}" name="Column13766"/>
    <tableColumn id="13767" xr3:uid="{FC154C81-583B-4310-9C8F-AE0CAC662BC8}" name="Column13767"/>
    <tableColumn id="13768" xr3:uid="{DF426E11-DF46-43AF-B13B-D79E0B733C01}" name="Column13768"/>
    <tableColumn id="13769" xr3:uid="{54596492-F5F4-4863-B10C-7EB9B54FBF6C}" name="Column13769"/>
    <tableColumn id="13770" xr3:uid="{0B54A402-1D72-40CA-BBD4-662D7A071B56}" name="Column13770"/>
    <tableColumn id="13771" xr3:uid="{681180AA-9184-4DFC-B81B-DEE6E26CA22A}" name="Column13771"/>
    <tableColumn id="13772" xr3:uid="{C0D38E99-0952-4371-91A7-80A904C98A18}" name="Column13772"/>
    <tableColumn id="13773" xr3:uid="{11C24661-2D10-4B48-9090-B858050E648E}" name="Column13773"/>
    <tableColumn id="13774" xr3:uid="{D3038DCF-90E7-49D2-93FF-96FD161BDBC2}" name="Column13774"/>
    <tableColumn id="13775" xr3:uid="{514EE3DA-D02F-45AD-B635-CF0E4672A19F}" name="Column13775"/>
    <tableColumn id="13776" xr3:uid="{4127215C-B9B9-4E2D-A6A4-8998BC2C11A9}" name="Column13776"/>
    <tableColumn id="13777" xr3:uid="{957A5237-93AB-47D6-9D09-E13B45F0E8C5}" name="Column13777"/>
    <tableColumn id="13778" xr3:uid="{DA2C3760-B9CD-4157-8767-7D4753B848FE}" name="Column13778"/>
    <tableColumn id="13779" xr3:uid="{71994612-D4B5-42E5-A521-FC7AB74DDBF1}" name="Column13779"/>
    <tableColumn id="13780" xr3:uid="{0F8A9861-60B8-4602-96AA-447A15254EEF}" name="Column13780"/>
    <tableColumn id="13781" xr3:uid="{9A87CB3A-6BBC-4EA5-A127-D3AF219236BD}" name="Column13781"/>
    <tableColumn id="13782" xr3:uid="{65698B75-92A6-4D91-8DFF-0591CC2857AE}" name="Column13782"/>
    <tableColumn id="13783" xr3:uid="{55625B3A-D8EC-4EF3-880F-2A5C7C9866DB}" name="Column13783"/>
    <tableColumn id="13784" xr3:uid="{FD7F4143-152C-4FF1-8D2F-F323D003F824}" name="Column13784"/>
    <tableColumn id="13785" xr3:uid="{5AF6AF31-F0E6-4EAC-86A5-CF4045D77FAA}" name="Column13785"/>
    <tableColumn id="13786" xr3:uid="{27A22E37-6267-49F2-8306-B17E91F7F16D}" name="Column13786"/>
    <tableColumn id="13787" xr3:uid="{52C6FBBE-BDDE-4850-A57C-24A49811814B}" name="Column13787"/>
    <tableColumn id="13788" xr3:uid="{D7A41A66-2A6A-422E-BAE7-B3DDF8ABAD8C}" name="Column13788"/>
    <tableColumn id="13789" xr3:uid="{ED256027-6CCB-4882-813F-5768EDDBE9E7}" name="Column13789"/>
    <tableColumn id="13790" xr3:uid="{17D3263F-EB2C-47B1-8AD9-3A49750B02DF}" name="Column13790"/>
    <tableColumn id="13791" xr3:uid="{3B8D0946-EA56-4D0E-81D4-BD3F7F31A143}" name="Column13791"/>
    <tableColumn id="13792" xr3:uid="{752DFE88-14DC-44B1-97D8-A4A82A100561}" name="Column13792"/>
    <tableColumn id="13793" xr3:uid="{71BE55F7-70DE-4E1B-81FD-AEFC297138F0}" name="Column13793"/>
    <tableColumn id="13794" xr3:uid="{67BC1C76-080A-40E9-85D7-AE52724A62C3}" name="Column13794"/>
    <tableColumn id="13795" xr3:uid="{335363FB-516E-4EA2-8EFB-2C9339927EC2}" name="Column13795"/>
    <tableColumn id="13796" xr3:uid="{82868F34-34A1-4CA5-B3A0-30EF6661DFEC}" name="Column13796"/>
    <tableColumn id="13797" xr3:uid="{2EA23282-0CB2-45C5-9756-4D1565F6984F}" name="Column13797"/>
    <tableColumn id="13798" xr3:uid="{01750838-5D91-4D27-B3FB-89E5B249989D}" name="Column13798"/>
    <tableColumn id="13799" xr3:uid="{CB815E44-645C-437F-9A31-1FFD627378A7}" name="Column13799"/>
    <tableColumn id="13800" xr3:uid="{789D98C8-CB54-46A9-8206-AC19097B3955}" name="Column13800"/>
    <tableColumn id="13801" xr3:uid="{08B6C09A-5324-46BF-8C12-CDCECDD2B288}" name="Column13801"/>
    <tableColumn id="13802" xr3:uid="{B3945CB3-1936-41BA-8E50-BE452BEA6C0E}" name="Column13802"/>
    <tableColumn id="13803" xr3:uid="{23306A90-1E4C-41F3-870E-C11A81E0B1BD}" name="Column13803"/>
    <tableColumn id="13804" xr3:uid="{F6792DED-CD5D-41D8-A89C-E3F0739C987B}" name="Column13804"/>
    <tableColumn id="13805" xr3:uid="{6C69359D-3E69-49CB-8E9D-B5B05B5B5F95}" name="Column13805"/>
    <tableColumn id="13806" xr3:uid="{FB4482DC-6F72-4BC1-84F2-EE5898C9F721}" name="Column13806"/>
    <tableColumn id="13807" xr3:uid="{E42F6A40-9D7B-4244-B3F7-10561C08458E}" name="Column13807"/>
    <tableColumn id="13808" xr3:uid="{ED3C9A1A-F5ED-465D-9BC7-13B5DD52338E}" name="Column13808"/>
    <tableColumn id="13809" xr3:uid="{A05AAF4F-E5A0-428C-804C-1805E7F11A81}" name="Column13809"/>
    <tableColumn id="13810" xr3:uid="{AA1D1D91-F9FE-48A7-973A-40DF83DE8B0B}" name="Column13810"/>
    <tableColumn id="13811" xr3:uid="{190DB435-411F-465A-BCF0-1A1385B2EFA8}" name="Column13811"/>
    <tableColumn id="13812" xr3:uid="{50799C9A-3ED4-4932-BC0A-1446C19D4A46}" name="Column13812"/>
    <tableColumn id="13813" xr3:uid="{59AE972B-A51D-49A3-85CF-5708A3C9DD54}" name="Column13813"/>
    <tableColumn id="13814" xr3:uid="{0A8139C4-26FE-4A0C-9085-88BD19253692}" name="Column13814"/>
    <tableColumn id="13815" xr3:uid="{2FE38CB7-7058-4A27-B281-11C94C8ADF14}" name="Column13815"/>
    <tableColumn id="13816" xr3:uid="{3224766B-AF03-4123-8799-ED85AA609C05}" name="Column13816"/>
    <tableColumn id="13817" xr3:uid="{8440C29E-73C9-4649-877D-154DEAC507D3}" name="Column13817"/>
    <tableColumn id="13818" xr3:uid="{EAB028FF-C301-405D-B2D4-52D1E1A0B07F}" name="Column13818"/>
    <tableColumn id="13819" xr3:uid="{FB73C726-3392-4996-8345-0ADA63766388}" name="Column13819"/>
    <tableColumn id="13820" xr3:uid="{5453DB74-6232-4667-8B83-7C7964CC894E}" name="Column13820"/>
    <tableColumn id="13821" xr3:uid="{D19F8632-3C4E-40F5-94C8-3B1AC12AEF3D}" name="Column13821"/>
    <tableColumn id="13822" xr3:uid="{3D2EA0D4-B840-4D8B-9651-BD39805C2DCA}" name="Column13822"/>
    <tableColumn id="13823" xr3:uid="{348703A2-9154-4706-A62F-119FF45C768F}" name="Column13823"/>
    <tableColumn id="13824" xr3:uid="{525F9312-6704-43C4-8A31-9FA5BBB15A76}" name="Column13824"/>
    <tableColumn id="13825" xr3:uid="{3FCAE339-9AD6-46E5-8CB2-708359E97536}" name="Column13825"/>
    <tableColumn id="13826" xr3:uid="{6D425617-36DD-47E3-B368-8391956E55D8}" name="Column13826"/>
    <tableColumn id="13827" xr3:uid="{96155A05-730F-4F63-AFB6-797AE287F12C}" name="Column13827"/>
    <tableColumn id="13828" xr3:uid="{784BCAC9-4DAF-4701-9CDC-7A4B09E37E0E}" name="Column13828"/>
    <tableColumn id="13829" xr3:uid="{FA397F17-DB3C-4367-ABFF-B3341E0CDF44}" name="Column13829"/>
    <tableColumn id="13830" xr3:uid="{A65D3DF7-CD03-48FB-8C47-CA4A9A18666C}" name="Column13830"/>
    <tableColumn id="13831" xr3:uid="{2A8514DB-7ACD-4A16-BC26-3C78EEBCA473}" name="Column13831"/>
    <tableColumn id="13832" xr3:uid="{FC4F40FF-3842-4EF5-84BF-EC9FF8C89BEC}" name="Column13832"/>
    <tableColumn id="13833" xr3:uid="{7DDFD29B-670C-43B5-9149-1269C1CF1E34}" name="Column13833"/>
    <tableColumn id="13834" xr3:uid="{95570047-BDD8-44CC-B074-5C97F655E488}" name="Column13834"/>
    <tableColumn id="13835" xr3:uid="{55B862AA-58E2-4CB8-BFDB-AAB84F934F0D}" name="Column13835"/>
    <tableColumn id="13836" xr3:uid="{0D9D60CB-7FC7-4D59-B2E9-35F44E8C245D}" name="Column13836"/>
    <tableColumn id="13837" xr3:uid="{DE0A6383-EE9E-446A-BBCE-7FF26416C6A9}" name="Column13837"/>
    <tableColumn id="13838" xr3:uid="{2083DBD0-202E-4A1B-96AD-C61EA0EBE48E}" name="Column13838"/>
    <tableColumn id="13839" xr3:uid="{51775CC2-08BE-4EED-8F13-5E377ED211D3}" name="Column13839"/>
    <tableColumn id="13840" xr3:uid="{C73230DD-969A-4500-813D-38FD4C26F2B1}" name="Column13840"/>
    <tableColumn id="13841" xr3:uid="{73DC5B5E-7F15-450D-B42D-5E49414440C9}" name="Column13841"/>
    <tableColumn id="13842" xr3:uid="{23097DCD-99AE-43BA-B9D0-821E9A24E69C}" name="Column13842"/>
    <tableColumn id="13843" xr3:uid="{A6C4A21A-05A4-412F-A030-9131823F06D6}" name="Column13843"/>
    <tableColumn id="13844" xr3:uid="{DB4CB227-3E78-4CBC-8BEC-013F6176B46D}" name="Column13844"/>
    <tableColumn id="13845" xr3:uid="{2DABCB9B-7976-43A1-974E-5AFA0C3C0E2D}" name="Column13845"/>
    <tableColumn id="13846" xr3:uid="{FA12A76A-AA4E-4ED9-80F6-45E570730E50}" name="Column13846"/>
    <tableColumn id="13847" xr3:uid="{97F6C67E-2101-4C62-A5EE-114A02A7DBCD}" name="Column13847"/>
    <tableColumn id="13848" xr3:uid="{F9BC8B9F-70FC-4DEB-975C-C9939C4FC36B}" name="Column13848"/>
    <tableColumn id="13849" xr3:uid="{E49FC844-E45D-4C00-B85E-2BBCEC71D60A}" name="Column13849"/>
    <tableColumn id="13850" xr3:uid="{E1E74373-CF44-4FCA-ACE8-F47C95A26319}" name="Column13850"/>
    <tableColumn id="13851" xr3:uid="{5DB54213-EF33-4229-9363-A874085739CD}" name="Column13851"/>
    <tableColumn id="13852" xr3:uid="{37A2EA01-D1F9-4830-BCBB-EDD7BBC06CAE}" name="Column13852"/>
    <tableColumn id="13853" xr3:uid="{EACE6712-7D35-4F54-B327-539647269A7A}" name="Column13853"/>
    <tableColumn id="13854" xr3:uid="{DB03D7ED-F63A-46C2-B902-D7084AB1AFAF}" name="Column13854"/>
    <tableColumn id="13855" xr3:uid="{C43A2575-0643-4184-98C4-A80EB4625BA9}" name="Column13855"/>
    <tableColumn id="13856" xr3:uid="{85A8CD6D-684B-44CB-A682-0234706CACDF}" name="Column13856"/>
    <tableColumn id="13857" xr3:uid="{6D6450E0-E032-4037-A054-D49671E62EA3}" name="Column13857"/>
    <tableColumn id="13858" xr3:uid="{B6DA4305-89BF-497F-BCFA-206A32AC4FD5}" name="Column13858"/>
    <tableColumn id="13859" xr3:uid="{5542C00C-895F-42FE-A617-F3F8C2EF3B2A}" name="Column13859"/>
    <tableColumn id="13860" xr3:uid="{967E3479-1078-4B52-A980-DB7CDF25A5F1}" name="Column13860"/>
    <tableColumn id="13861" xr3:uid="{EC68F138-4747-4762-B755-C8A12E636049}" name="Column13861"/>
    <tableColumn id="13862" xr3:uid="{626F56D6-D3A1-4143-857F-D10988B36A86}" name="Column13862"/>
    <tableColumn id="13863" xr3:uid="{773F1178-CAD2-4293-AB64-B36FEEEE27A5}" name="Column13863"/>
    <tableColumn id="13864" xr3:uid="{68B995FE-0D90-4415-8AA7-1E0CB51380D6}" name="Column13864"/>
    <tableColumn id="13865" xr3:uid="{1AE13319-78A4-4137-8158-9599B54B56C9}" name="Column13865"/>
    <tableColumn id="13866" xr3:uid="{088D3D9A-FD48-4890-9D9E-89E9606F0C53}" name="Column13866"/>
    <tableColumn id="13867" xr3:uid="{F460CF97-3329-4D7B-8222-06B5387DE1D9}" name="Column13867"/>
    <tableColumn id="13868" xr3:uid="{E4746954-3BB7-4661-935C-AEC43D94FCC0}" name="Column13868"/>
    <tableColumn id="13869" xr3:uid="{80668C78-C368-4013-887C-C7392535633D}" name="Column13869"/>
    <tableColumn id="13870" xr3:uid="{0B6BCE74-BC03-4F54-9F0E-D8A166B9E2F1}" name="Column13870"/>
    <tableColumn id="13871" xr3:uid="{F9410292-C1C6-47A2-8FAC-E27BF96835E4}" name="Column13871"/>
    <tableColumn id="13872" xr3:uid="{FD60D226-2BF2-4DD2-AFA9-A93C997DC032}" name="Column13872"/>
    <tableColumn id="13873" xr3:uid="{C6725F0C-0D96-47AE-8BC7-C3F4B1EDDDC9}" name="Column13873"/>
    <tableColumn id="13874" xr3:uid="{DD6692F8-F52F-465F-93D8-E2D5EE709AB6}" name="Column13874"/>
    <tableColumn id="13875" xr3:uid="{1071A6FF-73FC-44D1-AFBF-B8B55024A4D0}" name="Column13875"/>
    <tableColumn id="13876" xr3:uid="{88D0C70C-D0CB-4059-847E-68E54F229C18}" name="Column13876"/>
    <tableColumn id="13877" xr3:uid="{E82FB7F9-E022-4767-BACE-531C31E92362}" name="Column13877"/>
    <tableColumn id="13878" xr3:uid="{208BCCD4-6B79-41D2-8AB2-FDF2FA8B4228}" name="Column13878"/>
    <tableColumn id="13879" xr3:uid="{A427F582-B8CB-45E0-A8DA-99F061B40655}" name="Column13879"/>
    <tableColumn id="13880" xr3:uid="{0A284074-C176-4460-9BE5-2E031600F761}" name="Column13880"/>
    <tableColumn id="13881" xr3:uid="{EF4F8E16-AE59-4C9A-AE12-0499F4ABED1E}" name="Column13881"/>
    <tableColumn id="13882" xr3:uid="{3F644DE7-6768-4DBC-B048-610B3EC4D72A}" name="Column13882"/>
    <tableColumn id="13883" xr3:uid="{0B643CCE-4616-4599-8AE7-BFF6FB9E6ADF}" name="Column13883"/>
    <tableColumn id="13884" xr3:uid="{958EDEAC-764E-4E06-90D7-828B344FBF94}" name="Column13884"/>
    <tableColumn id="13885" xr3:uid="{93138542-00BE-4DAC-AE22-34422E9A720B}" name="Column13885"/>
    <tableColumn id="13886" xr3:uid="{CE59E334-4B4D-4413-9A72-666CDDA18262}" name="Column13886"/>
    <tableColumn id="13887" xr3:uid="{DCCA0DBD-FD52-4848-877B-880037A06C4F}" name="Column13887"/>
    <tableColumn id="13888" xr3:uid="{A6DCC212-981B-4262-901E-D353500A3B78}" name="Column13888"/>
    <tableColumn id="13889" xr3:uid="{35DF474F-ECEE-4D95-8F8F-B6EC74B49B20}" name="Column13889"/>
    <tableColumn id="13890" xr3:uid="{7D02C818-36DF-4A8F-B91F-F553EA079955}" name="Column13890"/>
    <tableColumn id="13891" xr3:uid="{2887F5E3-C72B-410E-8E51-E82941EFBC41}" name="Column13891"/>
    <tableColumn id="13892" xr3:uid="{21D69348-579D-49AC-B01A-77A0FEE6210F}" name="Column13892"/>
    <tableColumn id="13893" xr3:uid="{9D86AF8D-3D58-490F-BB22-2EECA2049ADB}" name="Column13893"/>
    <tableColumn id="13894" xr3:uid="{BFECDCE8-DED1-4486-9D27-94E4291B0F20}" name="Column13894"/>
    <tableColumn id="13895" xr3:uid="{E193CE06-2A63-4601-A371-DF7D300C84F2}" name="Column13895"/>
    <tableColumn id="13896" xr3:uid="{0DB06507-D23B-428F-B22D-5D5E15D3493B}" name="Column13896"/>
    <tableColumn id="13897" xr3:uid="{AE9DE6A5-0188-4BF1-BBE8-4BCA724E4C59}" name="Column13897"/>
    <tableColumn id="13898" xr3:uid="{FDCB69FC-8B1C-4420-83D3-DDAE5438CDFA}" name="Column13898"/>
    <tableColumn id="13899" xr3:uid="{C2754590-1827-4992-9333-496E739FB72F}" name="Column13899"/>
    <tableColumn id="13900" xr3:uid="{C4BFE13C-CC11-4866-9EC3-7DC7248BD906}" name="Column13900"/>
    <tableColumn id="13901" xr3:uid="{2473A0AB-F106-4F9C-927A-AD53233188C1}" name="Column13901"/>
    <tableColumn id="13902" xr3:uid="{983C383C-E58E-496F-98F5-6A39488D4287}" name="Column13902"/>
    <tableColumn id="13903" xr3:uid="{8158956C-8176-4C98-89CA-28523DE5CE7D}" name="Column13903"/>
    <tableColumn id="13904" xr3:uid="{10E9F534-67A2-44BB-BEE9-5062B05AED5D}" name="Column13904"/>
    <tableColumn id="13905" xr3:uid="{48475249-7AD0-4892-BB3F-B5F71CAB0E23}" name="Column13905"/>
    <tableColumn id="13906" xr3:uid="{C4257F3A-8A0B-40D2-B609-275F0BF9E997}" name="Column13906"/>
    <tableColumn id="13907" xr3:uid="{34225B57-4772-4C5A-82D2-EF876881B284}" name="Column13907"/>
    <tableColumn id="13908" xr3:uid="{3EC2E01C-4CF7-47E1-8DB9-A4C9797EE579}" name="Column13908"/>
    <tableColumn id="13909" xr3:uid="{169F4CB3-B73D-44E7-8D38-A60D3ED06D95}" name="Column13909"/>
    <tableColumn id="13910" xr3:uid="{9E8C329A-DA2F-434A-B609-F3CDF2277215}" name="Column13910"/>
    <tableColumn id="13911" xr3:uid="{CD39F026-0D99-491E-A765-888BE99A77F1}" name="Column13911"/>
    <tableColumn id="13912" xr3:uid="{E5AD2B4E-2F9A-4BF2-AE5C-BD2CAE5D273F}" name="Column13912"/>
    <tableColumn id="13913" xr3:uid="{DE9C06A9-E538-47E2-B973-7864B9C4C7A4}" name="Column13913"/>
    <tableColumn id="13914" xr3:uid="{DA5F1CBB-D2E6-4A92-AA4B-AF2052F0F0C2}" name="Column13914"/>
    <tableColumn id="13915" xr3:uid="{4FF7BC41-739B-412E-83B9-543B2788DA54}" name="Column13915"/>
    <tableColumn id="13916" xr3:uid="{595D8120-51C4-4704-BECC-CCF623BE53A0}" name="Column13916"/>
    <tableColumn id="13917" xr3:uid="{5601B627-2780-4596-A75C-B89410C21ED4}" name="Column13917"/>
    <tableColumn id="13918" xr3:uid="{867E6D69-6900-472B-9A54-BAEDF80926A4}" name="Column13918"/>
    <tableColumn id="13919" xr3:uid="{14FA9C3B-038D-48DF-8FFD-27BAD4842759}" name="Column13919"/>
    <tableColumn id="13920" xr3:uid="{D5CE1537-5C5C-47AE-A333-0EBC90B539AE}" name="Column13920"/>
    <tableColumn id="13921" xr3:uid="{A5F152A6-8898-446C-967B-08EDC7DA6BEF}" name="Column13921"/>
    <tableColumn id="13922" xr3:uid="{772A4787-B817-4A2F-8285-9DBC1588A7B2}" name="Column13922"/>
    <tableColumn id="13923" xr3:uid="{D5AE5E4A-3818-4BAD-9744-8273FA933DB2}" name="Column13923"/>
    <tableColumn id="13924" xr3:uid="{8DE08548-80C1-44E8-AF01-E809223D4B69}" name="Column13924"/>
    <tableColumn id="13925" xr3:uid="{E3FFAB4C-1A74-4A8D-A53B-5C6C4909752D}" name="Column13925"/>
    <tableColumn id="13926" xr3:uid="{F898324C-114F-48A8-8E69-54B4CD8D422E}" name="Column13926"/>
    <tableColumn id="13927" xr3:uid="{47A8A5DF-ADE8-48A2-8DE9-B72A95FA01C7}" name="Column13927"/>
    <tableColumn id="13928" xr3:uid="{79035584-E54A-4529-9416-6E226D3EB44C}" name="Column13928"/>
    <tableColumn id="13929" xr3:uid="{E019CF08-C42C-4B21-AD35-E8BBD956C277}" name="Column13929"/>
    <tableColumn id="13930" xr3:uid="{E701798A-647B-4A38-B8C4-EF4BF840A72D}" name="Column13930"/>
    <tableColumn id="13931" xr3:uid="{90EB8983-4665-4E02-A936-1F018ECB67F2}" name="Column13931"/>
    <tableColumn id="13932" xr3:uid="{C4551EE4-C93B-41C1-BF56-ED72591C6717}" name="Column13932"/>
    <tableColumn id="13933" xr3:uid="{11A7B10E-F424-41AC-9435-8F39D3E08E98}" name="Column13933"/>
    <tableColumn id="13934" xr3:uid="{040AFDF2-64DB-487E-87F4-8CE67AEF718E}" name="Column13934"/>
    <tableColumn id="13935" xr3:uid="{22F0F447-A614-48E9-A6E1-51A1FC745B9D}" name="Column13935"/>
    <tableColumn id="13936" xr3:uid="{F509FB9A-A6C3-4D1E-8363-BBCFAFF2586F}" name="Column13936"/>
    <tableColumn id="13937" xr3:uid="{16E0D611-8AB7-42E4-AC5B-FA60CA08B2A4}" name="Column13937"/>
    <tableColumn id="13938" xr3:uid="{BB69FBEB-77B8-4826-81D4-AB265AF49E7A}" name="Column13938"/>
    <tableColumn id="13939" xr3:uid="{787A2453-1D8F-4EB8-A928-2F5108D080EF}" name="Column13939"/>
    <tableColumn id="13940" xr3:uid="{93F00BBE-AD0F-4F26-A2AB-9FDC7B862E09}" name="Column13940"/>
    <tableColumn id="13941" xr3:uid="{4C0294DE-C3AC-488B-BBAC-D87F1CAE6937}" name="Column13941"/>
    <tableColumn id="13942" xr3:uid="{983961C4-E345-4828-8E7E-18C974A9091D}" name="Column13942"/>
    <tableColumn id="13943" xr3:uid="{1D9D249E-3AFB-46F6-B597-21AF93D9FBB0}" name="Column13943"/>
    <tableColumn id="13944" xr3:uid="{B1270AA6-4551-4E95-BD31-1C79B88A32B2}" name="Column13944"/>
    <tableColumn id="13945" xr3:uid="{C9F522EB-D88B-4B00-8118-052BA3D9181F}" name="Column13945"/>
    <tableColumn id="13946" xr3:uid="{102AB18C-B821-402B-AA53-FBDC76B7EB3D}" name="Column13946"/>
    <tableColumn id="13947" xr3:uid="{7A3A5368-A81C-4FD5-BFBB-A2089BFC0B9F}" name="Column13947"/>
    <tableColumn id="13948" xr3:uid="{2DCFBB3B-8E09-48AA-B8A3-C51EEB12B98A}" name="Column13948"/>
    <tableColumn id="13949" xr3:uid="{12EC15C9-A69F-4FC6-9948-B36100468349}" name="Column13949"/>
    <tableColumn id="13950" xr3:uid="{2315AF78-D968-4B07-B9EC-E7D5218B6B9D}" name="Column13950"/>
    <tableColumn id="13951" xr3:uid="{BB6F7392-2ACA-4073-9909-BFAF4EBB508D}" name="Column13951"/>
    <tableColumn id="13952" xr3:uid="{A7D7EC28-BC76-496A-A5C8-A7F9B4F1F77D}" name="Column13952"/>
    <tableColumn id="13953" xr3:uid="{7C205800-9E99-4B7B-9C57-57C8EBD33740}" name="Column13953"/>
    <tableColumn id="13954" xr3:uid="{CA82A8A5-6FE8-4657-BCB0-1BBC361DEB56}" name="Column13954"/>
    <tableColumn id="13955" xr3:uid="{D9A5BB6F-8477-4B54-AC2F-3EBAA502CE1C}" name="Column13955"/>
    <tableColumn id="13956" xr3:uid="{81911909-ACD8-4D42-BAFB-899CF850820E}" name="Column13956"/>
    <tableColumn id="13957" xr3:uid="{9A332AC2-ABA7-4BCD-8815-6F4551FB60B4}" name="Column13957"/>
    <tableColumn id="13958" xr3:uid="{09498FE6-E4EC-46E9-BBBA-78B53AE248FE}" name="Column13958"/>
    <tableColumn id="13959" xr3:uid="{7CFF441E-05C7-4686-80DD-2C39B0A47865}" name="Column13959"/>
    <tableColumn id="13960" xr3:uid="{B67D0587-8A4C-4C3C-882C-9EC50BB001B2}" name="Column13960"/>
    <tableColumn id="13961" xr3:uid="{FA2F1983-63DB-4B07-92F3-0F229A160569}" name="Column13961"/>
    <tableColumn id="13962" xr3:uid="{706C4D2F-BFB0-4A5A-B41C-B50A8DE1CC32}" name="Column13962"/>
    <tableColumn id="13963" xr3:uid="{294DD5AC-CFC3-4495-8E6D-67693775C68E}" name="Column13963"/>
    <tableColumn id="13964" xr3:uid="{8EDEED0F-F92F-47D7-AE8B-8ADD60AF26ED}" name="Column13964"/>
    <tableColumn id="13965" xr3:uid="{D2BDCF69-3785-4FCA-B12B-A5A9906C53CC}" name="Column13965"/>
    <tableColumn id="13966" xr3:uid="{C888C4E9-C0A4-4936-BAC5-C7A409AB2AA4}" name="Column13966"/>
    <tableColumn id="13967" xr3:uid="{18414652-E8FA-4732-B63E-1AFEE4902488}" name="Column13967"/>
    <tableColumn id="13968" xr3:uid="{99B66E54-82C6-4364-A64E-2F8296FA0E5D}" name="Column13968"/>
    <tableColumn id="13969" xr3:uid="{C939689C-C1F7-4DD2-B14F-BD24E862686F}" name="Column13969"/>
    <tableColumn id="13970" xr3:uid="{FB262E5B-0D88-414B-AE83-7A51223675BA}" name="Column13970"/>
    <tableColumn id="13971" xr3:uid="{EF6CDCBC-BFF2-46D7-9776-8F765879A723}" name="Column13971"/>
    <tableColumn id="13972" xr3:uid="{518D8EA0-218C-41AC-9E5A-6163D9AB1641}" name="Column13972"/>
    <tableColumn id="13973" xr3:uid="{10A65F2A-393E-4090-89C1-63C53E84D8CD}" name="Column13973"/>
    <tableColumn id="13974" xr3:uid="{1EEBCD94-A0D2-4D11-9AC4-302D9383189D}" name="Column13974"/>
    <tableColumn id="13975" xr3:uid="{4D586134-C129-4A57-9459-C0BDD369A314}" name="Column13975"/>
    <tableColumn id="13976" xr3:uid="{891E506F-2F26-4020-8DB8-A09A3B125307}" name="Column13976"/>
    <tableColumn id="13977" xr3:uid="{53C504B2-FB79-4E3E-8CC5-5B021E287CA7}" name="Column13977"/>
    <tableColumn id="13978" xr3:uid="{14A51F57-8B80-4393-8541-04BD8A086062}" name="Column13978"/>
    <tableColumn id="13979" xr3:uid="{51A0733D-0CEE-4B7E-9472-3E2E92B802CC}" name="Column13979"/>
    <tableColumn id="13980" xr3:uid="{DBC5DCA6-CDEB-48B5-81A1-6C6ACCE35250}" name="Column13980"/>
    <tableColumn id="13981" xr3:uid="{D753DA88-ACFE-4A88-9728-CF9D03B52299}" name="Column13981"/>
    <tableColumn id="13982" xr3:uid="{6881D196-EB2C-46E9-AC03-43BC8F8CE977}" name="Column13982"/>
    <tableColumn id="13983" xr3:uid="{4C79B276-6547-45EE-8427-66621421030B}" name="Column13983"/>
    <tableColumn id="13984" xr3:uid="{D1C45B98-B824-463E-8BC1-70CB80B72DE8}" name="Column13984"/>
    <tableColumn id="13985" xr3:uid="{D8710FC3-9101-4CA7-910C-AAEF56163F73}" name="Column13985"/>
    <tableColumn id="13986" xr3:uid="{1BB0E091-4695-4C06-BE49-5A97031DC007}" name="Column13986"/>
    <tableColumn id="13987" xr3:uid="{DAACF815-7040-4AB5-A5B3-A990B81599B8}" name="Column13987"/>
    <tableColumn id="13988" xr3:uid="{E90A0798-20B9-4106-A269-704859B7874E}" name="Column13988"/>
    <tableColumn id="13989" xr3:uid="{61B4DDDE-54F3-4929-9BBD-467C31C9E1E9}" name="Column13989"/>
    <tableColumn id="13990" xr3:uid="{01A7624B-4072-491E-BBA7-292B1E320AF7}" name="Column13990"/>
    <tableColumn id="13991" xr3:uid="{14A083BB-3C88-4F9E-A99E-73E95F02DFB7}" name="Column13991"/>
    <tableColumn id="13992" xr3:uid="{02230889-1204-47BB-9130-39EEE0D38D89}" name="Column13992"/>
    <tableColumn id="13993" xr3:uid="{16A4294E-1C1E-431C-8A8D-90EA24FE95D8}" name="Column13993"/>
    <tableColumn id="13994" xr3:uid="{B2B81843-FF0D-4144-8BF4-826CD8557A73}" name="Column13994"/>
    <tableColumn id="13995" xr3:uid="{CE22345D-EDE3-4995-97BF-C9FC0C5092B3}" name="Column13995"/>
    <tableColumn id="13996" xr3:uid="{7124E025-1D35-43D0-9581-1BAAA8CF88D5}" name="Column13996"/>
    <tableColumn id="13997" xr3:uid="{05186E32-DE70-4703-99AA-0EAB5CFC7469}" name="Column13997"/>
    <tableColumn id="13998" xr3:uid="{6FB32BF0-B6CC-41F1-A1E6-CF9BE526D4AD}" name="Column13998"/>
    <tableColumn id="13999" xr3:uid="{98F7232C-3971-47BC-B21B-98218478A245}" name="Column13999"/>
    <tableColumn id="14000" xr3:uid="{0E33DE06-D8C2-4BB7-AE29-007BC9B7D919}" name="Column14000"/>
    <tableColumn id="14001" xr3:uid="{605BC5BD-2826-418A-8B3F-EFE7DC520138}" name="Column14001"/>
    <tableColumn id="14002" xr3:uid="{6573D9A2-5955-48A2-80AC-4D4B29B2A186}" name="Column14002"/>
    <tableColumn id="14003" xr3:uid="{A18F4444-7198-4591-B66D-4378881259A9}" name="Column14003"/>
    <tableColumn id="14004" xr3:uid="{A3067160-01C7-48E8-8B8C-585040812893}" name="Column14004"/>
    <tableColumn id="14005" xr3:uid="{34947255-214D-4EEC-9B3A-94F2612B2B8C}" name="Column14005"/>
    <tableColumn id="14006" xr3:uid="{76CAA235-C908-4AE4-8E8C-11A4D3D4BC81}" name="Column14006"/>
    <tableColumn id="14007" xr3:uid="{41BA496C-55A4-4C06-8633-2FBC39ED3CCF}" name="Column14007"/>
    <tableColumn id="14008" xr3:uid="{81C616A9-928F-4ADF-A832-1F11CF2F0DDA}" name="Column14008"/>
    <tableColumn id="14009" xr3:uid="{6E6CEA08-1AA9-4228-9CB8-F18C677FEB0F}" name="Column14009"/>
    <tableColumn id="14010" xr3:uid="{C8323E42-5A1B-43A7-9AD5-4633CD42FCFA}" name="Column14010"/>
    <tableColumn id="14011" xr3:uid="{AB531B18-7EF3-4554-80EE-CF0FA6E61F35}" name="Column14011"/>
    <tableColumn id="14012" xr3:uid="{52DE93FD-A5A8-438D-9C88-FFA68BD1527D}" name="Column14012"/>
    <tableColumn id="14013" xr3:uid="{4B37980F-95BF-4F22-BC10-54B73892536C}" name="Column14013"/>
    <tableColumn id="14014" xr3:uid="{E2F9BFFD-9F89-46CB-8AB2-7D6F25116F1F}" name="Column14014"/>
    <tableColumn id="14015" xr3:uid="{D751B9C8-104D-4E2C-96BE-9B7DDCD7BAAF}" name="Column14015"/>
    <tableColumn id="14016" xr3:uid="{069261B7-70CD-4DB2-B69E-B4D3C5543A66}" name="Column14016"/>
    <tableColumn id="14017" xr3:uid="{D4417D01-6C63-42D6-AA9F-0C16DCF54EC1}" name="Column14017"/>
    <tableColumn id="14018" xr3:uid="{98D53164-B96E-43EA-989A-B277FB845704}" name="Column14018"/>
    <tableColumn id="14019" xr3:uid="{4FBADBAD-87EF-491C-90E2-081B85493191}" name="Column14019"/>
    <tableColumn id="14020" xr3:uid="{DC4256A4-E671-4B91-A7A2-24F42CF4624B}" name="Column14020"/>
    <tableColumn id="14021" xr3:uid="{B6EBC3A0-9025-4D4F-BF6C-91EC98A31F5E}" name="Column14021"/>
    <tableColumn id="14022" xr3:uid="{54199641-7D8D-48BA-BD70-AEA363871940}" name="Column14022"/>
    <tableColumn id="14023" xr3:uid="{ED3E2653-F033-4199-B70B-F33B349C807E}" name="Column14023"/>
    <tableColumn id="14024" xr3:uid="{88469E8C-EB9B-4C9E-981E-4F54AB742035}" name="Column14024"/>
    <tableColumn id="14025" xr3:uid="{B3C5F237-BEDD-4448-90A6-8720C388C560}" name="Column14025"/>
    <tableColumn id="14026" xr3:uid="{9A35E874-25EC-40EC-97B0-0E0D73E0D20A}" name="Column14026"/>
    <tableColumn id="14027" xr3:uid="{DB94196C-1525-4677-B7E7-CEB6349A6D0E}" name="Column14027"/>
    <tableColumn id="14028" xr3:uid="{25E5F420-458A-488A-A3BD-119452DB47AB}" name="Column14028"/>
    <tableColumn id="14029" xr3:uid="{28FC25C5-FF33-4B73-B070-6BEF84D1C8C9}" name="Column14029"/>
    <tableColumn id="14030" xr3:uid="{BD592D31-227E-4709-B2CE-D581BB84B007}" name="Column14030"/>
    <tableColumn id="14031" xr3:uid="{F5AE6061-D17E-4349-89DD-3260C1C0A013}" name="Column14031"/>
    <tableColumn id="14032" xr3:uid="{5BFCCAD4-F734-40C7-8DDA-2C4218817A44}" name="Column14032"/>
    <tableColumn id="14033" xr3:uid="{5DFD328B-5FB4-4B99-8242-0FBD5C298E95}" name="Column14033"/>
    <tableColumn id="14034" xr3:uid="{E2865CC2-D08E-4A83-806C-0893823903A5}" name="Column14034"/>
    <tableColumn id="14035" xr3:uid="{536C1261-0843-4135-BA3A-92F7A47C1D20}" name="Column14035"/>
    <tableColumn id="14036" xr3:uid="{5A4CBB34-9FDA-4669-9645-57C2C768555D}" name="Column14036"/>
    <tableColumn id="14037" xr3:uid="{FBEE9E2B-416D-42C9-A7E6-9132D6C24404}" name="Column14037"/>
    <tableColumn id="14038" xr3:uid="{BE1AB906-7DD2-41CD-9C1D-DC7EC9B0CBFF}" name="Column14038"/>
    <tableColumn id="14039" xr3:uid="{588A5FFB-39E6-4506-909E-81314AAF0CDF}" name="Column14039"/>
    <tableColumn id="14040" xr3:uid="{97D32F46-7ECE-4005-A44A-00D6885515E3}" name="Column14040"/>
    <tableColumn id="14041" xr3:uid="{D38CB379-34FA-4A77-89CE-6DF582D7BB01}" name="Column14041"/>
    <tableColumn id="14042" xr3:uid="{E90B382C-3902-4788-B57B-6C6CAF0648D9}" name="Column14042"/>
    <tableColumn id="14043" xr3:uid="{5609149C-02DC-4277-8B37-E9C5ECD8B06C}" name="Column14043"/>
    <tableColumn id="14044" xr3:uid="{046F6779-896C-4DA8-BDA7-07177D0E60CB}" name="Column14044"/>
    <tableColumn id="14045" xr3:uid="{7BE3F294-ACC4-4A16-8559-E3CF74782AE6}" name="Column14045"/>
    <tableColumn id="14046" xr3:uid="{9801CAD0-DA43-4113-A98A-3285684C4B10}" name="Column14046"/>
    <tableColumn id="14047" xr3:uid="{60E1E2A8-6E09-4C18-8D5D-1CBFAF55136C}" name="Column14047"/>
    <tableColumn id="14048" xr3:uid="{E37E8438-CB71-4E70-A973-4BCE1841B96B}" name="Column14048"/>
    <tableColumn id="14049" xr3:uid="{FB576264-AA1B-414B-BDED-9A0209BFD6AB}" name="Column14049"/>
    <tableColumn id="14050" xr3:uid="{80CCC65E-EDFE-40C1-A4BE-BA744A7AAC0E}" name="Column14050"/>
    <tableColumn id="14051" xr3:uid="{8D82DE1E-88D2-406C-B41D-95AE04058C31}" name="Column14051"/>
    <tableColumn id="14052" xr3:uid="{F34AC983-3447-46D2-B3CA-7D3E65A249CB}" name="Column14052"/>
    <tableColumn id="14053" xr3:uid="{FFA52D50-0B6E-4888-BBCE-66363CA609EC}" name="Column14053"/>
    <tableColumn id="14054" xr3:uid="{7D0C8AE7-2FB8-4F45-A8DC-079E4ADE4860}" name="Column14054"/>
    <tableColumn id="14055" xr3:uid="{03798A3D-34F4-432C-A97A-123495150118}" name="Column14055"/>
    <tableColumn id="14056" xr3:uid="{AF4320E0-E670-4CE7-B434-90BBB26B50FD}" name="Column14056"/>
    <tableColumn id="14057" xr3:uid="{9DA626EF-42D7-452C-9C4B-26B880410666}" name="Column14057"/>
    <tableColumn id="14058" xr3:uid="{C95B5310-998D-4F54-8301-948EF8322614}" name="Column14058"/>
    <tableColumn id="14059" xr3:uid="{425BD369-F277-40C6-8040-E7779F8A7342}" name="Column14059"/>
    <tableColumn id="14060" xr3:uid="{B0D4F655-2270-4E9E-81F9-D7CACF783FF5}" name="Column14060"/>
    <tableColumn id="14061" xr3:uid="{8B20E402-AC9B-4B02-9E50-DD7958C2734B}" name="Column14061"/>
    <tableColumn id="14062" xr3:uid="{3DA2C62A-4E9F-40B6-953F-BDEE6CC29E4E}" name="Column14062"/>
    <tableColumn id="14063" xr3:uid="{856B580B-95DA-4F16-8E6C-031BAB975ED5}" name="Column14063"/>
    <tableColumn id="14064" xr3:uid="{DE2589DD-3635-48A4-9DE0-BAF0FC00D7D1}" name="Column14064"/>
    <tableColumn id="14065" xr3:uid="{D676AF45-E299-4039-AD4E-013C4B096C81}" name="Column14065"/>
    <tableColumn id="14066" xr3:uid="{878D49FF-07CA-4F5D-A9C0-0428042802A4}" name="Column14066"/>
    <tableColumn id="14067" xr3:uid="{8ED1DE8D-90B3-4656-8AC3-6FC033616890}" name="Column14067"/>
    <tableColumn id="14068" xr3:uid="{E2FA18AA-DEDB-4879-B01E-D70F7D3B9362}" name="Column14068"/>
    <tableColumn id="14069" xr3:uid="{F3F86FBB-E64C-42F6-A155-E354FA2485FF}" name="Column14069"/>
    <tableColumn id="14070" xr3:uid="{A3476112-9FAC-413F-A588-F4E32DC22738}" name="Column14070"/>
    <tableColumn id="14071" xr3:uid="{15289B3A-7FB0-4963-98B1-FEA663AD9A32}" name="Column14071"/>
    <tableColumn id="14072" xr3:uid="{60A7597B-E61C-4827-A01E-2D967B9DE611}" name="Column14072"/>
    <tableColumn id="14073" xr3:uid="{4BB96A21-E964-4294-82F3-EA1C5E31CCD6}" name="Column14073"/>
    <tableColumn id="14074" xr3:uid="{22884364-A440-4113-B9F7-EDA4FD6379F7}" name="Column14074"/>
    <tableColumn id="14075" xr3:uid="{75B7D659-DB3D-4A4F-89A4-16938AFFD23B}" name="Column14075"/>
    <tableColumn id="14076" xr3:uid="{C3A444BC-B588-42A7-9556-C53218CC75C4}" name="Column14076"/>
    <tableColumn id="14077" xr3:uid="{D6AFE41C-5882-4AB1-91B7-8F5664413CD1}" name="Column14077"/>
    <tableColumn id="14078" xr3:uid="{34CD5F2E-2EA1-448B-BEE6-60AE6243E3DB}" name="Column14078"/>
    <tableColumn id="14079" xr3:uid="{50D2F764-9AEA-40A5-A8FE-A03AB68B2501}" name="Column14079"/>
    <tableColumn id="14080" xr3:uid="{A25DF67A-140D-4FED-9CDB-F03F5380F90C}" name="Column14080"/>
    <tableColumn id="14081" xr3:uid="{CA2D9FFC-ED15-4A98-AA77-330A47C0FD2E}" name="Column14081"/>
    <tableColumn id="14082" xr3:uid="{03B26934-EDF3-484E-AF0E-493A5760D1D1}" name="Column14082"/>
    <tableColumn id="14083" xr3:uid="{F77EB7F8-25DF-4AB1-A651-435BF11014F4}" name="Column14083"/>
    <tableColumn id="14084" xr3:uid="{80CC640A-C9F6-41D9-87B0-25D41D33DA3D}" name="Column14084"/>
    <tableColumn id="14085" xr3:uid="{E6BCBC60-1B3D-4F85-AFA6-611C9D1961BC}" name="Column14085"/>
    <tableColumn id="14086" xr3:uid="{94B13038-6432-45CB-8D9A-362E059A4C22}" name="Column14086"/>
    <tableColumn id="14087" xr3:uid="{77771E51-7146-4DD5-88B4-3CA5A584CD62}" name="Column14087"/>
    <tableColumn id="14088" xr3:uid="{7638EC73-5439-48DD-8382-563EF56B6786}" name="Column14088"/>
    <tableColumn id="14089" xr3:uid="{086DAD90-2C37-4CE9-913A-82864A0713F4}" name="Column14089"/>
    <tableColumn id="14090" xr3:uid="{246802B5-70D0-442E-A412-5D87B10933D6}" name="Column14090"/>
    <tableColumn id="14091" xr3:uid="{8A64E493-FF02-4105-8566-BE128EF94886}" name="Column14091"/>
    <tableColumn id="14092" xr3:uid="{349C9A1F-C12C-4968-855C-8D554B51D314}" name="Column14092"/>
    <tableColumn id="14093" xr3:uid="{8BBFAA64-5A0F-42C2-90C4-12003ED45C80}" name="Column14093"/>
    <tableColumn id="14094" xr3:uid="{08AA64E5-68BB-41F1-A277-F4C3C0963585}" name="Column14094"/>
    <tableColumn id="14095" xr3:uid="{DD6FD38C-40D0-422C-8272-A10DCB8C2B37}" name="Column14095"/>
    <tableColumn id="14096" xr3:uid="{F3AD4B9D-F125-4B6A-8AC3-16785A62C55F}" name="Column14096"/>
    <tableColumn id="14097" xr3:uid="{1B93BFBD-7FEB-41A5-8CDF-F8EB5DE223CA}" name="Column14097"/>
    <tableColumn id="14098" xr3:uid="{3C4E02B1-1479-453E-99AC-64D6975B84C5}" name="Column14098"/>
    <tableColumn id="14099" xr3:uid="{FC2F2209-4438-4BDA-A9EF-08D5B4E8E770}" name="Column14099"/>
    <tableColumn id="14100" xr3:uid="{41419DF9-DBE6-447B-92E3-0CD50CC91599}" name="Column14100"/>
    <tableColumn id="14101" xr3:uid="{48BABA7B-056E-4B9A-92F6-8CEABCFB1BFC}" name="Column14101"/>
    <tableColumn id="14102" xr3:uid="{40325350-CD93-494D-AF41-02903ABA1C7B}" name="Column14102"/>
    <tableColumn id="14103" xr3:uid="{A903C148-510D-4E46-8ED5-1934BBAB8B76}" name="Column14103"/>
    <tableColumn id="14104" xr3:uid="{3DB9EB27-70C3-406C-9D6E-331243FE66CF}" name="Column14104"/>
    <tableColumn id="14105" xr3:uid="{F07DF809-AD48-471A-8682-6021A2ACF56A}" name="Column14105"/>
    <tableColumn id="14106" xr3:uid="{4F69C9E5-926E-4F19-BBFD-DD572B249739}" name="Column14106"/>
    <tableColumn id="14107" xr3:uid="{B9C991B5-80B8-4838-8ED4-727D3302FF24}" name="Column14107"/>
    <tableColumn id="14108" xr3:uid="{EC90A638-C387-4C5B-A821-15575EB15708}" name="Column14108"/>
    <tableColumn id="14109" xr3:uid="{DCBCF5FA-0EED-4DE5-B760-813FF45B48C8}" name="Column14109"/>
    <tableColumn id="14110" xr3:uid="{A2AAB591-B1DF-41D3-B184-8E4594ED49D8}" name="Column14110"/>
    <tableColumn id="14111" xr3:uid="{A5C109CB-ED05-4740-B138-3121D86FCED9}" name="Column14111"/>
    <tableColumn id="14112" xr3:uid="{222E2017-FE6D-4A8A-B0C7-567B435EE221}" name="Column14112"/>
    <tableColumn id="14113" xr3:uid="{4E3EFB22-0BAC-44BB-8991-81B63B340AE6}" name="Column14113"/>
    <tableColumn id="14114" xr3:uid="{9BFC840D-D8A1-4DCD-BCF6-DD9D9DCBB6E6}" name="Column14114"/>
    <tableColumn id="14115" xr3:uid="{E56B058C-23E9-4AB5-8B3F-9FC3688F7205}" name="Column14115"/>
    <tableColumn id="14116" xr3:uid="{C72D4043-62F0-4437-86DD-8F595E26DF9A}" name="Column14116"/>
    <tableColumn id="14117" xr3:uid="{3BB1B162-3F5E-4A8B-BDF4-305B7C29735E}" name="Column14117"/>
    <tableColumn id="14118" xr3:uid="{13B63305-DB3C-4374-86A8-97EA8316DE0E}" name="Column14118"/>
    <tableColumn id="14119" xr3:uid="{5BB1A69F-7903-4E83-A4D6-DE952CE8BD1F}" name="Column14119"/>
    <tableColumn id="14120" xr3:uid="{4F1BB487-9FE1-480F-B41E-525E649219D8}" name="Column14120"/>
    <tableColumn id="14121" xr3:uid="{84CACD73-ED9B-4B50-8161-5851E674ED35}" name="Column14121"/>
    <tableColumn id="14122" xr3:uid="{57E03AFD-67FD-4145-8862-666EBE987D7F}" name="Column14122"/>
    <tableColumn id="14123" xr3:uid="{35DBD24C-35B6-4B63-AB1D-AEF9A583D708}" name="Column14123"/>
    <tableColumn id="14124" xr3:uid="{E8026479-049C-4F8C-8C8E-232EBCA5ED0C}" name="Column14124"/>
    <tableColumn id="14125" xr3:uid="{7F6CFFE2-F1C5-4931-9BFD-EC6EAC3706D5}" name="Column14125"/>
    <tableColumn id="14126" xr3:uid="{D7E36784-D416-4593-B508-253EBF2DBF1C}" name="Column14126"/>
    <tableColumn id="14127" xr3:uid="{DFB24C01-60C0-482A-B103-C4DF2AC3A763}" name="Column14127"/>
    <tableColumn id="14128" xr3:uid="{D60C1B62-8ECF-420B-98BA-5B505475EC07}" name="Column14128"/>
    <tableColumn id="14129" xr3:uid="{817D2BE5-AD38-4DF4-8CAE-5044BD1ADA72}" name="Column14129"/>
    <tableColumn id="14130" xr3:uid="{1A342E62-AA06-4048-B355-9185C5A9C223}" name="Column14130"/>
    <tableColumn id="14131" xr3:uid="{CC8FAA71-F45D-423A-A68C-1FE402B7595F}" name="Column14131"/>
    <tableColumn id="14132" xr3:uid="{4B8C32F2-E692-4BC9-BB09-3B21A4FAC497}" name="Column14132"/>
    <tableColumn id="14133" xr3:uid="{9941201C-C6AC-4B67-B601-B0601DE239CB}" name="Column14133"/>
    <tableColumn id="14134" xr3:uid="{FF859D46-47EA-4C28-83F5-4A10A32B8D01}" name="Column14134"/>
    <tableColumn id="14135" xr3:uid="{B612BB0A-578F-417F-8B3A-40C0B10D2A6F}" name="Column14135"/>
    <tableColumn id="14136" xr3:uid="{E2F84B9D-D199-4DF0-96B3-C904B4E4D92D}" name="Column14136"/>
    <tableColumn id="14137" xr3:uid="{78C24954-D59F-44B1-88DF-C67BC42BB2D0}" name="Column14137"/>
    <tableColumn id="14138" xr3:uid="{8A521551-6378-4B6A-A74A-2A0FD3A9E02E}" name="Column14138"/>
    <tableColumn id="14139" xr3:uid="{1431EE25-DF6B-4110-9E5C-3F9B659B2628}" name="Column14139"/>
    <tableColumn id="14140" xr3:uid="{AEB8B111-E541-48CC-A4EB-11FF3E41B851}" name="Column14140"/>
    <tableColumn id="14141" xr3:uid="{087411B7-C096-4E1A-9D6A-C9C28BC84BA7}" name="Column14141"/>
    <tableColumn id="14142" xr3:uid="{5ECE4AD4-FDC6-4691-949F-0C42D4317A37}" name="Column14142"/>
    <tableColumn id="14143" xr3:uid="{46F1F47A-23A0-4375-A3A2-24345505157A}" name="Column14143"/>
    <tableColumn id="14144" xr3:uid="{8882D767-CCAD-49AA-8502-F79ACB0C051F}" name="Column14144"/>
    <tableColumn id="14145" xr3:uid="{5DFDAA57-C79F-4E17-A4E1-4FCBD7A8A122}" name="Column14145"/>
    <tableColumn id="14146" xr3:uid="{2551BD8E-DD79-48C4-95C1-A75A79399020}" name="Column14146"/>
    <tableColumn id="14147" xr3:uid="{95DEE071-3332-4DD2-99BD-81A680A4990E}" name="Column14147"/>
    <tableColumn id="14148" xr3:uid="{B0EC6F6D-745F-4822-98F4-CEAC8BEC6BE6}" name="Column14148"/>
    <tableColumn id="14149" xr3:uid="{85DF4D2A-5E3D-46D2-9590-06BA2E1FDB75}" name="Column14149"/>
    <tableColumn id="14150" xr3:uid="{4467161C-A14C-4304-993A-ED2AC57E0414}" name="Column14150"/>
    <tableColumn id="14151" xr3:uid="{95F9615D-F18A-42A5-AF50-4875D04E70D5}" name="Column14151"/>
    <tableColumn id="14152" xr3:uid="{5A92982F-2BA4-457A-AD93-004F49CF0AAE}" name="Column14152"/>
    <tableColumn id="14153" xr3:uid="{96EFFDD9-A83D-4E0F-A485-2BCCD8604D8A}" name="Column14153"/>
    <tableColumn id="14154" xr3:uid="{2220369F-8470-447F-9852-7786AF445EFA}" name="Column14154"/>
    <tableColumn id="14155" xr3:uid="{4887D5F4-A1DB-4BFB-B48C-8C511A58BF43}" name="Column14155"/>
    <tableColumn id="14156" xr3:uid="{036B6102-62CE-45EC-809C-AE23BB8A0016}" name="Column14156"/>
    <tableColumn id="14157" xr3:uid="{1C2234EA-6C42-470D-A44A-BFDA8F9DEDB3}" name="Column14157"/>
    <tableColumn id="14158" xr3:uid="{3068263B-D152-4C77-A9F8-C5D34850C3DA}" name="Column14158"/>
    <tableColumn id="14159" xr3:uid="{C2EE9AB0-7010-45ED-A76B-7C3136EB5496}" name="Column14159"/>
    <tableColumn id="14160" xr3:uid="{757A6982-70BD-4C01-9F60-163A56A8D018}" name="Column14160"/>
    <tableColumn id="14161" xr3:uid="{322DFE65-FA52-4354-940D-25AC44BC7587}" name="Column14161"/>
    <tableColumn id="14162" xr3:uid="{02C71983-1B4F-4CBC-A29A-E486F9DFFEC6}" name="Column14162"/>
    <tableColumn id="14163" xr3:uid="{9D96E6D3-A7B2-4143-B04B-A1F07D8975F1}" name="Column14163"/>
    <tableColumn id="14164" xr3:uid="{D554C026-E126-478B-8546-FE4EE05437CC}" name="Column14164"/>
    <tableColumn id="14165" xr3:uid="{22E8C695-5962-46CE-BC6F-5FA8E6371E64}" name="Column14165"/>
    <tableColumn id="14166" xr3:uid="{2C285739-4227-4BB0-A8B8-266DA15A9422}" name="Column14166"/>
    <tableColumn id="14167" xr3:uid="{944DA158-5D50-4B4C-AD38-8736C88EBA48}" name="Column14167"/>
    <tableColumn id="14168" xr3:uid="{A37A17F6-A42E-42CD-82B0-414992459E07}" name="Column14168"/>
    <tableColumn id="14169" xr3:uid="{25617B68-6291-485B-B068-504B1498918F}" name="Column14169"/>
    <tableColumn id="14170" xr3:uid="{3B1EF9ED-3725-4CE4-B839-88002023AC6F}" name="Column14170"/>
    <tableColumn id="14171" xr3:uid="{BA84CE0D-645A-4E6D-94EB-93F3E22A8A4A}" name="Column14171"/>
    <tableColumn id="14172" xr3:uid="{B7D69003-31E8-41DF-BD37-404FE5FDFBD1}" name="Column14172"/>
    <tableColumn id="14173" xr3:uid="{42A33F63-5BC6-4303-B707-47CC54FE7010}" name="Column14173"/>
    <tableColumn id="14174" xr3:uid="{0C9B19BF-3A9E-4477-B8F1-C73965A16D18}" name="Column14174"/>
    <tableColumn id="14175" xr3:uid="{C4FD262E-F9D8-4D0E-B832-F8F4B4B9BD48}" name="Column14175"/>
    <tableColumn id="14176" xr3:uid="{65491E21-BB08-4C47-8775-21588F6FC377}" name="Column14176"/>
    <tableColumn id="14177" xr3:uid="{873C31C6-6071-4AD6-88A9-116A0CB3CD13}" name="Column14177"/>
    <tableColumn id="14178" xr3:uid="{DC048D17-250A-4F72-95CB-3878B4241507}" name="Column14178"/>
    <tableColumn id="14179" xr3:uid="{0A4F325A-8F8A-4448-81DE-CA9E3C07B8DC}" name="Column14179"/>
    <tableColumn id="14180" xr3:uid="{2ED10469-DF9F-48D6-95C3-E885D1D01BF6}" name="Column14180"/>
    <tableColumn id="14181" xr3:uid="{91337819-B82A-43C3-BD65-2A020A6394A6}" name="Column14181"/>
    <tableColumn id="14182" xr3:uid="{9BD38828-E1B4-46E0-9BB0-AF15098C1E9D}" name="Column14182"/>
    <tableColumn id="14183" xr3:uid="{14FBE3E6-C29E-40B1-9E2E-68F0D136950E}" name="Column14183"/>
    <tableColumn id="14184" xr3:uid="{987A8A7B-224E-48CC-8D2C-013AEE78FC2A}" name="Column14184"/>
    <tableColumn id="14185" xr3:uid="{5CB72B73-4671-4E04-B148-5A8142C7ED6F}" name="Column14185"/>
    <tableColumn id="14186" xr3:uid="{01E8BA33-2BEF-4D9B-9972-204F177A9189}" name="Column14186"/>
    <tableColumn id="14187" xr3:uid="{E73D0E34-CCAB-43DD-9AD8-C83DDDBBA99F}" name="Column14187"/>
    <tableColumn id="14188" xr3:uid="{4ED63AD8-8DA6-4FF8-AA71-D7561ED2BA2D}" name="Column14188"/>
    <tableColumn id="14189" xr3:uid="{63F82F3E-6B73-41B4-97FF-203FDF514585}" name="Column14189"/>
    <tableColumn id="14190" xr3:uid="{7AA501C8-9B51-4AC9-9199-D8D4EFA7E2F5}" name="Column14190"/>
    <tableColumn id="14191" xr3:uid="{8E57F240-C076-4C4A-A387-13646AC518FB}" name="Column14191"/>
    <tableColumn id="14192" xr3:uid="{DD7A288A-6C5B-45D3-B460-114CDE89929E}" name="Column14192"/>
    <tableColumn id="14193" xr3:uid="{3B15B6C8-27B3-44D2-AA3B-8FF0A6F97E6D}" name="Column14193"/>
    <tableColumn id="14194" xr3:uid="{7641E7C0-22E9-4F30-85B5-7E0FF98BACA4}" name="Column14194"/>
    <tableColumn id="14195" xr3:uid="{518A0509-E58D-4159-9528-327BB2DE7124}" name="Column14195"/>
    <tableColumn id="14196" xr3:uid="{2B7994FC-0FC5-487B-A08D-C0077B94D146}" name="Column14196"/>
    <tableColumn id="14197" xr3:uid="{397E2E5D-A773-4638-B05C-A3482045C10C}" name="Column14197"/>
    <tableColumn id="14198" xr3:uid="{2A41FCC9-0590-4E4B-A554-3773E645EF25}" name="Column14198"/>
    <tableColumn id="14199" xr3:uid="{A8B1C2DE-C665-4C3D-BE0F-62A109C73827}" name="Column14199"/>
    <tableColumn id="14200" xr3:uid="{E3E5AD75-90F1-4636-9C7F-830D1F4F4976}" name="Column14200"/>
    <tableColumn id="14201" xr3:uid="{CE44FD52-1C45-4B6A-BF43-B87A8631713D}" name="Column14201"/>
    <tableColumn id="14202" xr3:uid="{EC6A91CB-4099-44CF-985B-3B9B02A2A9C5}" name="Column14202"/>
    <tableColumn id="14203" xr3:uid="{C8EDCEFD-EEDE-4010-B8ED-815320FAFFEE}" name="Column14203"/>
    <tableColumn id="14204" xr3:uid="{491EAEAC-2776-4F1D-9F61-3E1BB3C9086B}" name="Column14204"/>
    <tableColumn id="14205" xr3:uid="{76350F40-65C5-4363-A522-F5EA437696C2}" name="Column14205"/>
    <tableColumn id="14206" xr3:uid="{B8C9709B-5EB8-41DE-B4B1-EC26EDC5092F}" name="Column14206"/>
    <tableColumn id="14207" xr3:uid="{83761446-7481-4B47-9EF2-0BDBAB53647C}" name="Column14207"/>
    <tableColumn id="14208" xr3:uid="{FF957E43-E111-4D45-99DB-FF912E948B55}" name="Column14208"/>
    <tableColumn id="14209" xr3:uid="{67128057-D46B-4B63-8FC8-4C39854F0A79}" name="Column14209"/>
    <tableColumn id="14210" xr3:uid="{F1EBF493-F871-4365-8A2F-B36DC2DB5E8F}" name="Column14210"/>
    <tableColumn id="14211" xr3:uid="{F3D13A14-5189-4282-94F1-6895F7599985}" name="Column14211"/>
    <tableColumn id="14212" xr3:uid="{A1C9492C-A49A-47FF-80D5-3265254AB6D1}" name="Column14212"/>
    <tableColumn id="14213" xr3:uid="{336A84B3-AEA6-4708-ADDC-9C09A2C8A77F}" name="Column14213"/>
    <tableColumn id="14214" xr3:uid="{1040C5CB-066A-43A7-90BC-949ED4A81A01}" name="Column14214"/>
    <tableColumn id="14215" xr3:uid="{6AE4357C-1CE0-44EC-8566-2882ED30F5A4}" name="Column14215"/>
    <tableColumn id="14216" xr3:uid="{4407D82B-D70B-4FE1-9079-2B81F4578606}" name="Column14216"/>
    <tableColumn id="14217" xr3:uid="{281BAFA9-A2CD-44CF-A359-5BB66EE12449}" name="Column14217"/>
    <tableColumn id="14218" xr3:uid="{2112883A-F54D-4F6F-BF67-0B0CE6F68171}" name="Column14218"/>
    <tableColumn id="14219" xr3:uid="{2BC8F231-57E8-479C-A452-3024927F638E}" name="Column14219"/>
    <tableColumn id="14220" xr3:uid="{E549FA7F-0909-4D18-B997-9872DFEFACDA}" name="Column14220"/>
    <tableColumn id="14221" xr3:uid="{85AFAB81-B09B-4246-80B7-C07445B5394B}" name="Column14221"/>
    <tableColumn id="14222" xr3:uid="{F3438975-65C9-4D56-B3C7-5E0527CD43BF}" name="Column14222"/>
    <tableColumn id="14223" xr3:uid="{34264B06-485E-4C37-AED9-606CDBBEAAF8}" name="Column14223"/>
    <tableColumn id="14224" xr3:uid="{1515383A-1DCF-46FD-94AD-8C25CC482C0C}" name="Column14224"/>
    <tableColumn id="14225" xr3:uid="{CD207B77-AA03-452F-89BD-2F36250BA00C}" name="Column14225"/>
    <tableColumn id="14226" xr3:uid="{939BC6E3-97B9-4F6B-BAA1-C6794387DC00}" name="Column14226"/>
    <tableColumn id="14227" xr3:uid="{42565827-56E8-40EF-84CE-FFFC47C2784E}" name="Column14227"/>
    <tableColumn id="14228" xr3:uid="{9EDA88CA-537D-4C2C-8A0E-438CA0F38BEC}" name="Column14228"/>
    <tableColumn id="14229" xr3:uid="{0F39BEC5-C318-4791-B14F-C7F55B0FE9DE}" name="Column14229"/>
    <tableColumn id="14230" xr3:uid="{1BECBCC8-3C71-485C-ABD4-35E834D57F21}" name="Column14230"/>
    <tableColumn id="14231" xr3:uid="{5A17028B-E738-4E35-8CA6-FB41CBA522A1}" name="Column14231"/>
    <tableColumn id="14232" xr3:uid="{A50A67E7-EE7B-4A86-B9E4-E0179E7E044C}" name="Column14232"/>
    <tableColumn id="14233" xr3:uid="{4EECFF99-1A93-4987-8C23-2F9CBE5CA45D}" name="Column14233"/>
    <tableColumn id="14234" xr3:uid="{1AD09F6E-6BD0-4C23-8346-D18F7D6916FC}" name="Column14234"/>
    <tableColumn id="14235" xr3:uid="{647D8C51-A90E-4204-A5FF-143B9DB22605}" name="Column14235"/>
    <tableColumn id="14236" xr3:uid="{0C788586-2507-4083-86EF-C829F681E9CB}" name="Column14236"/>
    <tableColumn id="14237" xr3:uid="{C9DFB0C6-908B-4F87-9657-2A03B526C94D}" name="Column14237"/>
    <tableColumn id="14238" xr3:uid="{ACCBA7CA-914D-4D3E-B08D-CD48BED66FE6}" name="Column14238"/>
    <tableColumn id="14239" xr3:uid="{43FB8A76-B7BE-4A5D-BEEA-9EE1F43DAF35}" name="Column14239"/>
    <tableColumn id="14240" xr3:uid="{28D72BAD-2FA9-4D6D-AE43-2C080ADD236E}" name="Column14240"/>
    <tableColumn id="14241" xr3:uid="{1035F894-9EEF-444C-B852-816D9B743A0B}" name="Column14241"/>
    <tableColumn id="14242" xr3:uid="{A94A29A4-3315-4D5E-9D14-D3A47C75DFE5}" name="Column14242"/>
    <tableColumn id="14243" xr3:uid="{43A27073-19FD-4919-8037-38A27B8D3757}" name="Column14243"/>
    <tableColumn id="14244" xr3:uid="{358E1895-E211-4AFB-8F83-DE49660865AF}" name="Column14244"/>
    <tableColumn id="14245" xr3:uid="{C5AF803B-C4CE-42D5-ABA8-20CE7BCDE96B}" name="Column14245"/>
    <tableColumn id="14246" xr3:uid="{5ED6C886-FEA6-4673-BD4B-5393C7998801}" name="Column14246"/>
    <tableColumn id="14247" xr3:uid="{5C336F79-E73B-4B1B-9BCA-D05EDB49757C}" name="Column14247"/>
    <tableColumn id="14248" xr3:uid="{7FB39BF4-1B4D-4011-A454-B9F3BFD15FFF}" name="Column14248"/>
    <tableColumn id="14249" xr3:uid="{0E84DB1D-475D-4596-A870-EC646D05C7F5}" name="Column14249"/>
    <tableColumn id="14250" xr3:uid="{D025252D-1D6F-40A7-8C6C-5D1191F83A92}" name="Column14250"/>
    <tableColumn id="14251" xr3:uid="{F4A8D554-E6A1-42D7-84BD-8A6A5A8DF0B0}" name="Column14251"/>
    <tableColumn id="14252" xr3:uid="{A27EE5A8-57A4-4247-938D-6E1FED63E28C}" name="Column14252"/>
    <tableColumn id="14253" xr3:uid="{12F851CD-B958-4F6F-91F4-E0672D1DB58E}" name="Column14253"/>
    <tableColumn id="14254" xr3:uid="{2AB39EC2-DBEA-4551-82A3-9903D18C3B1F}" name="Column14254"/>
    <tableColumn id="14255" xr3:uid="{644E0C4E-56EE-4B93-B764-6F64169E650F}" name="Column14255"/>
    <tableColumn id="14256" xr3:uid="{85EC2185-8D61-4ED9-8BF6-97535617B238}" name="Column14256"/>
    <tableColumn id="14257" xr3:uid="{BE057091-BEBA-4A57-A04D-4809B7886A66}" name="Column14257"/>
    <tableColumn id="14258" xr3:uid="{42A7DE0C-81FA-4191-AA87-542861F7BCBF}" name="Column14258"/>
    <tableColumn id="14259" xr3:uid="{CAEB5FFE-B241-480F-BB7B-B1A9BD791B9E}" name="Column14259"/>
    <tableColumn id="14260" xr3:uid="{23C8BCF5-3E69-4E01-8128-7A3107C6267B}" name="Column14260"/>
    <tableColumn id="14261" xr3:uid="{89E92153-3FA3-432B-BD7A-C41AA5B06D94}" name="Column14261"/>
    <tableColumn id="14262" xr3:uid="{87FB9A75-BFEF-4450-8C57-CAF3781D91BF}" name="Column14262"/>
    <tableColumn id="14263" xr3:uid="{1F1519F3-094E-49BB-8E42-70D4890809CD}" name="Column14263"/>
    <tableColumn id="14264" xr3:uid="{7056F6DA-0922-4693-B3DF-094A0CC3DD67}" name="Column14264"/>
    <tableColumn id="14265" xr3:uid="{464F9743-C567-46B1-A071-C8ED9209B7BC}" name="Column14265"/>
    <tableColumn id="14266" xr3:uid="{4882206A-718A-4949-BF8E-2F3BFC389820}" name="Column14266"/>
    <tableColumn id="14267" xr3:uid="{3D592648-DEF4-452D-B7C5-307E17F2CB03}" name="Column14267"/>
    <tableColumn id="14268" xr3:uid="{89F9176D-9BCA-49CE-84D7-3638989B2FF4}" name="Column14268"/>
    <tableColumn id="14269" xr3:uid="{F4B1D499-C6AD-4F79-90AE-E38F3680CA19}" name="Column14269"/>
    <tableColumn id="14270" xr3:uid="{F6D553F3-4C6D-4567-899C-C582DF1FFC0F}" name="Column14270"/>
    <tableColumn id="14271" xr3:uid="{8DAE4EBE-1DEC-44BE-9F2B-1734AF7CE1A0}" name="Column14271"/>
    <tableColumn id="14272" xr3:uid="{6E2C6A11-9712-4224-A20B-E99D1BC8B58A}" name="Column14272"/>
    <tableColumn id="14273" xr3:uid="{DF790863-3587-466C-8B89-BE91FB711905}" name="Column14273"/>
    <tableColumn id="14274" xr3:uid="{1B55619E-84AC-43DB-A3E1-8B45F10B9D42}" name="Column14274"/>
    <tableColumn id="14275" xr3:uid="{B0927D27-4CBA-482D-86E6-3A1E2C01917C}" name="Column14275"/>
    <tableColumn id="14276" xr3:uid="{32AAEA3B-662D-4E1C-A3B1-34AC2FEE276E}" name="Column14276"/>
    <tableColumn id="14277" xr3:uid="{2423EA22-7FB6-427B-99B1-2F291FC061D5}" name="Column14277"/>
    <tableColumn id="14278" xr3:uid="{50622339-65BC-4137-8450-3C32B95007FD}" name="Column14278"/>
    <tableColumn id="14279" xr3:uid="{48809843-A083-4215-8044-BF74A5073AB8}" name="Column14279"/>
    <tableColumn id="14280" xr3:uid="{F4A7D3FA-78DF-4AE5-8D16-05CCD5894D57}" name="Column14280"/>
    <tableColumn id="14281" xr3:uid="{A099FB6C-965F-46EF-BAFB-D682DF536983}" name="Column14281"/>
    <tableColumn id="14282" xr3:uid="{93AE4BBF-78A0-4366-BF37-F0256775024F}" name="Column14282"/>
    <tableColumn id="14283" xr3:uid="{920B71E0-ACB0-4291-A522-F88354B3A40E}" name="Column14283"/>
    <tableColumn id="14284" xr3:uid="{E4A47C32-67EF-4E1C-B1E1-8FC0A4E085D6}" name="Column14284"/>
    <tableColumn id="14285" xr3:uid="{C808426F-DEFC-4DCD-803A-8E3115A41AE6}" name="Column14285"/>
    <tableColumn id="14286" xr3:uid="{14CCD0F0-8E75-49D7-A3AA-89F3CBF25097}" name="Column14286"/>
    <tableColumn id="14287" xr3:uid="{25C25B5E-6801-4CBF-92DE-1BFD06909B43}" name="Column14287"/>
    <tableColumn id="14288" xr3:uid="{07526A49-3195-4A5D-89E5-19FF9114BC06}" name="Column14288"/>
    <tableColumn id="14289" xr3:uid="{D20687AB-1564-4D10-9A86-B3DBEDFFA764}" name="Column14289"/>
    <tableColumn id="14290" xr3:uid="{55B311FD-8B22-442B-A794-0C7BBEEADA61}" name="Column14290"/>
    <tableColumn id="14291" xr3:uid="{49DA69D8-DA76-4DA4-9336-66612544F120}" name="Column14291"/>
    <tableColumn id="14292" xr3:uid="{1801B995-930E-455F-8ACE-1AA197C3DF18}" name="Column14292"/>
    <tableColumn id="14293" xr3:uid="{CCA521D7-C8AA-491D-93CE-DEC154992CFA}" name="Column14293"/>
    <tableColumn id="14294" xr3:uid="{D4326BA9-D233-4743-8D11-77114585D853}" name="Column14294"/>
    <tableColumn id="14295" xr3:uid="{E0832904-3011-4D14-AF6A-5276EC26691A}" name="Column14295"/>
    <tableColumn id="14296" xr3:uid="{9519EC42-8AFC-449E-B3EE-5073D6AFB6FF}" name="Column14296"/>
    <tableColumn id="14297" xr3:uid="{5CD17912-86CD-488F-A1C4-00BC1AD6A265}" name="Column14297"/>
    <tableColumn id="14298" xr3:uid="{68DED29B-0478-4504-B92D-0CFA1FC14D96}" name="Column14298"/>
    <tableColumn id="14299" xr3:uid="{49E9076B-2FCB-451A-B2F2-3E7EA0CE5BD8}" name="Column14299"/>
    <tableColumn id="14300" xr3:uid="{B87413BD-2968-4D4B-9DCE-376F2850EBEB}" name="Column14300"/>
    <tableColumn id="14301" xr3:uid="{E7D0D12E-91BB-4759-8226-03821FF08DF5}" name="Column14301"/>
    <tableColumn id="14302" xr3:uid="{B97D76EE-C488-4FF7-ACCF-E71679BBD457}" name="Column14302"/>
    <tableColumn id="14303" xr3:uid="{9069720F-0857-490F-BFF1-9F39ADBF6035}" name="Column14303"/>
    <tableColumn id="14304" xr3:uid="{895B77AF-A138-4DC7-95AE-90B69886B080}" name="Column14304"/>
    <tableColumn id="14305" xr3:uid="{225A3363-D4D5-419B-B833-0CCA3DCA1FFC}" name="Column14305"/>
    <tableColumn id="14306" xr3:uid="{BC04F57C-F738-46D8-B0EC-6242002989D5}" name="Column14306"/>
    <tableColumn id="14307" xr3:uid="{85C26E76-3C04-4553-A2A0-619928EF8DE1}" name="Column14307"/>
    <tableColumn id="14308" xr3:uid="{93CA02C8-D2B3-4138-9049-1AE57959912F}" name="Column14308"/>
    <tableColumn id="14309" xr3:uid="{50E6004A-1A98-47B6-8FA5-C6701E234A12}" name="Column14309"/>
    <tableColumn id="14310" xr3:uid="{92B55EA8-339E-4C25-A5A9-356A916CBA46}" name="Column14310"/>
    <tableColumn id="14311" xr3:uid="{4031F63F-4803-4596-8355-65F0179E0940}" name="Column14311"/>
    <tableColumn id="14312" xr3:uid="{E9283137-54A9-43A7-8D04-533639C78D30}" name="Column14312"/>
    <tableColumn id="14313" xr3:uid="{5F461D3B-6D2C-4678-AD3C-21ED6B1EBAC6}" name="Column14313"/>
    <tableColumn id="14314" xr3:uid="{D7519C52-471E-4998-8F64-D1F7C83DFDBE}" name="Column14314"/>
    <tableColumn id="14315" xr3:uid="{F6314A0C-363D-4E96-8290-5C32B8F23494}" name="Column14315"/>
    <tableColumn id="14316" xr3:uid="{7AA78A5A-88F1-4015-870B-CAF95AC890DD}" name="Column14316"/>
    <tableColumn id="14317" xr3:uid="{7506FE2C-F754-430B-91CC-66F424377522}" name="Column14317"/>
    <tableColumn id="14318" xr3:uid="{CECCF473-4133-4A65-B6D9-7CC1A2EF7262}" name="Column14318"/>
    <tableColumn id="14319" xr3:uid="{79C5E4B5-34E1-46F7-AC5E-C8294C781397}" name="Column14319"/>
    <tableColumn id="14320" xr3:uid="{9DC96FB2-5317-4E98-BFC9-702D781BE351}" name="Column14320"/>
    <tableColumn id="14321" xr3:uid="{72ED9300-21D1-4BB7-8C01-B49F8C74B3FA}" name="Column14321"/>
    <tableColumn id="14322" xr3:uid="{E0E51F8B-5232-41D6-9C31-0262EA54458D}" name="Column14322"/>
    <tableColumn id="14323" xr3:uid="{A58F2BE7-0B2C-4E59-9105-B6D649A9B5FA}" name="Column14323"/>
    <tableColumn id="14324" xr3:uid="{6961A6C8-5B41-4EF7-97F8-9E1466073652}" name="Column14324"/>
    <tableColumn id="14325" xr3:uid="{11EE5366-77F7-49D7-B807-7A67FB7BE43F}" name="Column14325"/>
    <tableColumn id="14326" xr3:uid="{31427F0B-6639-48CC-9D4D-2C24537C3F92}" name="Column14326"/>
    <tableColumn id="14327" xr3:uid="{3F519964-C205-4A8C-AEAF-60CE3549A03C}" name="Column14327"/>
    <tableColumn id="14328" xr3:uid="{6224F342-D053-495C-BE7E-B0D740D1B940}" name="Column14328"/>
    <tableColumn id="14329" xr3:uid="{1288D1B4-2741-4CB1-B962-AAE563610A88}" name="Column14329"/>
    <tableColumn id="14330" xr3:uid="{633C97D1-49E5-4431-AE3C-E7AE30BA6A95}" name="Column14330"/>
    <tableColumn id="14331" xr3:uid="{556A7483-540C-401F-84A0-09EA28A79CD3}" name="Column14331"/>
    <tableColumn id="14332" xr3:uid="{84D8A7CD-8473-459A-937F-645D88C5A5F2}" name="Column14332"/>
    <tableColumn id="14333" xr3:uid="{ACA3AFC9-5061-480D-9E99-15C0D6793906}" name="Column14333"/>
    <tableColumn id="14334" xr3:uid="{DABFE2B7-88EF-4464-A72A-9DB039E9785D}" name="Column14334"/>
    <tableColumn id="14335" xr3:uid="{0CA70F1A-3114-4857-A3A7-3E172009C1AC}" name="Column14335"/>
    <tableColumn id="14336" xr3:uid="{D28D27D1-2EC2-477C-A8E8-3D932B052B80}" name="Column14336"/>
    <tableColumn id="14337" xr3:uid="{D8EF010C-7371-493D-89A5-E14E5E5DDD30}" name="Column14337"/>
    <tableColumn id="14338" xr3:uid="{52104934-6AC6-4996-BBBA-B2B5A672BF2F}" name="Column14338"/>
    <tableColumn id="14339" xr3:uid="{E10789FB-D5C1-4B05-BD30-DB2AB660C784}" name="Column14339"/>
    <tableColumn id="14340" xr3:uid="{BA3FF7AE-AB56-44AB-8035-7CB001DF5B1E}" name="Column14340"/>
    <tableColumn id="14341" xr3:uid="{D88C0114-B10E-458B-89A8-2BBBE8924397}" name="Column14341"/>
    <tableColumn id="14342" xr3:uid="{25177687-9B24-46C0-BD2C-99208758E56A}" name="Column14342"/>
    <tableColumn id="14343" xr3:uid="{B7A23ADD-32C9-4CC2-BE22-A1590800FFFA}" name="Column14343"/>
    <tableColumn id="14344" xr3:uid="{93F8D7F7-A762-42D5-B1AF-EBF2BE3B19A6}" name="Column14344"/>
    <tableColumn id="14345" xr3:uid="{3E9EF050-001D-488F-BD5F-268C17B3DFA8}" name="Column14345"/>
    <tableColumn id="14346" xr3:uid="{45CBCC13-013F-4809-B6BD-FC52B94CDCB1}" name="Column14346"/>
    <tableColumn id="14347" xr3:uid="{EF34C456-0E1A-42DF-8655-4A16222B8CFC}" name="Column14347"/>
    <tableColumn id="14348" xr3:uid="{4963107F-20DA-4F7B-9F8A-DC7CCE054C96}" name="Column14348"/>
    <tableColumn id="14349" xr3:uid="{490018E5-D73D-42E1-B2E5-3B397E0ED02B}" name="Column14349"/>
    <tableColumn id="14350" xr3:uid="{79270E83-792F-495F-AF1F-9FE6D705A729}" name="Column14350"/>
    <tableColumn id="14351" xr3:uid="{BF32F26C-AEEB-4BB8-8E58-1BAD3714CFAC}" name="Column14351"/>
    <tableColumn id="14352" xr3:uid="{1366ADE5-CE57-4E0B-9A0B-B587BCCB41F5}" name="Column14352"/>
    <tableColumn id="14353" xr3:uid="{83C80D87-C739-4BFE-9D90-0EC0AFDF47B0}" name="Column14353"/>
    <tableColumn id="14354" xr3:uid="{685E1EA7-35AA-450E-AA4F-BD54D895BA76}" name="Column14354"/>
    <tableColumn id="14355" xr3:uid="{7223D755-EC6E-41A6-8963-028E03C3E81E}" name="Column14355"/>
    <tableColumn id="14356" xr3:uid="{95797A1A-80DB-4F2A-9347-0E40C0487BE6}" name="Column14356"/>
    <tableColumn id="14357" xr3:uid="{F58E6D77-5B58-4C0D-B8BE-70448B08C386}" name="Column14357"/>
    <tableColumn id="14358" xr3:uid="{D5C701DC-B127-410A-92DD-710D4385D4BD}" name="Column14358"/>
    <tableColumn id="14359" xr3:uid="{901E73BA-8C22-4B79-B7BA-0CF30F2BF8F7}" name="Column14359"/>
    <tableColumn id="14360" xr3:uid="{1D3DA45B-2AB9-4356-B218-A6E7FF916E72}" name="Column14360"/>
    <tableColumn id="14361" xr3:uid="{C25F51FC-9468-4823-99A5-973DE64D6606}" name="Column14361"/>
    <tableColumn id="14362" xr3:uid="{15786636-2EF6-4A62-8899-C0B0B082CD0B}" name="Column14362"/>
    <tableColumn id="14363" xr3:uid="{A4A479AD-770B-4B38-9A90-89B48D2BEE92}" name="Column14363"/>
    <tableColumn id="14364" xr3:uid="{D4D2614F-3953-4FAE-A4BD-3FF699393701}" name="Column14364"/>
    <tableColumn id="14365" xr3:uid="{F83B1D72-3ACE-4984-A708-C6A31E39936E}" name="Column14365"/>
    <tableColumn id="14366" xr3:uid="{F5CBCA2B-C1BE-4CD4-9B95-FECAE4388B99}" name="Column14366"/>
    <tableColumn id="14367" xr3:uid="{43137785-4401-4C15-AFAC-E3BA46A6C3CC}" name="Column14367"/>
    <tableColumn id="14368" xr3:uid="{FE45AD12-2D48-4065-8E19-68954B572B58}" name="Column14368"/>
    <tableColumn id="14369" xr3:uid="{4B0D1646-9B43-438F-86DA-92D7405AED7B}" name="Column14369"/>
    <tableColumn id="14370" xr3:uid="{3C552DEF-5B85-41D0-BFBF-4AE612831343}" name="Column14370"/>
    <tableColumn id="14371" xr3:uid="{EAB045E5-F91B-43A1-BB63-1C38E6568643}" name="Column14371"/>
    <tableColumn id="14372" xr3:uid="{F420048A-E890-4B6D-985F-AC3B3EDF94A4}" name="Column14372"/>
    <tableColumn id="14373" xr3:uid="{94742779-CFBD-439B-9CA4-572A2BBE2234}" name="Column14373"/>
    <tableColumn id="14374" xr3:uid="{82525564-1302-40D2-9CC1-B8FE6F8F12B7}" name="Column14374"/>
    <tableColumn id="14375" xr3:uid="{89DF0B3D-EAA1-4187-A14F-DD14AF025C24}" name="Column14375"/>
    <tableColumn id="14376" xr3:uid="{5AA32767-DBFE-4744-8FD2-8AE1815F564B}" name="Column14376"/>
    <tableColumn id="14377" xr3:uid="{22CC2D56-4031-40E0-89D1-655916E7AACA}" name="Column14377"/>
    <tableColumn id="14378" xr3:uid="{32E1DE92-BED2-47FC-A8D2-2196691E538B}" name="Column14378"/>
    <tableColumn id="14379" xr3:uid="{D8B6A77F-7952-4AAF-A9D4-B5022AEA7F44}" name="Column14379"/>
    <tableColumn id="14380" xr3:uid="{09E7BC0F-A8BB-4F5E-8449-6C048EA1D5A5}" name="Column14380"/>
    <tableColumn id="14381" xr3:uid="{B6F58898-CE07-4CC6-845F-0393BBB56C93}" name="Column14381"/>
    <tableColumn id="14382" xr3:uid="{B4CBF606-CD18-4C2D-A894-2E7F1F1CCD6E}" name="Column14382"/>
    <tableColumn id="14383" xr3:uid="{39B8FADA-18BA-416C-B848-6AD75E92D6E1}" name="Column14383"/>
    <tableColumn id="14384" xr3:uid="{220FD466-2F02-4BEB-B138-50FC33900BA8}" name="Column14384"/>
    <tableColumn id="14385" xr3:uid="{06843E41-840C-44C7-9E12-74598AFE040E}" name="Column14385"/>
    <tableColumn id="14386" xr3:uid="{E2D1201F-F4F5-4D8B-9C6B-6DA6A2012169}" name="Column14386"/>
    <tableColumn id="14387" xr3:uid="{8DEA5311-0B6C-4110-A4DB-65A1F7D296D4}" name="Column14387"/>
    <tableColumn id="14388" xr3:uid="{2E9CD8C3-9FC4-4453-93B8-9B3C0A9A7942}" name="Column14388"/>
    <tableColumn id="14389" xr3:uid="{522D6E81-9FA1-45EF-AB14-1CB13ACF1516}" name="Column14389"/>
    <tableColumn id="14390" xr3:uid="{A32EEBE9-F1A9-47C5-B4CF-33DDAE13D11E}" name="Column14390"/>
    <tableColumn id="14391" xr3:uid="{567D019A-D5F2-4148-B10F-34ADEB977E80}" name="Column14391"/>
    <tableColumn id="14392" xr3:uid="{84D5B5E6-5A8B-42C4-82EA-930B321057FB}" name="Column14392"/>
    <tableColumn id="14393" xr3:uid="{6939D79D-C7A9-4626-B6E3-54EEDE10CE83}" name="Column14393"/>
    <tableColumn id="14394" xr3:uid="{E2774896-7247-4619-9907-6F8B833F4E0C}" name="Column14394"/>
    <tableColumn id="14395" xr3:uid="{FD64FEAF-5B06-4DED-B886-D50F03AE5BD8}" name="Column14395"/>
    <tableColumn id="14396" xr3:uid="{71A2A2CA-8219-425E-B35D-739363D6D6D6}" name="Column14396"/>
    <tableColumn id="14397" xr3:uid="{E61E0B7B-B98C-45A0-9EC0-984B9E9C5A40}" name="Column14397"/>
    <tableColumn id="14398" xr3:uid="{8571CE60-6809-44B0-BEE3-C13706AD8316}" name="Column14398"/>
    <tableColumn id="14399" xr3:uid="{8D30F256-2D44-49DF-BD30-E6FF3927103B}" name="Column14399"/>
    <tableColumn id="14400" xr3:uid="{649BB07C-9E56-4FE4-91C9-429FC1D142D2}" name="Column14400"/>
    <tableColumn id="14401" xr3:uid="{534E3C24-C363-4AAF-9052-4D378E171E33}" name="Column14401"/>
    <tableColumn id="14402" xr3:uid="{ADA72D1D-29D7-4A0C-AA49-B92AD29DDC69}" name="Column14402"/>
    <tableColumn id="14403" xr3:uid="{AC4B5DE0-8DEC-4E25-BC0D-57E1256DB5AF}" name="Column14403"/>
    <tableColumn id="14404" xr3:uid="{2F9CB78F-D705-4BCB-91B7-F244BA2B3995}" name="Column14404"/>
    <tableColumn id="14405" xr3:uid="{83781F05-25B0-4409-B7BE-8C94A552398B}" name="Column14405"/>
    <tableColumn id="14406" xr3:uid="{9CD93F6A-5A73-4BC8-9F33-BE336FB8B47D}" name="Column14406"/>
    <tableColumn id="14407" xr3:uid="{8B29032C-BA4F-4765-9FA7-114B4EA7AF78}" name="Column14407"/>
    <tableColumn id="14408" xr3:uid="{BD2D37BD-341B-4F92-AA9E-68D6E740F5E6}" name="Column14408"/>
    <tableColumn id="14409" xr3:uid="{BB1BDC49-BB09-4F19-951A-639EA6BF0C18}" name="Column14409"/>
    <tableColumn id="14410" xr3:uid="{A500B568-4D9D-45DA-8CB4-AC053C7B5C77}" name="Column14410"/>
    <tableColumn id="14411" xr3:uid="{8047534B-1A2B-4E8C-BE5C-5D95CE57D97E}" name="Column14411"/>
    <tableColumn id="14412" xr3:uid="{21F8703B-EE78-48CE-8345-669726D54B83}" name="Column14412"/>
    <tableColumn id="14413" xr3:uid="{52A04B9E-17CE-4007-91BC-70EF6B193918}" name="Column14413"/>
    <tableColumn id="14414" xr3:uid="{0FF35C01-110B-4FC0-B594-76792EA78D75}" name="Column14414"/>
    <tableColumn id="14415" xr3:uid="{71F8AFAD-74BA-49D7-ABF8-2713C7BFBF06}" name="Column14415"/>
    <tableColumn id="14416" xr3:uid="{028E87DF-609B-43D3-B6FE-8D8C9AFCA600}" name="Column14416"/>
    <tableColumn id="14417" xr3:uid="{1EB36079-5DAA-4993-8BBC-CC3F27F58DD2}" name="Column14417"/>
    <tableColumn id="14418" xr3:uid="{E50135A4-4353-42EF-9B5C-C6E5D4562DC9}" name="Column14418"/>
    <tableColumn id="14419" xr3:uid="{6E6321AC-0E85-49A3-802B-35376919947F}" name="Column14419"/>
    <tableColumn id="14420" xr3:uid="{73255717-7531-4EB7-A8EE-0EC92B541EFA}" name="Column14420"/>
    <tableColumn id="14421" xr3:uid="{A99D9859-3F54-4D86-A497-0C2CFD1DF830}" name="Column14421"/>
    <tableColumn id="14422" xr3:uid="{E9CEB856-5B10-44CB-BBEA-E9C5279C0921}" name="Column14422"/>
    <tableColumn id="14423" xr3:uid="{DF9962D3-5D2C-488D-AAF1-EB4841927E3D}" name="Column14423"/>
    <tableColumn id="14424" xr3:uid="{2A7C12A6-371C-40FA-9FAD-EAE7682E9679}" name="Column14424"/>
    <tableColumn id="14425" xr3:uid="{4955E881-46F3-4F64-B1A8-1A8937ADC8A9}" name="Column14425"/>
    <tableColumn id="14426" xr3:uid="{F890793E-9892-45D7-8E21-7531B7595874}" name="Column14426"/>
    <tableColumn id="14427" xr3:uid="{6EB86906-41BD-4711-AF46-43ED2F3FD532}" name="Column14427"/>
    <tableColumn id="14428" xr3:uid="{5A4C38BD-0DA6-4A39-AAB4-DBE9D53EFCFF}" name="Column14428"/>
    <tableColumn id="14429" xr3:uid="{4CE3F6E6-80BF-455A-BB74-9DFF106E3024}" name="Column14429"/>
    <tableColumn id="14430" xr3:uid="{76B23D38-F5B9-4C35-A6E7-AC6F0E1CBE88}" name="Column14430"/>
    <tableColumn id="14431" xr3:uid="{5546616E-62C7-42E0-A4D8-E9B69A593B36}" name="Column14431"/>
    <tableColumn id="14432" xr3:uid="{5322D4CC-9900-4BF0-8618-797AA8DA6574}" name="Column14432"/>
    <tableColumn id="14433" xr3:uid="{5F70A768-A095-4F57-9085-32219C0C6519}" name="Column14433"/>
    <tableColumn id="14434" xr3:uid="{C59A0A53-A504-4958-9250-1221DE035968}" name="Column14434"/>
    <tableColumn id="14435" xr3:uid="{0EA2388F-1D08-4953-8D5B-96313A3A3436}" name="Column14435"/>
    <tableColumn id="14436" xr3:uid="{B7FAFAF3-C12E-405F-83D9-B65E12458E3E}" name="Column14436"/>
    <tableColumn id="14437" xr3:uid="{811CE246-2531-4F62-970E-BA5E8CDE1B23}" name="Column14437"/>
    <tableColumn id="14438" xr3:uid="{3397D08D-50DE-467E-A9CE-ED0F6643F979}" name="Column14438"/>
    <tableColumn id="14439" xr3:uid="{2133A6BE-68A3-478B-80C5-AECCFBAA701F}" name="Column14439"/>
    <tableColumn id="14440" xr3:uid="{A14F8D27-E4C0-4C9E-A191-F0ABDBEEE379}" name="Column14440"/>
    <tableColumn id="14441" xr3:uid="{7B669A00-2472-4D58-918D-793F72E3DB19}" name="Column14441"/>
    <tableColumn id="14442" xr3:uid="{D979C4F3-3BC2-48B0-BB07-59A275BFE6E5}" name="Column14442"/>
    <tableColumn id="14443" xr3:uid="{63200397-16F2-4763-B167-6823911D923A}" name="Column14443"/>
    <tableColumn id="14444" xr3:uid="{8189A24F-0A81-44B0-B4DC-49DA32DECC27}" name="Column14444"/>
    <tableColumn id="14445" xr3:uid="{0D5B5BA3-A1CE-403C-AC81-89593D800DF2}" name="Column14445"/>
    <tableColumn id="14446" xr3:uid="{DF963F58-1BD6-4DF2-A2FF-A4014AEB3844}" name="Column14446"/>
    <tableColumn id="14447" xr3:uid="{E662FDB3-C505-4C50-B432-9DDBD9BD90D9}" name="Column14447"/>
    <tableColumn id="14448" xr3:uid="{2D966CE8-BD6A-47F8-BA0A-2013C43862E4}" name="Column14448"/>
    <tableColumn id="14449" xr3:uid="{C8FC967C-9304-46AC-A446-DCFC0444765D}" name="Column14449"/>
    <tableColumn id="14450" xr3:uid="{47EDCB0F-FB38-4BE6-A1CE-79200F0D4AE6}" name="Column14450"/>
    <tableColumn id="14451" xr3:uid="{16423F1A-A699-4211-81DB-1D65FDD4D3F6}" name="Column14451"/>
    <tableColumn id="14452" xr3:uid="{211DC3D1-21E9-46A2-8B94-39A6918B36BF}" name="Column14452"/>
    <tableColumn id="14453" xr3:uid="{5E2CC1D9-E294-4EE0-AB48-53706DEE5EB3}" name="Column14453"/>
    <tableColumn id="14454" xr3:uid="{DB48327E-A553-4696-B99D-CFDE4C5B4DB3}" name="Column14454"/>
    <tableColumn id="14455" xr3:uid="{F747FCBA-7440-4192-9172-92052E09A5EC}" name="Column14455"/>
    <tableColumn id="14456" xr3:uid="{1559BC73-6D51-432F-8338-1BB600201C92}" name="Column14456"/>
    <tableColumn id="14457" xr3:uid="{45DD8A75-16C4-45BA-8FF0-110E9E1509D7}" name="Column14457"/>
    <tableColumn id="14458" xr3:uid="{8E009095-5ABE-4FD5-8847-045FC3A9CE30}" name="Column14458"/>
    <tableColumn id="14459" xr3:uid="{CB5D1F89-B704-42C7-AD39-21E2B65D3389}" name="Column14459"/>
    <tableColumn id="14460" xr3:uid="{3A9A7A98-9B33-45CD-B5A8-88C524BF2E5D}" name="Column14460"/>
    <tableColumn id="14461" xr3:uid="{2D984015-6C0B-4656-B50F-E8089BF9C1D4}" name="Column14461"/>
    <tableColumn id="14462" xr3:uid="{2D1E5A02-8976-4AF9-AABC-9DFF14C7C54B}" name="Column14462"/>
    <tableColumn id="14463" xr3:uid="{3D327643-BD23-4803-8784-A18E880C89FC}" name="Column14463"/>
    <tableColumn id="14464" xr3:uid="{61C126EF-252B-45C9-A9B2-B8FB1080B3E4}" name="Column14464"/>
    <tableColumn id="14465" xr3:uid="{C3329A54-8E76-44D3-A41D-3128917CC78A}" name="Column14465"/>
    <tableColumn id="14466" xr3:uid="{00AC1D0B-FE34-4FF6-BF6A-BF86BFD90542}" name="Column14466"/>
    <tableColumn id="14467" xr3:uid="{2885D04C-3FA5-49AA-842D-B52BC478430E}" name="Column14467"/>
    <tableColumn id="14468" xr3:uid="{43CA68E6-BEEC-4F60-87C0-630B963212D4}" name="Column14468"/>
    <tableColumn id="14469" xr3:uid="{EA4D244F-A9F0-4B72-AA7C-F21DFEDD9686}" name="Column14469"/>
    <tableColumn id="14470" xr3:uid="{50145123-14FB-44B4-A28B-4D96978D7913}" name="Column14470"/>
    <tableColumn id="14471" xr3:uid="{B7DF712A-3802-469D-B84A-13CA3CF285B0}" name="Column14471"/>
    <tableColumn id="14472" xr3:uid="{6B114D96-8B15-48B7-BB88-430A15FAC985}" name="Column14472"/>
    <tableColumn id="14473" xr3:uid="{713F0A0E-B777-4D2D-8936-C76B062C0480}" name="Column14473"/>
    <tableColumn id="14474" xr3:uid="{0FEB9847-DC3F-422E-AFCA-47B689E524A2}" name="Column14474"/>
    <tableColumn id="14475" xr3:uid="{685093BF-8A05-461D-A30C-6A1BD9545537}" name="Column14475"/>
    <tableColumn id="14476" xr3:uid="{8675E586-47B7-44A2-8278-B9344675CF3A}" name="Column14476"/>
    <tableColumn id="14477" xr3:uid="{973C762A-7132-4CC7-9F9B-76608E1A125A}" name="Column14477"/>
    <tableColumn id="14478" xr3:uid="{1A1BA215-EB1B-4B30-8899-223802C4148D}" name="Column14478"/>
    <tableColumn id="14479" xr3:uid="{BBEB449E-A120-488C-B76A-5843E2DADAE1}" name="Column14479"/>
    <tableColumn id="14480" xr3:uid="{56ED45EA-FCB5-424F-B204-A3DDE2800BD3}" name="Column14480"/>
    <tableColumn id="14481" xr3:uid="{C8404C54-79B6-41BE-84DF-6EE334132752}" name="Column14481"/>
    <tableColumn id="14482" xr3:uid="{F4094A5B-77A0-44E2-97FD-CF28C1EAB2BD}" name="Column14482"/>
    <tableColumn id="14483" xr3:uid="{929FD49C-3632-4BA2-8305-ABB456CAE7BF}" name="Column14483"/>
    <tableColumn id="14484" xr3:uid="{617CBDD6-C7A4-4F0D-BED6-C36294908C70}" name="Column14484"/>
    <tableColumn id="14485" xr3:uid="{CD23C665-72D5-4D95-8D18-3F083057AAFA}" name="Column14485"/>
    <tableColumn id="14486" xr3:uid="{982597CD-63DC-4D12-8B7C-E02829B4CF21}" name="Column14486"/>
    <tableColumn id="14487" xr3:uid="{69317F4F-4C76-42D2-8EEE-5F5885C0F100}" name="Column14487"/>
    <tableColumn id="14488" xr3:uid="{81B452ED-C546-4F99-A227-C73931FD666E}" name="Column14488"/>
    <tableColumn id="14489" xr3:uid="{54F820EB-7B2A-4CDF-8396-85BCCC40AA3E}" name="Column14489"/>
    <tableColumn id="14490" xr3:uid="{A1C107F5-1C42-48DB-8D52-3391CA991E95}" name="Column14490"/>
    <tableColumn id="14491" xr3:uid="{64C0312B-A501-4A39-B8BE-4FCD1B28D5E8}" name="Column14491"/>
    <tableColumn id="14492" xr3:uid="{640E6134-40BD-451A-8705-AE403691488E}" name="Column14492"/>
    <tableColumn id="14493" xr3:uid="{2FF5D191-772C-4E25-A118-49D00774A102}" name="Column14493"/>
    <tableColumn id="14494" xr3:uid="{686E4D26-208F-438F-A5D7-AC64E70E88C0}" name="Column14494"/>
    <tableColumn id="14495" xr3:uid="{719E3BCE-15D1-433A-928B-6DCF4FC05732}" name="Column14495"/>
    <tableColumn id="14496" xr3:uid="{18DA0391-334C-465E-B752-7AEFD2004D62}" name="Column14496"/>
    <tableColumn id="14497" xr3:uid="{3BFEC141-9CA1-4DCF-B011-C2699814DD2D}" name="Column14497"/>
    <tableColumn id="14498" xr3:uid="{CAB0E5D0-65B3-4565-B844-B3A4AD33E57C}" name="Column14498"/>
    <tableColumn id="14499" xr3:uid="{51829277-5B28-4A00-BF77-9598A25C0366}" name="Column14499"/>
    <tableColumn id="14500" xr3:uid="{43CE12F7-3199-4EA7-9743-16AFB7F6F632}" name="Column14500"/>
    <tableColumn id="14501" xr3:uid="{AD75F90C-A672-4113-9E6F-D70FABBA9AC5}" name="Column14501"/>
    <tableColumn id="14502" xr3:uid="{54E78A68-D2FE-4767-92FC-49F3E1A3FB53}" name="Column14502"/>
    <tableColumn id="14503" xr3:uid="{46787C39-2A27-4B57-BAEA-A5BF330C9F47}" name="Column14503"/>
    <tableColumn id="14504" xr3:uid="{F0B50971-5B6E-41E5-9388-681A7E8ECB1A}" name="Column14504"/>
    <tableColumn id="14505" xr3:uid="{2A39EF7E-3AEC-47A2-964C-05DBF8448920}" name="Column14505"/>
    <tableColumn id="14506" xr3:uid="{3AAAE5A9-2037-4961-96CA-C11CD4D701D5}" name="Column14506"/>
    <tableColumn id="14507" xr3:uid="{8596FCD4-A675-42D3-A47C-2AD4AB8726BC}" name="Column14507"/>
    <tableColumn id="14508" xr3:uid="{0F06DF1B-7454-441C-8DAA-4CC02106B2AA}" name="Column14508"/>
    <tableColumn id="14509" xr3:uid="{41782E9F-5501-4634-9ED7-B32025BBC569}" name="Column14509"/>
    <tableColumn id="14510" xr3:uid="{0971F72F-6CF8-404B-B2D7-47DABFADDE74}" name="Column14510"/>
    <tableColumn id="14511" xr3:uid="{EDFF5189-87C8-4709-887D-207E2E98F22D}" name="Column14511"/>
    <tableColumn id="14512" xr3:uid="{C7CF1278-CDE5-45AE-9257-598FB1E48F78}" name="Column14512"/>
    <tableColumn id="14513" xr3:uid="{D53CEB65-81D5-4DD6-9287-CC2C960B09B1}" name="Column14513"/>
    <tableColumn id="14514" xr3:uid="{31E5E64F-AC64-4001-8A1C-2700BD9CA408}" name="Column14514"/>
    <tableColumn id="14515" xr3:uid="{B5E3A53C-D98D-40B6-A58E-216692D9CB4C}" name="Column14515"/>
    <tableColumn id="14516" xr3:uid="{02BCD4D4-FE95-4DA9-9B41-FC25BF28E5CF}" name="Column14516"/>
    <tableColumn id="14517" xr3:uid="{FE69D3AE-E6C5-410E-B0EC-E098F2A1D669}" name="Column14517"/>
    <tableColumn id="14518" xr3:uid="{C374C5AF-5175-4D13-A595-F4DAD1680E34}" name="Column14518"/>
    <tableColumn id="14519" xr3:uid="{D63E49C3-2B2A-4607-B82F-51AD4A2E8189}" name="Column14519"/>
    <tableColumn id="14520" xr3:uid="{FCC68AAC-B6E7-462C-A58C-3DF25017C620}" name="Column14520"/>
    <tableColumn id="14521" xr3:uid="{9B12B4FC-55D0-4128-B66D-218BF06B8435}" name="Column14521"/>
    <tableColumn id="14522" xr3:uid="{68A1DB33-3A94-4E7F-8841-A2601165B9E8}" name="Column14522"/>
    <tableColumn id="14523" xr3:uid="{658412CB-716D-4940-AD6D-3B5E77E1D462}" name="Column14523"/>
    <tableColumn id="14524" xr3:uid="{A8A935CA-4E70-4767-928E-EFAD2EC349A4}" name="Column14524"/>
    <tableColumn id="14525" xr3:uid="{A4D9451F-2B5E-42FB-AB03-247A1B26F68A}" name="Column14525"/>
    <tableColumn id="14526" xr3:uid="{B7D01351-993B-403B-9B18-C886589E8E42}" name="Column14526"/>
    <tableColumn id="14527" xr3:uid="{14A65007-47D9-485D-878C-B354F06251A9}" name="Column14527"/>
    <tableColumn id="14528" xr3:uid="{3EAB3FBA-AB65-435A-A667-A905431A44DD}" name="Column14528"/>
    <tableColumn id="14529" xr3:uid="{41ECDDED-4862-4C33-9310-B88248141E34}" name="Column14529"/>
    <tableColumn id="14530" xr3:uid="{C4B53A62-517D-4EB5-B203-B2B1D6CC9204}" name="Column14530"/>
    <tableColumn id="14531" xr3:uid="{A52836F0-184B-451B-AC2E-B880B29A6D63}" name="Column14531"/>
    <tableColumn id="14532" xr3:uid="{C2DC2100-876F-4B5B-B423-74BFDDDFDEB2}" name="Column14532"/>
    <tableColumn id="14533" xr3:uid="{0D8311CD-3604-48BF-9826-0CFFE80ED91B}" name="Column14533"/>
    <tableColumn id="14534" xr3:uid="{75038488-5DBE-45D6-B7BE-3FE72BFCF07E}" name="Column14534"/>
    <tableColumn id="14535" xr3:uid="{4B93C02D-E1E6-4858-94B1-F0C618216823}" name="Column14535"/>
    <tableColumn id="14536" xr3:uid="{F44D1694-65B8-476E-88CD-2D4074348524}" name="Column14536"/>
    <tableColumn id="14537" xr3:uid="{A3143479-B0BE-4AB4-A0B4-F336E9152A03}" name="Column14537"/>
    <tableColumn id="14538" xr3:uid="{B79D9E9F-02CA-42ED-92B2-8B0BF33D5FB7}" name="Column14538"/>
    <tableColumn id="14539" xr3:uid="{B4FF8471-3D77-4DFF-B337-DA3B574D2521}" name="Column14539"/>
    <tableColumn id="14540" xr3:uid="{047E2F44-FE93-4744-A4E0-E7FCAE087BEE}" name="Column14540"/>
    <tableColumn id="14541" xr3:uid="{D6397630-2D71-4978-A3B5-02CBCB87A3DC}" name="Column14541"/>
    <tableColumn id="14542" xr3:uid="{051AFF7E-2F02-4258-BF5D-EBFA147BC403}" name="Column14542"/>
    <tableColumn id="14543" xr3:uid="{E22B661D-4BDD-4299-85F1-2CCAD11F3EAF}" name="Column14543"/>
    <tableColumn id="14544" xr3:uid="{0E5D3CDC-6D27-4BCE-BE08-869ACEDA0D93}" name="Column14544"/>
    <tableColumn id="14545" xr3:uid="{72FAFE7B-2509-491D-B6A5-59D1E2D33F2C}" name="Column14545"/>
    <tableColumn id="14546" xr3:uid="{25397775-B58E-4CC7-9BA0-5891C04167D6}" name="Column14546"/>
    <tableColumn id="14547" xr3:uid="{B50D95D0-90C4-41C5-97B3-92BEA38655CE}" name="Column14547"/>
    <tableColumn id="14548" xr3:uid="{90E1E29C-DEEA-482B-904E-1FEE0C11947D}" name="Column14548"/>
    <tableColumn id="14549" xr3:uid="{EC4C27FB-F509-42A1-BD96-884397F24BBF}" name="Column14549"/>
    <tableColumn id="14550" xr3:uid="{9C33F35E-9185-4C09-B021-8A4E87F26A7F}" name="Column14550"/>
    <tableColumn id="14551" xr3:uid="{34473032-016F-4672-845E-220B2EEBBC15}" name="Column14551"/>
    <tableColumn id="14552" xr3:uid="{CCE66E3D-4BD1-462C-93B7-DB186C7E705C}" name="Column14552"/>
    <tableColumn id="14553" xr3:uid="{06F930F5-B38F-43E3-83B6-F6ADD151CE0F}" name="Column14553"/>
    <tableColumn id="14554" xr3:uid="{FDB490DC-0065-42E9-9025-841EBA26E37A}" name="Column14554"/>
    <tableColumn id="14555" xr3:uid="{A1210F0F-B108-4069-9F34-B76AE35633FE}" name="Column14555"/>
    <tableColumn id="14556" xr3:uid="{8583EC10-1E88-4EDF-B492-15179CDB645A}" name="Column14556"/>
    <tableColumn id="14557" xr3:uid="{607B6CF5-E966-4DF1-960B-9D0F9B8AA9E4}" name="Column14557"/>
    <tableColumn id="14558" xr3:uid="{F7C4EF69-14E8-4BAB-BE69-16026DC59BE1}" name="Column14558"/>
    <tableColumn id="14559" xr3:uid="{E109A0F3-E29E-4753-B7FE-6B52FF3C333A}" name="Column14559"/>
    <tableColumn id="14560" xr3:uid="{2E60D238-CD61-4DDE-8C7B-EB780D258A63}" name="Column14560"/>
    <tableColumn id="14561" xr3:uid="{64E5BE3D-3D9D-43F7-B989-5F28D4586D7A}" name="Column14561"/>
    <tableColumn id="14562" xr3:uid="{6A8AE951-B4B9-44C5-B9F9-F75624082787}" name="Column14562"/>
    <tableColumn id="14563" xr3:uid="{36A6E2B9-00ED-4044-AC29-0D7BDA3AABB8}" name="Column14563"/>
    <tableColumn id="14564" xr3:uid="{405939AF-B634-4369-9877-945E00DBEC68}" name="Column14564"/>
    <tableColumn id="14565" xr3:uid="{06767967-E34E-4FA9-A3B7-1E722AA571DD}" name="Column14565"/>
    <tableColumn id="14566" xr3:uid="{08CE5B53-81CE-48C4-B604-7E6B22AFEDBF}" name="Column14566"/>
    <tableColumn id="14567" xr3:uid="{DE389ABA-7942-4941-9138-E8C041A86C87}" name="Column14567"/>
    <tableColumn id="14568" xr3:uid="{751BABA8-EDF5-4736-BD63-5DC7FE95D132}" name="Column14568"/>
    <tableColumn id="14569" xr3:uid="{C5A47B16-991C-4A52-A01E-8D8A2E262526}" name="Column14569"/>
    <tableColumn id="14570" xr3:uid="{63F442C0-0571-43C1-AF54-3688833A4DDA}" name="Column14570"/>
    <tableColumn id="14571" xr3:uid="{380C074D-0974-4C9C-93DE-58D11D93FFBD}" name="Column14571"/>
    <tableColumn id="14572" xr3:uid="{917B1463-8983-4548-B6AF-99435DD2C1E6}" name="Column14572"/>
    <tableColumn id="14573" xr3:uid="{9BA63731-C04A-457F-A900-CA43569EC636}" name="Column14573"/>
    <tableColumn id="14574" xr3:uid="{96161630-FDCC-4019-8AA5-A331F192255C}" name="Column14574"/>
    <tableColumn id="14575" xr3:uid="{94D06B13-3249-4EF3-976E-3EF57099FAE2}" name="Column14575"/>
    <tableColumn id="14576" xr3:uid="{361FFA46-EDE2-4D9B-A754-AE6A8FF0F16B}" name="Column14576"/>
    <tableColumn id="14577" xr3:uid="{24DA42B6-C35F-404B-9B84-D34EE7519A67}" name="Column14577"/>
    <tableColumn id="14578" xr3:uid="{A536576F-2922-46CC-A45C-21C301C4B4AF}" name="Column14578"/>
    <tableColumn id="14579" xr3:uid="{20CF4528-9202-4A26-A02A-76A9E69B7A9A}" name="Column14579"/>
    <tableColumn id="14580" xr3:uid="{2F65886D-540D-4121-9FE3-3BA898DCE4C7}" name="Column14580"/>
    <tableColumn id="14581" xr3:uid="{072AF593-70E9-4A1B-8081-E5326BB77CFC}" name="Column14581"/>
    <tableColumn id="14582" xr3:uid="{8A77CE7B-6604-4B2B-868D-52A78069AC36}" name="Column14582"/>
    <tableColumn id="14583" xr3:uid="{A6360698-D147-4D42-BC1D-1267EF9A7707}" name="Column14583"/>
    <tableColumn id="14584" xr3:uid="{3746371C-9975-4BBC-94FB-DA1345F3376C}" name="Column14584"/>
    <tableColumn id="14585" xr3:uid="{C8B984FB-9499-47A4-B6A3-FEC66F471709}" name="Column14585"/>
    <tableColumn id="14586" xr3:uid="{69E8226F-C1DF-4B0F-8B7B-455AB3720D96}" name="Column14586"/>
    <tableColumn id="14587" xr3:uid="{40CA1839-9CF2-40BC-B786-CB6BEF017C3B}" name="Column14587"/>
    <tableColumn id="14588" xr3:uid="{24E0086C-A0D2-4DF7-8E35-DAC8279D436B}" name="Column14588"/>
    <tableColumn id="14589" xr3:uid="{67918FC8-FE13-4BC5-9398-F0DE7D5DAA06}" name="Column14589"/>
    <tableColumn id="14590" xr3:uid="{52DB6A02-6A54-42F3-BE25-09DC77D52A68}" name="Column14590"/>
    <tableColumn id="14591" xr3:uid="{132F7C46-0426-447F-A06B-4BB7B8100651}" name="Column14591"/>
    <tableColumn id="14592" xr3:uid="{7DDA0577-BA7C-4854-A346-6246FD8D1EAF}" name="Column14592"/>
    <tableColumn id="14593" xr3:uid="{86FD269E-7FE9-45D6-954D-0613E3243750}" name="Column14593"/>
    <tableColumn id="14594" xr3:uid="{5E4E5A83-244F-4BBA-90E3-D03392BFD897}" name="Column14594"/>
    <tableColumn id="14595" xr3:uid="{4CF3AF63-D5FE-4535-BCD4-EA29F90153CD}" name="Column14595"/>
    <tableColumn id="14596" xr3:uid="{2FD65849-1424-45E2-A21E-E536171298E9}" name="Column14596"/>
    <tableColumn id="14597" xr3:uid="{DEE7560E-B006-4E4E-A5AA-18B7FEF54E29}" name="Column14597"/>
    <tableColumn id="14598" xr3:uid="{B97C50E3-76DF-4BED-A04A-0D9104E01BD8}" name="Column14598"/>
    <tableColumn id="14599" xr3:uid="{D12051F4-89BF-43AD-94B1-3C4C49AC9BDD}" name="Column14599"/>
    <tableColumn id="14600" xr3:uid="{488CB11D-FCAD-4A8A-83AA-0300F9BF1303}" name="Column14600"/>
    <tableColumn id="14601" xr3:uid="{EE8F51E5-A22E-4E5D-8E64-48D023429DEC}" name="Column14601"/>
    <tableColumn id="14602" xr3:uid="{AA925656-67F8-42B4-8A83-8CE92DE45781}" name="Column14602"/>
    <tableColumn id="14603" xr3:uid="{5A91B78F-65F6-4868-9062-61023B7938A7}" name="Column14603"/>
    <tableColumn id="14604" xr3:uid="{F0658EC6-32B1-4D1A-8107-23643D39A95E}" name="Column14604"/>
    <tableColumn id="14605" xr3:uid="{F00D155A-EDEA-4EB2-92AA-8AAF7ACFED36}" name="Column14605"/>
    <tableColumn id="14606" xr3:uid="{A15DFF93-F93C-4898-8FCA-F1F5DC196C72}" name="Column14606"/>
    <tableColumn id="14607" xr3:uid="{C6F0461B-EDA0-4192-B3A6-B57A5B9A8DBE}" name="Column14607"/>
    <tableColumn id="14608" xr3:uid="{B10AF837-9000-4EEB-BB36-73690A199DCD}" name="Column14608"/>
    <tableColumn id="14609" xr3:uid="{4F1444C3-0EFA-44F4-A813-61499876DA88}" name="Column14609"/>
    <tableColumn id="14610" xr3:uid="{4247F01C-2625-4F4F-902B-F2D4C953B7DA}" name="Column14610"/>
    <tableColumn id="14611" xr3:uid="{8522207D-BF36-4A88-8F24-ACC521F593AA}" name="Column14611"/>
    <tableColumn id="14612" xr3:uid="{B5C4D912-8871-4266-85ED-CC0DC7719B63}" name="Column14612"/>
    <tableColumn id="14613" xr3:uid="{8859C4FC-13D8-44AC-86D3-92582709B0E0}" name="Column14613"/>
    <tableColumn id="14614" xr3:uid="{6C1AD368-B6B2-43BA-A84C-BC142182D3C3}" name="Column14614"/>
    <tableColumn id="14615" xr3:uid="{0193B161-813D-46DF-AED7-831568B859A2}" name="Column14615"/>
    <tableColumn id="14616" xr3:uid="{6F1E1065-5085-4165-99EE-367C0FAED4F1}" name="Column14616"/>
    <tableColumn id="14617" xr3:uid="{0D8387A4-C561-406C-B55E-D75758D7AD53}" name="Column14617"/>
    <tableColumn id="14618" xr3:uid="{0ED71FCE-6F8F-412C-AC57-E0FA9DB0FF7D}" name="Column14618"/>
    <tableColumn id="14619" xr3:uid="{27BC1393-7C36-44BB-A367-845E553DEDCA}" name="Column14619"/>
    <tableColumn id="14620" xr3:uid="{E8829435-36C6-4D2B-9D59-25E80CA1DC4A}" name="Column14620"/>
    <tableColumn id="14621" xr3:uid="{A33521C1-532F-4C20-9085-6F9D9C4B247F}" name="Column14621"/>
    <tableColumn id="14622" xr3:uid="{B448D394-B6FD-4CB6-BB2B-6CA23059690B}" name="Column14622"/>
    <tableColumn id="14623" xr3:uid="{42B87BEB-ED03-4ED7-80EE-2E57F3C75302}" name="Column14623"/>
    <tableColumn id="14624" xr3:uid="{0695FCE0-DA60-4E5A-9044-549DBC9CC37C}" name="Column14624"/>
    <tableColumn id="14625" xr3:uid="{5E8FD2C1-E14E-4E22-88F1-F026D4458C7F}" name="Column14625"/>
    <tableColumn id="14626" xr3:uid="{98FEF3AA-3EEA-4542-B80C-238DF559DD2A}" name="Column14626"/>
    <tableColumn id="14627" xr3:uid="{3865879D-500F-4A07-82EF-9411756A6F67}" name="Column14627"/>
    <tableColumn id="14628" xr3:uid="{7DE73646-E26B-4EDC-A21F-6FBA8C05D765}" name="Column14628"/>
    <tableColumn id="14629" xr3:uid="{2BDBB9B2-68AB-46B8-BCDD-2C60E41AAA53}" name="Column14629"/>
    <tableColumn id="14630" xr3:uid="{851C479A-7984-45DA-9854-490078F09498}" name="Column14630"/>
    <tableColumn id="14631" xr3:uid="{49AD5743-28C3-4C39-9371-029F22C6E638}" name="Column14631"/>
    <tableColumn id="14632" xr3:uid="{1BE00B81-98E2-4520-A00D-A68CDBCB05C4}" name="Column14632"/>
    <tableColumn id="14633" xr3:uid="{B6253608-A446-439A-B040-05F12500908E}" name="Column14633"/>
    <tableColumn id="14634" xr3:uid="{1348A086-3B18-4BBC-B774-7B0572703CB7}" name="Column14634"/>
    <tableColumn id="14635" xr3:uid="{2E09A849-0702-4646-9449-603437E41ECB}" name="Column14635"/>
    <tableColumn id="14636" xr3:uid="{CF2F25C8-CC77-4056-A633-835947E8A671}" name="Column14636"/>
    <tableColumn id="14637" xr3:uid="{10C1CA6F-AB22-446D-ACD7-F8B20ECA2B93}" name="Column14637"/>
    <tableColumn id="14638" xr3:uid="{51E9DB44-E657-49F9-92ED-3CDBA09F4ABA}" name="Column14638"/>
    <tableColumn id="14639" xr3:uid="{4DA0B95D-F5A4-4C5D-B589-79CEFB17E381}" name="Column14639"/>
    <tableColumn id="14640" xr3:uid="{7CC5F428-5CE3-41E2-9B1B-F333D56B54DA}" name="Column14640"/>
    <tableColumn id="14641" xr3:uid="{A1B4AA66-84AB-4030-869A-6A3EC3966BB5}" name="Column14641"/>
    <tableColumn id="14642" xr3:uid="{662AD3C1-6ADB-4DC8-BF01-B497CBA7FF9E}" name="Column14642"/>
    <tableColumn id="14643" xr3:uid="{1FD0E69F-7966-4E6C-8BCF-B8AE11CDBFD8}" name="Column14643"/>
    <tableColumn id="14644" xr3:uid="{66A147B4-7457-4D9C-9048-1DCDBFCCEC87}" name="Column14644"/>
    <tableColumn id="14645" xr3:uid="{9B5148EC-7B7A-4FD7-9CF8-1506C55F3024}" name="Column14645"/>
    <tableColumn id="14646" xr3:uid="{E9E3FBA5-4285-462B-83A5-A4053FDC2F69}" name="Column14646"/>
    <tableColumn id="14647" xr3:uid="{E8483FEF-104C-4BC8-898D-3B8C2F81F61B}" name="Column14647"/>
    <tableColumn id="14648" xr3:uid="{379CB176-D903-4484-B337-84505AF79642}" name="Column14648"/>
    <tableColumn id="14649" xr3:uid="{07501DF5-3C11-43C2-B753-5BDECFC2B0C4}" name="Column14649"/>
    <tableColumn id="14650" xr3:uid="{9E7D442D-F73F-4BE5-9FB5-C7D6E70E87B5}" name="Column14650"/>
    <tableColumn id="14651" xr3:uid="{36470BAE-DA75-4A3F-9477-3E0C07D8EBD5}" name="Column14651"/>
    <tableColumn id="14652" xr3:uid="{7E247CDA-38A4-4E8F-9CCE-B534B5E66601}" name="Column14652"/>
    <tableColumn id="14653" xr3:uid="{E560884E-77D0-44E0-ACE3-C2460DB64AA7}" name="Column14653"/>
    <tableColumn id="14654" xr3:uid="{183C1346-B012-4B66-87F3-7EE0C516CA86}" name="Column14654"/>
    <tableColumn id="14655" xr3:uid="{B39C7FD7-75B1-4295-BD57-786D8CE251A8}" name="Column14655"/>
    <tableColumn id="14656" xr3:uid="{0BABBC66-6F9B-4F74-90AE-C156CE4B7633}" name="Column14656"/>
    <tableColumn id="14657" xr3:uid="{EC0AEFA6-BA41-49F4-A46D-138131AB93AA}" name="Column14657"/>
    <tableColumn id="14658" xr3:uid="{1D0F509C-BEA7-4260-B0B4-B8F014C23A6F}" name="Column14658"/>
    <tableColumn id="14659" xr3:uid="{E18369D3-75CF-4515-82E8-E6F6FE068CDA}" name="Column14659"/>
    <tableColumn id="14660" xr3:uid="{5B802874-9A95-4CBD-9F77-940C2CD8D94A}" name="Column14660"/>
    <tableColumn id="14661" xr3:uid="{31AEB95A-18A4-44C8-A894-A1C06E929CD3}" name="Column14661"/>
    <tableColumn id="14662" xr3:uid="{96D52CC4-5DDD-4A0C-B682-5291E8F4210A}" name="Column14662"/>
    <tableColumn id="14663" xr3:uid="{27F17EF8-988E-45EE-8528-E89E79A2F514}" name="Column14663"/>
    <tableColumn id="14664" xr3:uid="{ADA1782E-EE27-4E71-849E-793594C27B47}" name="Column14664"/>
    <tableColumn id="14665" xr3:uid="{F6A04312-4875-47F7-91A6-E4E31C35523B}" name="Column14665"/>
    <tableColumn id="14666" xr3:uid="{FCB39D75-A075-4A4E-BDF4-1A1CFD013F07}" name="Column14666"/>
    <tableColumn id="14667" xr3:uid="{6A192169-6AE4-4079-A05E-3242CD246CF4}" name="Column14667"/>
    <tableColumn id="14668" xr3:uid="{1FCDEF77-90F6-44AE-AA6E-25094B6B9442}" name="Column14668"/>
    <tableColumn id="14669" xr3:uid="{E343C67B-9908-4F5B-BBBC-BFFA46937BC9}" name="Column14669"/>
    <tableColumn id="14670" xr3:uid="{6932C2ED-3C86-48A8-9F2B-7A0508449BA9}" name="Column14670"/>
    <tableColumn id="14671" xr3:uid="{65193B87-D70C-4209-829F-E663BF06E02C}" name="Column14671"/>
    <tableColumn id="14672" xr3:uid="{BDCBA602-19F5-41BF-8B23-66E407B1CA68}" name="Column14672"/>
    <tableColumn id="14673" xr3:uid="{D17C6141-85A8-4F86-BA60-72F3CF8D6C2E}" name="Column14673"/>
    <tableColumn id="14674" xr3:uid="{05ECA15E-7DD9-430A-97E3-BB48BCA07F4B}" name="Column14674"/>
    <tableColumn id="14675" xr3:uid="{C73A8AC3-9FC2-447A-8CF8-AA936250F40B}" name="Column14675"/>
    <tableColumn id="14676" xr3:uid="{F4F0CD26-FCEA-4F79-B54F-54261CA4DBDF}" name="Column14676"/>
    <tableColumn id="14677" xr3:uid="{3A32DD83-EC82-4140-B32B-591CCA0E8D3D}" name="Column14677"/>
    <tableColumn id="14678" xr3:uid="{B64E717F-F882-4BE8-84DD-6182673B778F}" name="Column14678"/>
    <tableColumn id="14679" xr3:uid="{45A5E193-4652-418D-9722-124C3B3FCEC9}" name="Column14679"/>
    <tableColumn id="14680" xr3:uid="{035A9CD9-90EE-40A0-A4FA-DDDA6C98F27C}" name="Column14680"/>
    <tableColumn id="14681" xr3:uid="{A6283AE3-D11E-458D-91F1-DBB6CF8E0429}" name="Column14681"/>
    <tableColumn id="14682" xr3:uid="{91513C8A-1480-40BF-B762-A9F447BB97F4}" name="Column14682"/>
    <tableColumn id="14683" xr3:uid="{E76451C1-267A-4C50-B1E3-86D49FD959F0}" name="Column14683"/>
    <tableColumn id="14684" xr3:uid="{0BBABF53-8F41-4A44-9F31-517883BAE0A8}" name="Column14684"/>
    <tableColumn id="14685" xr3:uid="{8FB2D6C1-64C9-4EF7-8FB9-DFA7694473EE}" name="Column14685"/>
    <tableColumn id="14686" xr3:uid="{13D6FA3F-7F14-401E-A1B8-33F659737E20}" name="Column14686"/>
    <tableColumn id="14687" xr3:uid="{A70AE917-DA85-4FBC-9B3D-1114FE58068E}" name="Column14687"/>
    <tableColumn id="14688" xr3:uid="{65C5FC2F-0EDF-4D7C-B3F3-F659551966A2}" name="Column14688"/>
    <tableColumn id="14689" xr3:uid="{1E6543A6-E359-4582-AB4D-685CCCF414A5}" name="Column14689"/>
    <tableColumn id="14690" xr3:uid="{DA1866CC-C964-4921-90E0-6B5B90AD1700}" name="Column14690"/>
    <tableColumn id="14691" xr3:uid="{C497096E-A764-46A5-AE08-9C31247DF4AE}" name="Column14691"/>
    <tableColumn id="14692" xr3:uid="{86D2D427-9994-4199-83DE-11CC7BF3CD51}" name="Column14692"/>
    <tableColumn id="14693" xr3:uid="{4A949BA5-5E0A-47ED-874E-13474E96F504}" name="Column14693"/>
    <tableColumn id="14694" xr3:uid="{545C27F0-08E5-4369-92FD-518A5F9EE541}" name="Column14694"/>
    <tableColumn id="14695" xr3:uid="{349C81F6-F6DA-41F5-A2FB-3C5B464B030B}" name="Column14695"/>
    <tableColumn id="14696" xr3:uid="{12A2C9D3-D4DE-4CF2-9849-0FBBE9E74060}" name="Column14696"/>
    <tableColumn id="14697" xr3:uid="{4199E29F-2CCB-4086-A454-8F79220612C4}" name="Column14697"/>
    <tableColumn id="14698" xr3:uid="{5B252FDD-AADF-4C16-9169-A8B281A3E470}" name="Column14698"/>
    <tableColumn id="14699" xr3:uid="{107C099A-D307-4B36-B7E4-935338C9C4DF}" name="Column14699"/>
    <tableColumn id="14700" xr3:uid="{5F2A306E-A6FF-4E02-A989-57CA40C987D4}" name="Column14700"/>
    <tableColumn id="14701" xr3:uid="{734F7DBB-1D63-48A0-BB5A-EC693F54CCF5}" name="Column14701"/>
    <tableColumn id="14702" xr3:uid="{17A84F0A-D811-49FE-B8BF-354E92F4DF90}" name="Column14702"/>
    <tableColumn id="14703" xr3:uid="{4C5421D2-2569-4BED-9521-D6C723681A7C}" name="Column14703"/>
    <tableColumn id="14704" xr3:uid="{9CFBBC83-0E79-42A8-A028-B969B4B6A045}" name="Column14704"/>
    <tableColumn id="14705" xr3:uid="{05C4CA67-F6A6-4E06-90B4-D8109244CC3E}" name="Column14705"/>
    <tableColumn id="14706" xr3:uid="{2E3AE538-7398-43D3-B443-4ACB091D89D7}" name="Column14706"/>
    <tableColumn id="14707" xr3:uid="{648404C5-2B65-4941-BFA4-9EF1EDB220AA}" name="Column14707"/>
    <tableColumn id="14708" xr3:uid="{895658BC-CC27-42B1-8C85-AC771865818D}" name="Column14708"/>
    <tableColumn id="14709" xr3:uid="{6F961793-CD49-46F5-93B1-623CACC8E62C}" name="Column14709"/>
    <tableColumn id="14710" xr3:uid="{410E1FB4-945F-47BB-8EE1-5A8A0A1D735C}" name="Column14710"/>
    <tableColumn id="14711" xr3:uid="{D77B005D-D54D-438F-A901-9699373DA705}" name="Column14711"/>
    <tableColumn id="14712" xr3:uid="{673A2AAB-DDAA-486C-B40A-E33F3CA9D654}" name="Column14712"/>
    <tableColumn id="14713" xr3:uid="{4D8DC5DB-143E-4173-8E45-8ECA8B00FF8D}" name="Column14713"/>
    <tableColumn id="14714" xr3:uid="{A4C59E00-61F7-499B-B3EB-0765D2B99808}" name="Column14714"/>
    <tableColumn id="14715" xr3:uid="{F1C1AE1C-91EB-4A28-907B-01FEF19478FD}" name="Column14715"/>
    <tableColumn id="14716" xr3:uid="{DC74AED3-F014-48E1-AC78-E68E3AA32C76}" name="Column14716"/>
    <tableColumn id="14717" xr3:uid="{17F34576-9234-4000-9A82-F56CC5ED5060}" name="Column14717"/>
    <tableColumn id="14718" xr3:uid="{5287F659-0138-41F5-9219-8812AF8F484B}" name="Column14718"/>
    <tableColumn id="14719" xr3:uid="{CE068E9C-EF06-46C5-B632-992C726086B1}" name="Column14719"/>
    <tableColumn id="14720" xr3:uid="{5B0D69B3-85F4-4BEE-BFF3-902FEB50CDD8}" name="Column14720"/>
    <tableColumn id="14721" xr3:uid="{69FD11A4-CFB8-4758-BCB9-A721A15F62EE}" name="Column14721"/>
    <tableColumn id="14722" xr3:uid="{4E8E657C-DF02-43C6-9524-D539FBF2A2F0}" name="Column14722"/>
    <tableColumn id="14723" xr3:uid="{7F408BBE-28B3-49B7-B282-298C191D9DCC}" name="Column14723"/>
    <tableColumn id="14724" xr3:uid="{DFB9D2D7-04F4-4510-AFAC-A0EC017179BF}" name="Column14724"/>
    <tableColumn id="14725" xr3:uid="{EE3F91B6-E8EF-4482-A1CC-FF537122F032}" name="Column14725"/>
    <tableColumn id="14726" xr3:uid="{B3E0742E-00D3-421B-A313-C9DD896E5EF6}" name="Column14726"/>
    <tableColumn id="14727" xr3:uid="{29D84ECF-34D9-49D3-8C0C-E9D119AA35C3}" name="Column14727"/>
    <tableColumn id="14728" xr3:uid="{86E669D2-269E-4387-9F15-09FC3DA93C1D}" name="Column14728"/>
    <tableColumn id="14729" xr3:uid="{1EDE1971-2110-44FE-899A-D7C4003C2AF7}" name="Column14729"/>
    <tableColumn id="14730" xr3:uid="{8624ACA0-FFCC-4085-9953-CE4C1519AD8E}" name="Column14730"/>
    <tableColumn id="14731" xr3:uid="{6F6ABDC3-0ED9-4AF5-9EFA-25EDC437C651}" name="Column14731"/>
    <tableColumn id="14732" xr3:uid="{AA3657E6-6CC7-4320-8AFA-086277162530}" name="Column14732"/>
    <tableColumn id="14733" xr3:uid="{68524695-37DD-4376-A60D-456CD9692B5E}" name="Column14733"/>
    <tableColumn id="14734" xr3:uid="{97E16191-5F13-4899-894E-B2C8D9AF9C23}" name="Column14734"/>
    <tableColumn id="14735" xr3:uid="{DC7CF067-DD90-44F7-A57A-D52ED5163402}" name="Column14735"/>
    <tableColumn id="14736" xr3:uid="{02D48F98-4761-4774-8F13-F6CC6153DC44}" name="Column14736"/>
    <tableColumn id="14737" xr3:uid="{FE71E2CC-A698-450D-81F5-0F9A740EDD7A}" name="Column14737"/>
    <tableColumn id="14738" xr3:uid="{443CD210-3356-44B6-B62A-F7207E6C0A50}" name="Column14738"/>
    <tableColumn id="14739" xr3:uid="{10294267-8521-4214-AA22-69CE34C26026}" name="Column14739"/>
    <tableColumn id="14740" xr3:uid="{4449AB69-3E44-4516-83B2-617A759787C8}" name="Column14740"/>
    <tableColumn id="14741" xr3:uid="{036ED7ED-63BB-4629-A70A-EF00CB77BD0C}" name="Column14741"/>
    <tableColumn id="14742" xr3:uid="{709B64C8-C0A6-414E-AADC-E5E90F5B4CC8}" name="Column14742"/>
    <tableColumn id="14743" xr3:uid="{6EEC4709-5CEC-4BD8-8C21-7C480C08A2A6}" name="Column14743"/>
    <tableColumn id="14744" xr3:uid="{0D2D5E9D-1FFE-4121-99B7-6AF8D669BA48}" name="Column14744"/>
    <tableColumn id="14745" xr3:uid="{F4C76D6D-E0D6-4AEB-8148-DD24F5BB0E54}" name="Column14745"/>
    <tableColumn id="14746" xr3:uid="{A7CC84E6-8880-4DCA-A819-68C36D766E8B}" name="Column14746"/>
    <tableColumn id="14747" xr3:uid="{DA9550DE-5673-4876-B94B-44B99F675268}" name="Column14747"/>
    <tableColumn id="14748" xr3:uid="{98F8B25D-6788-4336-9B75-D939D5277438}" name="Column14748"/>
    <tableColumn id="14749" xr3:uid="{959C42EB-EAEE-4242-81B2-00B8B70FFD7A}" name="Column14749"/>
    <tableColumn id="14750" xr3:uid="{8F1DFD77-3F6A-4074-B672-ABBC19B8E997}" name="Column14750"/>
    <tableColumn id="14751" xr3:uid="{E3BA428A-7A7C-453D-87A4-D7A40AD3656D}" name="Column14751"/>
    <tableColumn id="14752" xr3:uid="{B1977939-BED4-4238-9EF5-93DFF0D410C6}" name="Column14752"/>
    <tableColumn id="14753" xr3:uid="{0E5953AC-FD22-40EF-9E5B-6A477E293CD6}" name="Column14753"/>
    <tableColumn id="14754" xr3:uid="{C6CA8BE4-2FC9-4B83-8A56-753970AE72BA}" name="Column14754"/>
    <tableColumn id="14755" xr3:uid="{FABCFD30-DCB1-40CD-B9D5-CE6A1D18E28B}" name="Column14755"/>
    <tableColumn id="14756" xr3:uid="{C869B4E4-3D29-4075-8D5F-58D77B181679}" name="Column14756"/>
    <tableColumn id="14757" xr3:uid="{B900DD96-DBE8-4A81-B15D-91A2EB544E70}" name="Column14757"/>
    <tableColumn id="14758" xr3:uid="{B2AE255D-4095-4ACC-9D24-157EF672BF83}" name="Column14758"/>
    <tableColumn id="14759" xr3:uid="{9813C5D6-0433-427F-AAA4-88119B636B5F}" name="Column14759"/>
    <tableColumn id="14760" xr3:uid="{BCC58CB9-2536-41CC-9D6A-182DBE3D777B}" name="Column14760"/>
    <tableColumn id="14761" xr3:uid="{11BD41FC-CC04-4E6D-B7A6-50460ED03B04}" name="Column14761"/>
    <tableColumn id="14762" xr3:uid="{E817A6FF-5FBA-44B5-B87E-CA920B6D96A3}" name="Column14762"/>
    <tableColumn id="14763" xr3:uid="{666266AA-0114-460C-95B0-F26B7C559686}" name="Column14763"/>
    <tableColumn id="14764" xr3:uid="{4D088DCE-5F7D-44DE-8BA8-0632E191F1A4}" name="Column14764"/>
    <tableColumn id="14765" xr3:uid="{330A2D48-187C-414C-83D4-1CD8ACC9CC83}" name="Column14765"/>
    <tableColumn id="14766" xr3:uid="{FEB7C86E-0D1B-48E9-8E1F-F636C1BE5F04}" name="Column14766"/>
    <tableColumn id="14767" xr3:uid="{E2126243-68B2-4209-958F-1BE5FDC04187}" name="Column14767"/>
    <tableColumn id="14768" xr3:uid="{E0F00581-C138-45F5-9944-AD088DBDE4ED}" name="Column14768"/>
    <tableColumn id="14769" xr3:uid="{EBFBA964-BC8D-4891-8C04-04B93BE29926}" name="Column14769"/>
    <tableColumn id="14770" xr3:uid="{A680225F-5117-41C6-B248-A259CEC5AFA0}" name="Column14770"/>
    <tableColumn id="14771" xr3:uid="{FEF223E9-8B25-4679-99E4-B61C425D2513}" name="Column14771"/>
    <tableColumn id="14772" xr3:uid="{CC538713-128F-491A-8CCF-84A3500F4F48}" name="Column14772"/>
    <tableColumn id="14773" xr3:uid="{019BAD95-B7A4-4A5E-877A-D3FE7B71AC7A}" name="Column14773"/>
    <tableColumn id="14774" xr3:uid="{B087A33A-4166-42EE-89B1-BBC99F79CB6C}" name="Column14774"/>
    <tableColumn id="14775" xr3:uid="{1AF4AC40-5653-4A24-A436-009C85DE8CEF}" name="Column14775"/>
    <tableColumn id="14776" xr3:uid="{FFDF094A-CCA0-4645-A73E-FE07D934AEF0}" name="Column14776"/>
    <tableColumn id="14777" xr3:uid="{F9F0EC07-0105-40BE-AF51-46FE2EE689DC}" name="Column14777"/>
    <tableColumn id="14778" xr3:uid="{29FD2136-48C4-4B30-9CE1-95EB0B2E1B23}" name="Column14778"/>
    <tableColumn id="14779" xr3:uid="{E431DC4B-7AFD-4A6B-AA8C-6E52EB505914}" name="Column14779"/>
    <tableColumn id="14780" xr3:uid="{2FF7957E-B22A-4600-8439-EDDAE9C2E627}" name="Column14780"/>
    <tableColumn id="14781" xr3:uid="{B13A2783-30E6-4818-A0E7-86D1172EF495}" name="Column14781"/>
    <tableColumn id="14782" xr3:uid="{FEEF9FC3-17C2-45B9-B425-F57F56B2B70C}" name="Column14782"/>
    <tableColumn id="14783" xr3:uid="{B93451AA-0B18-4DEA-B5B5-93FB3EE4FF2D}" name="Column14783"/>
    <tableColumn id="14784" xr3:uid="{D61BB7EC-466D-467C-A754-3CF2C926FB89}" name="Column14784"/>
    <tableColumn id="14785" xr3:uid="{0765322D-3BE5-4BE4-B363-0D38326B6780}" name="Column14785"/>
    <tableColumn id="14786" xr3:uid="{07E19136-0D1E-43AC-8CF8-7A231DCA43DE}" name="Column14786"/>
    <tableColumn id="14787" xr3:uid="{14C8CE64-D997-4830-B28D-9AB78FA2E760}" name="Column14787"/>
    <tableColumn id="14788" xr3:uid="{D1D2DB7A-13F3-46A3-927A-7572546BC2FB}" name="Column14788"/>
    <tableColumn id="14789" xr3:uid="{B3235209-7335-4DF2-8B30-4F6184FE28FF}" name="Column14789"/>
    <tableColumn id="14790" xr3:uid="{38D70149-4994-4811-9BB0-1AEF53656599}" name="Column14790"/>
    <tableColumn id="14791" xr3:uid="{D576E5B6-C6D3-4720-A32C-BFE448D2244D}" name="Column14791"/>
    <tableColumn id="14792" xr3:uid="{50F59598-C79A-4B13-8473-2DB95CE37F69}" name="Column14792"/>
    <tableColumn id="14793" xr3:uid="{B032A9C4-8895-440B-BAFB-471438067458}" name="Column14793"/>
    <tableColumn id="14794" xr3:uid="{B63A7F0B-1610-44A1-8AAA-4F72339B59A8}" name="Column14794"/>
    <tableColumn id="14795" xr3:uid="{C540E00B-1F3F-45BA-8D90-FC9090968527}" name="Column14795"/>
    <tableColumn id="14796" xr3:uid="{8DA33159-F54F-43D6-95A8-1AA4C6C783C0}" name="Column14796"/>
    <tableColumn id="14797" xr3:uid="{A20ED4F7-FA06-495A-8818-9222587274F8}" name="Column14797"/>
    <tableColumn id="14798" xr3:uid="{45895549-45BD-42DD-8B43-B74FF06AE469}" name="Column14798"/>
    <tableColumn id="14799" xr3:uid="{D9E03B60-5EF4-42C4-A7A8-283F5F804143}" name="Column14799"/>
    <tableColumn id="14800" xr3:uid="{65C8688B-258D-4A1F-A415-1D9847A888E4}" name="Column14800"/>
    <tableColumn id="14801" xr3:uid="{1F45E984-4C24-4BBD-AD12-A9C2842A218A}" name="Column14801"/>
    <tableColumn id="14802" xr3:uid="{178DE6E2-FE94-4F44-A835-1F48E85E9AAF}" name="Column14802"/>
    <tableColumn id="14803" xr3:uid="{A62ECEE0-9235-4770-BEB7-FCF2105E61EC}" name="Column14803"/>
    <tableColumn id="14804" xr3:uid="{A2016AA3-3833-4106-9758-E511EB8DA1D3}" name="Column14804"/>
    <tableColumn id="14805" xr3:uid="{94D874D5-B645-4F3F-B940-8FB8747840A4}" name="Column14805"/>
    <tableColumn id="14806" xr3:uid="{84791936-2D5E-4669-81C9-D80D2C23F2DF}" name="Column14806"/>
    <tableColumn id="14807" xr3:uid="{CAA2728F-1067-4620-B150-5E32473640C0}" name="Column14807"/>
    <tableColumn id="14808" xr3:uid="{CCB3A489-8122-4B17-A6E0-B52C2DCBB1BA}" name="Column14808"/>
    <tableColumn id="14809" xr3:uid="{CD0D17BF-7083-4DF6-8B0B-B3C9F59992DF}" name="Column14809"/>
    <tableColumn id="14810" xr3:uid="{7432FE65-EE08-4716-9F6F-578340BB165E}" name="Column14810"/>
    <tableColumn id="14811" xr3:uid="{23E3AFC0-480B-46D0-932A-9F137CC20CF6}" name="Column14811"/>
    <tableColumn id="14812" xr3:uid="{412AB350-1ABC-41EA-AFBA-64ECF503B249}" name="Column14812"/>
    <tableColumn id="14813" xr3:uid="{B49946AA-9419-4AD1-9CC8-EE1CBF356A56}" name="Column14813"/>
    <tableColumn id="14814" xr3:uid="{2F752823-414A-4BFA-B415-491DB7C9859D}" name="Column14814"/>
    <tableColumn id="14815" xr3:uid="{717A27C5-E20B-42F4-AA33-15557104F8E7}" name="Column14815"/>
    <tableColumn id="14816" xr3:uid="{5504E89A-FCA1-46C5-9AE9-9B36B9E5BCF9}" name="Column14816"/>
    <tableColumn id="14817" xr3:uid="{90A8758A-17DA-47B4-9BEC-1049B6196695}" name="Column14817"/>
    <tableColumn id="14818" xr3:uid="{6A806ECB-BCBB-4792-99BC-E1FB8742696F}" name="Column14818"/>
    <tableColumn id="14819" xr3:uid="{260CFC35-FAA8-4960-8927-BFD1D08EA57E}" name="Column14819"/>
    <tableColumn id="14820" xr3:uid="{E9301402-1DF2-4796-9BAC-9CB9B83EA638}" name="Column14820"/>
    <tableColumn id="14821" xr3:uid="{A77C00F6-473D-4834-B47B-5F75A3F487CC}" name="Column14821"/>
    <tableColumn id="14822" xr3:uid="{7BE6E536-1A3C-4AF0-A0A6-028445C99A7A}" name="Column14822"/>
    <tableColumn id="14823" xr3:uid="{CB2F1BF6-2862-493D-9587-9737179D0FD9}" name="Column14823"/>
    <tableColumn id="14824" xr3:uid="{CFC6D50E-4FAA-446D-ABEF-76C39FCC8C0F}" name="Column14824"/>
    <tableColumn id="14825" xr3:uid="{AB2BA76F-B6C1-4FEE-B4D5-33DE62721C8A}" name="Column14825"/>
    <tableColumn id="14826" xr3:uid="{AF77B378-7721-466B-92C8-37AC3CE04594}" name="Column14826"/>
    <tableColumn id="14827" xr3:uid="{F18FE7C7-1D05-45CB-9092-60F9A8E09456}" name="Column14827"/>
    <tableColumn id="14828" xr3:uid="{FC0CBB26-3526-4017-8F57-F69E2281F205}" name="Column14828"/>
    <tableColumn id="14829" xr3:uid="{F6AC8948-0C51-40F7-807A-9527D553A1A6}" name="Column14829"/>
    <tableColumn id="14830" xr3:uid="{F507C9BF-B5FC-438E-8909-265E80153837}" name="Column14830"/>
    <tableColumn id="14831" xr3:uid="{B0696A75-4C15-4A15-8DD3-DA4E07394297}" name="Column14831"/>
    <tableColumn id="14832" xr3:uid="{BAA4E26D-BA20-4201-AF0F-DFFED0C2A0C9}" name="Column14832"/>
    <tableColumn id="14833" xr3:uid="{940D6EEE-44B7-4BB1-9734-ACF4E6C0AA15}" name="Column14833"/>
    <tableColumn id="14834" xr3:uid="{21CFCC5B-EAC2-47EA-A10A-85BB9E6B421A}" name="Column14834"/>
    <tableColumn id="14835" xr3:uid="{79C928BB-DA6D-42A7-9323-0C1DB88DD857}" name="Column14835"/>
    <tableColumn id="14836" xr3:uid="{F320ADBE-505E-461A-A1F9-EE14EE26212C}" name="Column14836"/>
    <tableColumn id="14837" xr3:uid="{28FFAEE6-2EEA-499F-AE54-0D3DF58FC2B6}" name="Column14837"/>
    <tableColumn id="14838" xr3:uid="{F836FD9F-C8C3-4A94-9417-6D17B184C832}" name="Column14838"/>
    <tableColumn id="14839" xr3:uid="{87CAD5C0-C2E7-44B2-A235-AB6192B58CA9}" name="Column14839"/>
    <tableColumn id="14840" xr3:uid="{D29792DF-E1D8-47B4-9929-FE060AE617B0}" name="Column14840"/>
    <tableColumn id="14841" xr3:uid="{7531FF91-28B4-4F37-8AEA-0A2668B725F5}" name="Column14841"/>
    <tableColumn id="14842" xr3:uid="{94278855-3769-4E67-A33A-4028B71189A9}" name="Column14842"/>
    <tableColumn id="14843" xr3:uid="{3AE970F0-79D4-4DDE-A01E-A68C54ED3D25}" name="Column14843"/>
    <tableColumn id="14844" xr3:uid="{FA5D29DB-B61C-45B6-A485-F7DBC71CBF61}" name="Column14844"/>
    <tableColumn id="14845" xr3:uid="{BBF845AC-0412-40D8-917C-E8F9BC28F8BE}" name="Column14845"/>
    <tableColumn id="14846" xr3:uid="{ED8BB17D-420A-4748-BF95-922325704616}" name="Column14846"/>
    <tableColumn id="14847" xr3:uid="{45189DBF-1335-4570-9B63-75E5F0EB6BB8}" name="Column14847"/>
    <tableColumn id="14848" xr3:uid="{D2614078-E484-477E-AFA5-E007D4272D84}" name="Column14848"/>
    <tableColumn id="14849" xr3:uid="{21A5F556-540D-438C-859B-98EDC3736173}" name="Column14849"/>
    <tableColumn id="14850" xr3:uid="{C3775AFB-ACD5-4860-B4B9-CDE7060D5D51}" name="Column14850"/>
    <tableColumn id="14851" xr3:uid="{74190A62-8A77-4C53-8B55-08718E37A7E8}" name="Column14851"/>
    <tableColumn id="14852" xr3:uid="{076D0630-C1ED-4CD3-B2F5-8005B0349512}" name="Column14852"/>
    <tableColumn id="14853" xr3:uid="{EA51B1D9-C443-4AE7-85C2-92C1A4AD81E9}" name="Column14853"/>
    <tableColumn id="14854" xr3:uid="{E7CC6326-3D69-46C0-AC1D-53E6401AE182}" name="Column14854"/>
    <tableColumn id="14855" xr3:uid="{C087733E-5E00-4925-95B7-7730E9A9CB36}" name="Column14855"/>
    <tableColumn id="14856" xr3:uid="{3AE10D4E-63B8-49D6-8B42-0F3634251692}" name="Column14856"/>
    <tableColumn id="14857" xr3:uid="{540ECAC9-7030-45B0-A595-F963E551A835}" name="Column14857"/>
    <tableColumn id="14858" xr3:uid="{967D6478-D33A-496E-A7DA-D511A1847BAA}" name="Column14858"/>
    <tableColumn id="14859" xr3:uid="{C43ED9E6-B3FA-49D8-943D-7788DB09F179}" name="Column14859"/>
    <tableColumn id="14860" xr3:uid="{C1302B49-BEF4-4E48-BBA8-DC988CA4E3BB}" name="Column14860"/>
    <tableColumn id="14861" xr3:uid="{641CFBB1-1C0A-4CAB-972D-EF2944CBB71C}" name="Column14861"/>
    <tableColumn id="14862" xr3:uid="{B353CE42-A325-4861-B1C6-8A117ECFDCE9}" name="Column14862"/>
    <tableColumn id="14863" xr3:uid="{F059957E-DFAD-4D8F-AC64-81509A7B6B0E}" name="Column14863"/>
    <tableColumn id="14864" xr3:uid="{6B637182-9915-4FD9-8DAE-20B72651494C}" name="Column14864"/>
    <tableColumn id="14865" xr3:uid="{59E232BC-2F19-4A06-AB4C-1147CC2F719D}" name="Column14865"/>
    <tableColumn id="14866" xr3:uid="{CA89BE4E-381E-4410-8CE8-60616A252758}" name="Column14866"/>
    <tableColumn id="14867" xr3:uid="{322E1A48-6670-46E1-AC81-5E4BE73D4157}" name="Column14867"/>
    <tableColumn id="14868" xr3:uid="{D50BF3E7-4D7B-4D6C-B623-B1E15A9F45D4}" name="Column14868"/>
    <tableColumn id="14869" xr3:uid="{1AFBBC9C-39AD-4C9C-9384-76A2B631AFDB}" name="Column14869"/>
    <tableColumn id="14870" xr3:uid="{AD583941-9C91-4E1E-99B7-1EDF9E97E999}" name="Column14870"/>
    <tableColumn id="14871" xr3:uid="{A67CE411-A335-4B4F-A7EC-1C6D793783EE}" name="Column14871"/>
    <tableColumn id="14872" xr3:uid="{242BC2BB-BEAA-4EC2-8B75-10C732812B6D}" name="Column14872"/>
    <tableColumn id="14873" xr3:uid="{35AE0BED-D118-464C-A14B-457CBA27918A}" name="Column14873"/>
    <tableColumn id="14874" xr3:uid="{65D9E904-FF44-4F06-8FAD-2E122CC8C523}" name="Column14874"/>
    <tableColumn id="14875" xr3:uid="{2EE4A052-71D7-435A-AEBA-DD3C0BE243E1}" name="Column14875"/>
    <tableColumn id="14876" xr3:uid="{12088C60-5B2D-4111-9582-AEDF0C4175FA}" name="Column14876"/>
    <tableColumn id="14877" xr3:uid="{AD3F9C67-7A2F-4636-8481-1BC6E5823DD8}" name="Column14877"/>
    <tableColumn id="14878" xr3:uid="{50FAEF2E-D351-4D8E-B5DF-30BAB1D490D2}" name="Column14878"/>
    <tableColumn id="14879" xr3:uid="{D6BEFA01-271B-4A66-A70F-20DB3FBA3C1A}" name="Column14879"/>
    <tableColumn id="14880" xr3:uid="{C2C55C7A-9DF6-4380-A724-F05654DC7397}" name="Column14880"/>
    <tableColumn id="14881" xr3:uid="{852D7AD2-2343-4358-AE5B-436A9F88256E}" name="Column14881"/>
    <tableColumn id="14882" xr3:uid="{3C8EC8D8-B322-4AEB-8C31-BD57960A4EA2}" name="Column14882"/>
    <tableColumn id="14883" xr3:uid="{1C60A542-53FF-4EC3-B14C-B0301FBD03BF}" name="Column14883"/>
    <tableColumn id="14884" xr3:uid="{CE121031-D965-4CF7-B714-F342BAC91AE6}" name="Column14884"/>
    <tableColumn id="14885" xr3:uid="{C973DCB0-D30C-4F76-9BA7-3E527904E881}" name="Column14885"/>
    <tableColumn id="14886" xr3:uid="{226145F2-0EFE-452E-A193-09DE261EC8DD}" name="Column14886"/>
    <tableColumn id="14887" xr3:uid="{2F530F72-64A7-4DC2-9922-42310708E4FF}" name="Column14887"/>
    <tableColumn id="14888" xr3:uid="{FA95FBC3-6A10-4823-90BE-0F571EA1B25D}" name="Column14888"/>
    <tableColumn id="14889" xr3:uid="{250ACBCF-8656-440F-94D0-523A495FB6DC}" name="Column14889"/>
    <tableColumn id="14890" xr3:uid="{8015F435-FF97-41D1-946E-6E5053B36BC8}" name="Column14890"/>
    <tableColumn id="14891" xr3:uid="{0F4C0F1A-7D96-44AE-A28E-2801B752DC80}" name="Column14891"/>
    <tableColumn id="14892" xr3:uid="{BEB579B3-092C-4A5E-A2CC-BC7912588C02}" name="Column14892"/>
    <tableColumn id="14893" xr3:uid="{253F4E8D-BAB2-4F7C-A19C-5BFC3A8DCDAA}" name="Column14893"/>
    <tableColumn id="14894" xr3:uid="{2E33B26E-AAAB-4750-AB1E-D0DEF2F3907C}" name="Column14894"/>
    <tableColumn id="14895" xr3:uid="{51E74C72-4D12-4F87-86BC-585A390A1A72}" name="Column14895"/>
    <tableColumn id="14896" xr3:uid="{8B4DE21A-202C-4BFA-829B-FEA3376DF30C}" name="Column14896"/>
    <tableColumn id="14897" xr3:uid="{4C578EE9-3C13-4D2F-8A78-AA6BEA7AFABC}" name="Column14897"/>
    <tableColumn id="14898" xr3:uid="{7C85CAEC-9427-4658-9F73-FC796F2A7C64}" name="Column14898"/>
    <tableColumn id="14899" xr3:uid="{743F0DFC-EAC8-4265-92E9-506229AC3854}" name="Column14899"/>
    <tableColumn id="14900" xr3:uid="{59A8B3C9-4B83-422A-A674-5CE4CAA37409}" name="Column14900"/>
    <tableColumn id="14901" xr3:uid="{6A24640B-7897-485B-8B24-2597BA50F933}" name="Column14901"/>
    <tableColumn id="14902" xr3:uid="{43D5F1E4-32E0-48CD-8AF4-4F9393C26FFF}" name="Column14902"/>
    <tableColumn id="14903" xr3:uid="{CC022963-F8AE-4699-97E2-67C81CBBEFA2}" name="Column14903"/>
    <tableColumn id="14904" xr3:uid="{93A58CD6-A314-4D73-9E79-EA0C2F381ED7}" name="Column14904"/>
    <tableColumn id="14905" xr3:uid="{61470CD4-A5D3-43F3-855E-DBDD9A5F6ABA}" name="Column14905"/>
    <tableColumn id="14906" xr3:uid="{08B2F123-8FC0-4ED1-9811-0E4FE3B271DE}" name="Column14906"/>
    <tableColumn id="14907" xr3:uid="{6C5FCE5E-8EF1-4BCC-B0D7-FA7D0D324C3F}" name="Column14907"/>
    <tableColumn id="14908" xr3:uid="{923C9365-0BDE-464A-9138-6B7847AE3348}" name="Column14908"/>
    <tableColumn id="14909" xr3:uid="{A85E0858-C40A-4993-8C4A-F35813C503CE}" name="Column14909"/>
    <tableColumn id="14910" xr3:uid="{433E5022-F1DB-41CC-9B98-15562E0B6FCA}" name="Column14910"/>
    <tableColumn id="14911" xr3:uid="{C9009EDF-AA73-46EC-9926-6D94099EDF0C}" name="Column14911"/>
    <tableColumn id="14912" xr3:uid="{9B69BACB-6DB3-4262-B283-DD30411552F2}" name="Column14912"/>
    <tableColumn id="14913" xr3:uid="{05CA61DC-B885-4565-9C1A-F25F7C27C57F}" name="Column14913"/>
    <tableColumn id="14914" xr3:uid="{06BE1156-19C0-47F7-AFE3-23255DD16F9E}" name="Column14914"/>
    <tableColumn id="14915" xr3:uid="{CA8F887D-218B-49F3-B887-3D02C7AD31BE}" name="Column14915"/>
    <tableColumn id="14916" xr3:uid="{36679624-3D8B-4E0F-AADF-C552876BF4D7}" name="Column14916"/>
    <tableColumn id="14917" xr3:uid="{F6068DB2-153F-4414-8110-37108F9B339E}" name="Column14917"/>
    <tableColumn id="14918" xr3:uid="{E9DC0421-C5D1-4AD6-AC2C-BEB0EDC2417A}" name="Column14918"/>
    <tableColumn id="14919" xr3:uid="{AB6C4BB8-B2F9-4C34-B03B-B9ED97A76430}" name="Column14919"/>
    <tableColumn id="14920" xr3:uid="{4542568E-534E-45D4-9C97-28B6F49BEC67}" name="Column14920"/>
    <tableColumn id="14921" xr3:uid="{F436C7FA-A39E-40D7-BCA0-ADFEFBEE66A8}" name="Column14921"/>
    <tableColumn id="14922" xr3:uid="{FACE9CE1-9DE6-4020-A9F5-3D4B23DFAF1D}" name="Column14922"/>
    <tableColumn id="14923" xr3:uid="{BADF05BD-016C-4EA5-BDCC-9A6AF3F3051A}" name="Column14923"/>
    <tableColumn id="14924" xr3:uid="{B6051740-1017-4E03-ADF0-4D79ADE07824}" name="Column14924"/>
    <tableColumn id="14925" xr3:uid="{23117478-FE3E-478F-AF59-71E6592EA285}" name="Column14925"/>
    <tableColumn id="14926" xr3:uid="{7CE39C46-478C-4D02-8786-5CA9F5DFE167}" name="Column14926"/>
    <tableColumn id="14927" xr3:uid="{0BB86FDA-D35A-4629-B176-913168DC4218}" name="Column14927"/>
    <tableColumn id="14928" xr3:uid="{D7878509-E9BE-4BEE-BA06-2AA37A16DFFC}" name="Column14928"/>
    <tableColumn id="14929" xr3:uid="{F510B373-43D4-4681-833E-FEB4DB020AD6}" name="Column14929"/>
    <tableColumn id="14930" xr3:uid="{4A27256C-4C94-421A-B5BA-72A3737BF5BE}" name="Column14930"/>
    <tableColumn id="14931" xr3:uid="{A2FEFE40-E502-42C9-91C9-121DA6B33DA7}" name="Column14931"/>
    <tableColumn id="14932" xr3:uid="{8B91FEA4-7149-45A2-92E9-515B1F830F23}" name="Column14932"/>
    <tableColumn id="14933" xr3:uid="{0CDF60AB-A3CD-4417-B3C6-E06C0D07A98C}" name="Column14933"/>
    <tableColumn id="14934" xr3:uid="{8341425F-2BF1-4D41-8F57-07771229BF31}" name="Column14934"/>
    <tableColumn id="14935" xr3:uid="{DDC11C45-840F-4773-A642-266C995D2DCE}" name="Column14935"/>
    <tableColumn id="14936" xr3:uid="{01A111CD-0AC8-40E6-971F-D95EB979571F}" name="Column14936"/>
    <tableColumn id="14937" xr3:uid="{5D682D08-1723-4754-BF87-31EB6BF2AB80}" name="Column14937"/>
    <tableColumn id="14938" xr3:uid="{69570F06-B3FC-43A7-8822-E12C026DD93F}" name="Column14938"/>
    <tableColumn id="14939" xr3:uid="{9E8FD09A-7821-42CD-89D4-D5249DB84CC4}" name="Column14939"/>
    <tableColumn id="14940" xr3:uid="{F2B321F6-1C22-403D-9706-A08BDA5D1C8F}" name="Column14940"/>
    <tableColumn id="14941" xr3:uid="{08F953CA-7866-4B96-A8EC-826CA668B69D}" name="Column14941"/>
    <tableColumn id="14942" xr3:uid="{3FDCDE77-B242-4290-89AD-6994275DCA4C}" name="Column14942"/>
    <tableColumn id="14943" xr3:uid="{AD5A68AF-A838-4AE7-A8B1-1AFAB8F74100}" name="Column14943"/>
    <tableColumn id="14944" xr3:uid="{0EDD37D1-A3DA-4ECA-B5AA-4D4E0F730281}" name="Column14944"/>
    <tableColumn id="14945" xr3:uid="{65FD6202-1627-4B36-96DB-4D76D46E6566}" name="Column14945"/>
    <tableColumn id="14946" xr3:uid="{ECFD89F1-61D7-4CD4-9D2D-3DE2361A4AA8}" name="Column14946"/>
    <tableColumn id="14947" xr3:uid="{AE2BA109-CEAF-4609-A2E0-8858EAF3C859}" name="Column14947"/>
    <tableColumn id="14948" xr3:uid="{E9E4BEBB-ECF3-4353-AB28-82DDBC08F4C9}" name="Column14948"/>
    <tableColumn id="14949" xr3:uid="{64098B40-28D1-4A4B-B804-501E0A4B3E54}" name="Column14949"/>
    <tableColumn id="14950" xr3:uid="{6F6B455B-2DBB-4938-9A9A-B4EA8C712392}" name="Column14950"/>
    <tableColumn id="14951" xr3:uid="{F83BD9AF-AA99-4687-803D-6BC6E8758518}" name="Column14951"/>
    <tableColumn id="14952" xr3:uid="{BE615CAF-0F19-4CF5-80EF-2D4C44D84980}" name="Column14952"/>
    <tableColumn id="14953" xr3:uid="{96A488EF-F380-4499-9D91-05B5680225BB}" name="Column14953"/>
    <tableColumn id="14954" xr3:uid="{3D2AE6BF-1BA2-4D97-81B4-042298F282C3}" name="Column14954"/>
    <tableColumn id="14955" xr3:uid="{AF921C25-934A-45F0-92CA-9C22636F35AA}" name="Column14955"/>
    <tableColumn id="14956" xr3:uid="{ED6B7911-CA72-408C-817A-C45F3C132670}" name="Column14956"/>
    <tableColumn id="14957" xr3:uid="{92AC9FF2-DC65-478D-AACF-868A231B5CE4}" name="Column14957"/>
    <tableColumn id="14958" xr3:uid="{1DE59841-2DBC-4B44-B539-71003E65EC15}" name="Column14958"/>
    <tableColumn id="14959" xr3:uid="{4B3100D8-BE0F-4C40-8AD0-FBBA10402EE3}" name="Column14959"/>
    <tableColumn id="14960" xr3:uid="{A5123907-464E-426A-8107-0AE205928546}" name="Column14960"/>
    <tableColumn id="14961" xr3:uid="{66A1657F-F5FE-4F38-A226-3E26BB62C0C9}" name="Column14961"/>
    <tableColumn id="14962" xr3:uid="{1FEA4302-1388-44A7-9001-8CE48D3D2861}" name="Column14962"/>
    <tableColumn id="14963" xr3:uid="{B57BE056-B88C-40A3-A682-E634A1C6D523}" name="Column14963"/>
    <tableColumn id="14964" xr3:uid="{0F033AF5-2FF9-49A4-957D-4E70C23F3E58}" name="Column14964"/>
    <tableColumn id="14965" xr3:uid="{DA10BF22-3EDD-4184-BF87-E7CED817E276}" name="Column14965"/>
    <tableColumn id="14966" xr3:uid="{492CAC99-D8B4-4404-BFD3-35A8B22310DA}" name="Column14966"/>
    <tableColumn id="14967" xr3:uid="{3A0AB7D3-1544-42B1-9EA9-00688D1BDF10}" name="Column14967"/>
    <tableColumn id="14968" xr3:uid="{9F9E7F93-6EEE-48A2-BBC7-49D95A1D65FE}" name="Column14968"/>
    <tableColumn id="14969" xr3:uid="{76649CCA-E550-44E1-AE65-70DDFE59E69A}" name="Column14969"/>
    <tableColumn id="14970" xr3:uid="{2B6D8A48-97BF-4BF7-B012-952D85C6FACC}" name="Column14970"/>
    <tableColumn id="14971" xr3:uid="{A667AA13-52E1-4C43-BD18-635A81E93C54}" name="Column14971"/>
    <tableColumn id="14972" xr3:uid="{7D9902C3-CEC0-457C-82BE-E8EC797DA49B}" name="Column14972"/>
    <tableColumn id="14973" xr3:uid="{C82F584F-1CA9-4287-B3E7-C79EC05E65C3}" name="Column14973"/>
    <tableColumn id="14974" xr3:uid="{0D2D3BD1-E37A-4923-A082-92BB0DEF943F}" name="Column14974"/>
    <tableColumn id="14975" xr3:uid="{6684BDD0-A9B9-4774-927A-B91FB2EF15F1}" name="Column14975"/>
    <tableColumn id="14976" xr3:uid="{558C4933-F589-4E51-9CE9-69A7E142CD0F}" name="Column14976"/>
    <tableColumn id="14977" xr3:uid="{49F7F400-3CDF-49A8-9D91-B769FD63895E}" name="Column14977"/>
    <tableColumn id="14978" xr3:uid="{DC4ED890-2931-4205-9138-5BC2F0D4FDF5}" name="Column14978"/>
    <tableColumn id="14979" xr3:uid="{DD1D5832-577E-40E1-AF34-78962EC34141}" name="Column14979"/>
    <tableColumn id="14980" xr3:uid="{88C4A3F2-343B-4112-8E97-D4A20E34AD6E}" name="Column14980"/>
    <tableColumn id="14981" xr3:uid="{2285A4A1-328A-4A2F-B733-5350ADF17DB0}" name="Column14981"/>
    <tableColumn id="14982" xr3:uid="{D75EE481-7B17-44F4-8604-5D47F8DD0D9C}" name="Column14982"/>
    <tableColumn id="14983" xr3:uid="{15A2AB39-ED8C-46F7-8EFA-B3C7545001DF}" name="Column14983"/>
    <tableColumn id="14984" xr3:uid="{1BCFC49C-1F2D-4815-A871-7C9028C906DF}" name="Column14984"/>
    <tableColumn id="14985" xr3:uid="{A6415607-8FE2-400D-96A7-7B8FF7C7F495}" name="Column14985"/>
    <tableColumn id="14986" xr3:uid="{356A057C-52F7-4FB4-B595-51D4A5A41384}" name="Column14986"/>
    <tableColumn id="14987" xr3:uid="{25DB6655-D328-4646-B0B9-9BC7D8117A91}" name="Column14987"/>
    <tableColumn id="14988" xr3:uid="{E0C569A8-BDB4-464B-A51D-A8AAEE2094E2}" name="Column14988"/>
    <tableColumn id="14989" xr3:uid="{67C034E4-E321-46AF-BA42-90808CA66FFA}" name="Column14989"/>
    <tableColumn id="14990" xr3:uid="{AB8CAE3E-7024-4FCF-B51E-E33DD0A59550}" name="Column14990"/>
    <tableColumn id="14991" xr3:uid="{ACE6B3DB-0137-4AA6-82D4-2C5DABE79373}" name="Column14991"/>
    <tableColumn id="14992" xr3:uid="{C02053DD-425F-46DE-A1D9-64AE038C4777}" name="Column14992"/>
    <tableColumn id="14993" xr3:uid="{A782065B-285D-44BA-B268-42FCA82FE000}" name="Column14993"/>
    <tableColumn id="14994" xr3:uid="{0FB42EAB-1B84-454F-8A9C-3637BB4E0BA6}" name="Column14994"/>
    <tableColumn id="14995" xr3:uid="{0E2AB8A4-365B-4C24-AD69-BBD387D16241}" name="Column14995"/>
    <tableColumn id="14996" xr3:uid="{EFEBE7BB-B07C-4E6D-A615-8CED92157FE8}" name="Column14996"/>
    <tableColumn id="14997" xr3:uid="{82173290-6D36-4033-9E1F-ACFD872D038E}" name="Column14997"/>
    <tableColumn id="14998" xr3:uid="{E653C6DC-A0EA-4F9D-8FFB-4E9E0645FF5E}" name="Column14998"/>
    <tableColumn id="14999" xr3:uid="{ACC4E560-FD5E-4955-9130-93144BD76AA8}" name="Column14999"/>
    <tableColumn id="15000" xr3:uid="{6B96B39B-DD3A-40C2-8B4F-5FD89F489758}" name="Column15000"/>
    <tableColumn id="15001" xr3:uid="{AC013542-3EF2-454A-9EA1-20287531BB08}" name="Column15001"/>
    <tableColumn id="15002" xr3:uid="{9308254F-2FDA-404B-A671-6599B12939F9}" name="Column15002"/>
    <tableColumn id="15003" xr3:uid="{6C1061AA-C6E8-4F11-9187-37F9927C03DA}" name="Column15003"/>
    <tableColumn id="15004" xr3:uid="{CFD16265-8206-4B75-A78F-D4A2E4F8C87B}" name="Column15004"/>
    <tableColumn id="15005" xr3:uid="{A75CF3A8-0905-4CC2-B756-329C7A61EF0F}" name="Column15005"/>
    <tableColumn id="15006" xr3:uid="{27C33E1C-D637-4F4B-80A6-69AA7EA50EB7}" name="Column15006"/>
    <tableColumn id="15007" xr3:uid="{59A3CF0C-71CB-42F3-A8DE-73F6E8CCAA56}" name="Column15007"/>
    <tableColumn id="15008" xr3:uid="{85A40AE1-4A10-4BD4-9650-4916FE03D2BC}" name="Column15008"/>
    <tableColumn id="15009" xr3:uid="{54CDEAF6-5D29-4F63-B9B1-595CCAE44B06}" name="Column15009"/>
    <tableColumn id="15010" xr3:uid="{1800C094-DB47-4D23-B3B9-DA4E53DE0431}" name="Column15010"/>
    <tableColumn id="15011" xr3:uid="{C2E27FCF-B2F9-4641-9146-CA5649F88BC6}" name="Column15011"/>
    <tableColumn id="15012" xr3:uid="{6A7ECA05-C2BD-412E-811A-513601A5CD57}" name="Column15012"/>
    <tableColumn id="15013" xr3:uid="{4F4B8CAE-C72C-438B-AB98-9DF1EDF39DC9}" name="Column15013"/>
    <tableColumn id="15014" xr3:uid="{9674E2E1-25EC-4A0D-9BE8-C3A975EE0124}" name="Column15014"/>
    <tableColumn id="15015" xr3:uid="{325188EF-D7F7-4036-9E68-4B7C6F2DBE50}" name="Column15015"/>
    <tableColumn id="15016" xr3:uid="{33EF662C-79B2-4933-A012-32918F98FBC3}" name="Column15016"/>
    <tableColumn id="15017" xr3:uid="{7C6823C8-2E6D-4CDE-AA83-E2F465800FB8}" name="Column15017"/>
    <tableColumn id="15018" xr3:uid="{1B05F179-10F8-4EE5-8BAB-9C3CB3A03B73}" name="Column15018"/>
    <tableColumn id="15019" xr3:uid="{FAED66B0-6125-40DE-8705-4FCF1F1EF62F}" name="Column15019"/>
    <tableColumn id="15020" xr3:uid="{997EFD3C-AC69-4CA0-8AFA-F486D2C60924}" name="Column15020"/>
    <tableColumn id="15021" xr3:uid="{6B8AA5F1-BBC0-42CB-82E2-3F83B3385731}" name="Column15021"/>
    <tableColumn id="15022" xr3:uid="{FA6F9A16-49EC-4641-9530-3C527B750265}" name="Column15022"/>
    <tableColumn id="15023" xr3:uid="{D089FBC2-9155-4A30-A740-923B72590CFF}" name="Column15023"/>
    <tableColumn id="15024" xr3:uid="{D71EC9A2-3858-48B2-8244-63C52487115B}" name="Column15024"/>
    <tableColumn id="15025" xr3:uid="{8F4AEE04-F185-4E67-8B6A-B8DE2DD00EE3}" name="Column15025"/>
    <tableColumn id="15026" xr3:uid="{F4BCC0A5-8609-43C5-AFE7-C606A9044AB3}" name="Column15026"/>
    <tableColumn id="15027" xr3:uid="{01BA030E-235B-400C-8C6A-A3DC095A0441}" name="Column15027"/>
    <tableColumn id="15028" xr3:uid="{FD5DA765-1663-40B6-95E5-C545EEA4EB50}" name="Column15028"/>
    <tableColumn id="15029" xr3:uid="{A3DA671E-725F-4152-B3F3-B932E2813B4B}" name="Column15029"/>
    <tableColumn id="15030" xr3:uid="{6328B5A8-9D07-4F71-9051-037CA9100935}" name="Column15030"/>
    <tableColumn id="15031" xr3:uid="{224821F8-2263-4128-B35D-9A4D7CAE63AD}" name="Column15031"/>
    <tableColumn id="15032" xr3:uid="{9F3B2795-6CD3-4E3F-A20D-AA206CC2070B}" name="Column15032"/>
    <tableColumn id="15033" xr3:uid="{50DE5541-18DD-4073-99E1-16AEF3678196}" name="Column15033"/>
    <tableColumn id="15034" xr3:uid="{6053862A-B752-4AA9-AF29-6A874F3F8394}" name="Column15034"/>
    <tableColumn id="15035" xr3:uid="{88D3B59B-9D15-4F31-B874-DDF2D985DEB6}" name="Column15035"/>
    <tableColumn id="15036" xr3:uid="{C4734E6D-22C0-4108-A79A-ECE657FE32FB}" name="Column15036"/>
    <tableColumn id="15037" xr3:uid="{B64116EE-70EE-47E7-A7CB-0D6EBBC765C0}" name="Column15037"/>
    <tableColumn id="15038" xr3:uid="{758179A8-5FB2-49DB-9056-470F80B28B1C}" name="Column15038"/>
    <tableColumn id="15039" xr3:uid="{D444489D-B68E-480A-B102-076773F5ED97}" name="Column15039"/>
    <tableColumn id="15040" xr3:uid="{E10FF4DF-75CC-489B-884B-BC0622D7DB2A}" name="Column15040"/>
    <tableColumn id="15041" xr3:uid="{7C83D62A-E1BE-491F-A6E9-9116D93F6DE9}" name="Column15041"/>
    <tableColumn id="15042" xr3:uid="{775C1F44-9ACA-4591-A7CF-E7C8E4C7A2BE}" name="Column15042"/>
    <tableColumn id="15043" xr3:uid="{40ADD810-BCD4-41C3-8F83-54D28B90B42D}" name="Column15043"/>
    <tableColumn id="15044" xr3:uid="{649B3FEE-317B-4856-AAA3-5F5FF273350B}" name="Column15044"/>
    <tableColumn id="15045" xr3:uid="{BD7901B4-57E6-41CD-809D-3DAEE9BFC273}" name="Column15045"/>
    <tableColumn id="15046" xr3:uid="{A5A6A78F-8129-4A0E-9452-372EB8593A35}" name="Column15046"/>
    <tableColumn id="15047" xr3:uid="{673BBB3B-CCE8-4829-88B7-1C9C6A2FB6A6}" name="Column15047"/>
    <tableColumn id="15048" xr3:uid="{684E3C31-6657-481C-9BEE-6A7849088680}" name="Column15048"/>
    <tableColumn id="15049" xr3:uid="{D8182E6C-8C85-4FF2-940D-61493A6E33F8}" name="Column15049"/>
    <tableColumn id="15050" xr3:uid="{3BB6428E-0A3E-475A-8C85-A4D54795711E}" name="Column15050"/>
    <tableColumn id="15051" xr3:uid="{06A18027-D6AF-4F42-89F1-821CA41CD876}" name="Column15051"/>
    <tableColumn id="15052" xr3:uid="{D7790145-1154-4F17-8F17-E851DDA9E812}" name="Column15052"/>
    <tableColumn id="15053" xr3:uid="{152315B0-41E5-4F7E-93B7-DA0911A2A94A}" name="Column15053"/>
    <tableColumn id="15054" xr3:uid="{E3DD7002-9CB2-4C16-9AF6-9C1699E2541A}" name="Column15054"/>
    <tableColumn id="15055" xr3:uid="{4441AC24-2BF7-4580-A1E5-104D66976031}" name="Column15055"/>
    <tableColumn id="15056" xr3:uid="{38D282C7-756F-4AF3-89C6-BBA450C6B049}" name="Column15056"/>
    <tableColumn id="15057" xr3:uid="{634049C2-00DB-4E46-85BE-04339A8A6358}" name="Column15057"/>
    <tableColumn id="15058" xr3:uid="{72081DF7-1EF1-4D17-8E00-96602DBF4CA1}" name="Column15058"/>
    <tableColumn id="15059" xr3:uid="{E5ABE0A8-6EDC-41A9-A336-7758DB6F0D72}" name="Column15059"/>
    <tableColumn id="15060" xr3:uid="{658BBC28-4DDD-4A36-9895-B2DF0AC06565}" name="Column15060"/>
    <tableColumn id="15061" xr3:uid="{02F40B36-6077-4C5E-B7F2-F47D5F90E2AA}" name="Column15061"/>
    <tableColumn id="15062" xr3:uid="{B511D07B-C521-42AD-876A-A10468CB0523}" name="Column15062"/>
    <tableColumn id="15063" xr3:uid="{A0DBC7C4-DFFE-40B8-848D-364D96E45AE9}" name="Column15063"/>
    <tableColumn id="15064" xr3:uid="{C2A0A909-88BF-4935-832A-4CBE090D7864}" name="Column15064"/>
    <tableColumn id="15065" xr3:uid="{79E7D2A4-9C0A-4F67-82F9-8AC7D259625D}" name="Column15065"/>
    <tableColumn id="15066" xr3:uid="{FB148F0C-16B7-4C95-BAA5-4320C7DF8C03}" name="Column15066"/>
    <tableColumn id="15067" xr3:uid="{7C227D40-D50C-4E0B-B4E7-24F27B4CBF32}" name="Column15067"/>
    <tableColumn id="15068" xr3:uid="{304A8D3B-5336-4262-BE84-789B149FE3C8}" name="Column15068"/>
    <tableColumn id="15069" xr3:uid="{C2EE1964-7CB6-498E-9042-F8A98B1DF460}" name="Column15069"/>
    <tableColumn id="15070" xr3:uid="{495B8295-F1B7-4797-B850-37D26231F29B}" name="Column15070"/>
    <tableColumn id="15071" xr3:uid="{206B10EC-1628-47B7-8B9D-2D18A50F312D}" name="Column15071"/>
    <tableColumn id="15072" xr3:uid="{DBEC3231-D16A-4875-B9EA-5A10DF1689DD}" name="Column15072"/>
    <tableColumn id="15073" xr3:uid="{B11C8033-F692-4B6F-8149-602E9983B1EC}" name="Column15073"/>
    <tableColumn id="15074" xr3:uid="{9F110748-5C70-4E0A-8E2C-9AF5555E8985}" name="Column15074"/>
    <tableColumn id="15075" xr3:uid="{020186BC-77B4-484C-97D9-8EED3ACD94B9}" name="Column15075"/>
    <tableColumn id="15076" xr3:uid="{DEB6C988-A3FE-461E-9CA9-63B502412BB8}" name="Column15076"/>
    <tableColumn id="15077" xr3:uid="{CA84EE1A-FA4A-478F-A32B-BC6B8D38E0A0}" name="Column15077"/>
    <tableColumn id="15078" xr3:uid="{58E7A33D-4492-4D9F-AB64-54449B5D7830}" name="Column15078"/>
    <tableColumn id="15079" xr3:uid="{E0B7EDEF-5E3B-49F1-BA07-D9AF22B17E11}" name="Column15079"/>
    <tableColumn id="15080" xr3:uid="{0EDABD0D-CE33-49FE-9CCD-041AD57035CC}" name="Column15080"/>
    <tableColumn id="15081" xr3:uid="{DB264320-8EB4-4DDB-84DC-17F6957DA60A}" name="Column15081"/>
    <tableColumn id="15082" xr3:uid="{AE63836E-870C-4BFA-A854-A287818E2B3E}" name="Column15082"/>
    <tableColumn id="15083" xr3:uid="{DDD6C86F-1EF3-460D-981F-C1B67D0A6E40}" name="Column15083"/>
    <tableColumn id="15084" xr3:uid="{E31F42A5-A57A-4B84-9008-43A320DF5A42}" name="Column15084"/>
    <tableColumn id="15085" xr3:uid="{81A09149-2CA7-46F0-B379-84EBCFE64811}" name="Column15085"/>
    <tableColumn id="15086" xr3:uid="{16B0D8D9-6D13-459F-8A45-AAC0E3B07E2D}" name="Column15086"/>
    <tableColumn id="15087" xr3:uid="{B7EC9183-DE81-4AEC-8C42-0480809BF18F}" name="Column15087"/>
    <tableColumn id="15088" xr3:uid="{7CB30C48-2645-4ECE-9260-08064FD5A032}" name="Column15088"/>
    <tableColumn id="15089" xr3:uid="{F980551C-0744-483E-BB4F-8247CC42A4A1}" name="Column15089"/>
    <tableColumn id="15090" xr3:uid="{0E3CBD60-A033-4A70-B44C-58169052F646}" name="Column15090"/>
    <tableColumn id="15091" xr3:uid="{7FD26FE6-8689-47FF-82E3-07909B300864}" name="Column15091"/>
    <tableColumn id="15092" xr3:uid="{8C378698-ED48-483E-86F2-64CEA12D0CCE}" name="Column15092"/>
    <tableColumn id="15093" xr3:uid="{98A313AE-697D-4797-B672-1D9D734ED0B0}" name="Column15093"/>
    <tableColumn id="15094" xr3:uid="{951FF70E-F3A6-49CE-81DA-71BC84CEC53E}" name="Column15094"/>
    <tableColumn id="15095" xr3:uid="{9DD71254-9C30-48E2-98B7-C8418B2FF72D}" name="Column15095"/>
    <tableColumn id="15096" xr3:uid="{1312486F-6C35-4EEC-8346-8721D7253769}" name="Column15096"/>
    <tableColumn id="15097" xr3:uid="{3DBD0F4A-8EA1-4933-B92D-06A255FF75B6}" name="Column15097"/>
    <tableColumn id="15098" xr3:uid="{03CAF734-8A04-4C34-9687-10052695585C}" name="Column15098"/>
    <tableColumn id="15099" xr3:uid="{DD7F00F2-4F6B-4EF6-B00F-1FD918AA705A}" name="Column15099"/>
    <tableColumn id="15100" xr3:uid="{6A31704E-60F6-4FFC-8834-249FE685F499}" name="Column15100"/>
    <tableColumn id="15101" xr3:uid="{B75548AB-8E70-4FD5-9828-D5E70BB3C0E3}" name="Column15101"/>
    <tableColumn id="15102" xr3:uid="{4F811175-29FA-469D-A598-8F147A13D417}" name="Column15102"/>
    <tableColumn id="15103" xr3:uid="{D54C410A-BE31-4DA7-9E06-11C018BFF2BC}" name="Column15103"/>
    <tableColumn id="15104" xr3:uid="{95469B68-507C-470B-9D53-AD712221F644}" name="Column15104"/>
    <tableColumn id="15105" xr3:uid="{7C8E50E1-76F7-4A1A-A569-45669493992A}" name="Column15105"/>
    <tableColumn id="15106" xr3:uid="{7FF778A3-8CE3-44F4-A7EC-CFA074089787}" name="Column15106"/>
    <tableColumn id="15107" xr3:uid="{88061B4F-A148-43EB-B9AC-B0B41E7D3FB4}" name="Column15107"/>
    <tableColumn id="15108" xr3:uid="{007AF405-BE13-4F00-A410-7A043C8C542B}" name="Column15108"/>
    <tableColumn id="15109" xr3:uid="{E5F8F533-7302-4883-BD6F-AF75C87A37FC}" name="Column15109"/>
    <tableColumn id="15110" xr3:uid="{12256F8A-A7CB-4A8C-A70B-8D3938B5AA1A}" name="Column15110"/>
    <tableColumn id="15111" xr3:uid="{C4662ED2-CD34-45A4-8CA1-08D0DB1A137D}" name="Column15111"/>
    <tableColumn id="15112" xr3:uid="{73A3AF8E-9674-4656-9BA1-B2E6B70507B6}" name="Column15112"/>
    <tableColumn id="15113" xr3:uid="{1FB5E16D-0368-4953-8EBB-22EFF8EEB81D}" name="Column15113"/>
    <tableColumn id="15114" xr3:uid="{CC6EE44F-6BCB-4B81-8CD3-41952F282007}" name="Column15114"/>
    <tableColumn id="15115" xr3:uid="{061192B5-6469-462E-8042-6B32BB1EF61A}" name="Column15115"/>
    <tableColumn id="15116" xr3:uid="{BFAD2E05-798C-4FBC-BBD5-597C6A571FA3}" name="Column15116"/>
    <tableColumn id="15117" xr3:uid="{7627BE6D-FF94-474A-88C3-02BB48BD7A8A}" name="Column15117"/>
    <tableColumn id="15118" xr3:uid="{2233EFCC-FC8C-40B9-9172-0D97C98F22EC}" name="Column15118"/>
    <tableColumn id="15119" xr3:uid="{FECCAECB-A369-46D7-A321-E6D055CE26C7}" name="Column15119"/>
    <tableColumn id="15120" xr3:uid="{4E9665FE-A5DB-4E24-A5A7-A5EEDDD40FB4}" name="Column15120"/>
    <tableColumn id="15121" xr3:uid="{6491FC28-A16F-4A9F-A47D-46A66793FB04}" name="Column15121"/>
    <tableColumn id="15122" xr3:uid="{1882EE1D-A0C1-4C5F-A3BA-DB95BB4EE832}" name="Column15122"/>
    <tableColumn id="15123" xr3:uid="{6D7E31A7-C011-4777-A160-09980A9421CE}" name="Column15123"/>
    <tableColumn id="15124" xr3:uid="{1BF408DB-276C-4E16-9BE1-DCF95A29AF07}" name="Column15124"/>
    <tableColumn id="15125" xr3:uid="{41164AD8-97AB-47A6-BA76-C6D1C26B53CC}" name="Column15125"/>
    <tableColumn id="15126" xr3:uid="{80EFFF6E-C660-44CF-9E4B-9B95ECD0B180}" name="Column15126"/>
    <tableColumn id="15127" xr3:uid="{5B34FE6E-21EB-4C24-805A-3EE899A08D28}" name="Column15127"/>
    <tableColumn id="15128" xr3:uid="{C4C862A9-F9D7-4E2A-9FEC-43918496201F}" name="Column15128"/>
    <tableColumn id="15129" xr3:uid="{E5460357-5312-4F9C-8D19-8D2A9284A830}" name="Column15129"/>
    <tableColumn id="15130" xr3:uid="{FE848D74-E277-401E-B9CA-478170384E13}" name="Column15130"/>
    <tableColumn id="15131" xr3:uid="{65324F85-9A10-4EF6-AC6C-1EB87E8B7708}" name="Column15131"/>
    <tableColumn id="15132" xr3:uid="{25C90AB9-6F31-4861-92C8-36946CE4E06C}" name="Column15132"/>
    <tableColumn id="15133" xr3:uid="{77DAA24F-30B7-4152-A390-70B42DD105AE}" name="Column15133"/>
    <tableColumn id="15134" xr3:uid="{60594A52-D9F0-4AF2-9293-974397303626}" name="Column15134"/>
    <tableColumn id="15135" xr3:uid="{A752E4CF-B2A6-4FBF-94CD-BF20F1B17030}" name="Column15135"/>
    <tableColumn id="15136" xr3:uid="{169EE85C-B653-4D60-8147-CC3D5F527DA2}" name="Column15136"/>
    <tableColumn id="15137" xr3:uid="{3CB47565-F6D1-47CB-8D38-C3BA7765B8D3}" name="Column15137"/>
    <tableColumn id="15138" xr3:uid="{66054FD5-1905-45C0-BDC2-BB0B2B54AD4A}" name="Column15138"/>
    <tableColumn id="15139" xr3:uid="{32DE246E-56CD-41E6-88A9-E00EF95502F4}" name="Column15139"/>
    <tableColumn id="15140" xr3:uid="{0CBE9E00-E827-4EEC-9EE3-CD1ED8F65FC9}" name="Column15140"/>
    <tableColumn id="15141" xr3:uid="{1304E03D-6EEC-4C33-8B79-9FD1E1BDB8B7}" name="Column15141"/>
    <tableColumn id="15142" xr3:uid="{EC8947E1-CD15-48EA-AEA1-E543C9A9374A}" name="Column15142"/>
    <tableColumn id="15143" xr3:uid="{61F9D13E-E8AA-4DD2-A124-8E0D2A06DFF5}" name="Column15143"/>
    <tableColumn id="15144" xr3:uid="{0E1991EF-D8B1-4B8C-A9D7-47EA4A2A8EB5}" name="Column15144"/>
    <tableColumn id="15145" xr3:uid="{79EE5EDF-7C4A-4B81-9884-4622EA59327B}" name="Column15145"/>
    <tableColumn id="15146" xr3:uid="{0BF7BF6C-A416-4C36-8E80-B1E18E6707D8}" name="Column15146"/>
    <tableColumn id="15147" xr3:uid="{DCE152EE-97D9-4035-9812-007EBF17EDBF}" name="Column15147"/>
    <tableColumn id="15148" xr3:uid="{AAB4472B-57B0-4322-85DA-B8EA1001770F}" name="Column15148"/>
    <tableColumn id="15149" xr3:uid="{BC08A562-F9C6-4C81-97D1-75CD1698DAA8}" name="Column15149"/>
    <tableColumn id="15150" xr3:uid="{169F1B80-29A9-47D4-A762-133C6F6F7D70}" name="Column15150"/>
    <tableColumn id="15151" xr3:uid="{2EEA617E-0BA9-4776-8F05-FE2F90D0E914}" name="Column15151"/>
    <tableColumn id="15152" xr3:uid="{A09D2E59-AEC3-4758-8F8F-F79C2164D057}" name="Column15152"/>
    <tableColumn id="15153" xr3:uid="{67BDA9D6-877D-4C09-B87A-9AE197114C88}" name="Column15153"/>
    <tableColumn id="15154" xr3:uid="{09AE09A2-FD31-4AEE-A9E2-12F709826474}" name="Column15154"/>
    <tableColumn id="15155" xr3:uid="{7A56CE5E-AE17-40A4-9C7F-3BE4DA393F57}" name="Column15155"/>
    <tableColumn id="15156" xr3:uid="{D063A81F-9F02-4ED2-8E0B-BEC415424FF7}" name="Column15156"/>
    <tableColumn id="15157" xr3:uid="{238459D8-58B3-43AE-92F5-F500D24CD370}" name="Column15157"/>
    <tableColumn id="15158" xr3:uid="{D8760DB1-27D0-44AD-96F6-268B432DC204}" name="Column15158"/>
    <tableColumn id="15159" xr3:uid="{AB8A2152-F974-4819-893D-92049403FACE}" name="Column15159"/>
    <tableColumn id="15160" xr3:uid="{2F2A0D05-9C4E-483D-AE34-D7FCA39D4406}" name="Column15160"/>
    <tableColumn id="15161" xr3:uid="{06ABAABF-2A9C-4521-AC9D-603AF5AB8719}" name="Column15161"/>
    <tableColumn id="15162" xr3:uid="{EC41E299-BBBA-4C1B-BCC6-285C571B3CE4}" name="Column15162"/>
    <tableColumn id="15163" xr3:uid="{5BE65582-9583-4347-B3DA-1D8A9F365D70}" name="Column15163"/>
    <tableColumn id="15164" xr3:uid="{C41BA0A3-7903-445D-AA57-0839406EE578}" name="Column15164"/>
    <tableColumn id="15165" xr3:uid="{7EEE1F52-0454-463B-93AC-CEC2A69EFFB0}" name="Column15165"/>
    <tableColumn id="15166" xr3:uid="{B1001E6C-F7C0-4E8D-8827-ABE37D396111}" name="Column15166"/>
    <tableColumn id="15167" xr3:uid="{B7B67499-83E6-4F8D-97C8-11CDBD8D8935}" name="Column15167"/>
    <tableColumn id="15168" xr3:uid="{4325903F-2F27-4C29-96A0-F95516FB480F}" name="Column15168"/>
    <tableColumn id="15169" xr3:uid="{D822C451-D884-478C-915F-A4139BDFDEB2}" name="Column15169"/>
    <tableColumn id="15170" xr3:uid="{3BAC1613-B7B3-45B5-B99B-3466CFB4130F}" name="Column15170"/>
    <tableColumn id="15171" xr3:uid="{FD458CD9-E68A-4A81-8E43-49974380BD87}" name="Column15171"/>
    <tableColumn id="15172" xr3:uid="{F95B466D-4AED-45D2-B2F9-853DC296095F}" name="Column15172"/>
    <tableColumn id="15173" xr3:uid="{4C9FE88D-B2F8-4C7E-B64E-4054970BEF42}" name="Column15173"/>
    <tableColumn id="15174" xr3:uid="{58A51FC8-CC5C-448B-8CA1-DEA661FEA747}" name="Column15174"/>
    <tableColumn id="15175" xr3:uid="{F987201D-F8F4-491C-A3B3-579C4AA097E7}" name="Column15175"/>
    <tableColumn id="15176" xr3:uid="{66B9FFA6-CDB1-4C09-BB97-26B7CBF0B42E}" name="Column15176"/>
    <tableColumn id="15177" xr3:uid="{04E06A84-44AB-43BE-A02A-C06685F4921D}" name="Column15177"/>
    <tableColumn id="15178" xr3:uid="{20C83143-E76A-4044-B707-DE34BF1DC539}" name="Column15178"/>
    <tableColumn id="15179" xr3:uid="{34665600-C266-4964-AA84-E0D586F3F66D}" name="Column15179"/>
    <tableColumn id="15180" xr3:uid="{A9B380FD-268A-46E6-A7B1-A753154BE35C}" name="Column15180"/>
    <tableColumn id="15181" xr3:uid="{DF0EC1C2-AFD8-474B-898F-859BE8E4A092}" name="Column15181"/>
    <tableColumn id="15182" xr3:uid="{0907AD0C-EA6E-48D5-864D-9A9F70E74A91}" name="Column15182"/>
    <tableColumn id="15183" xr3:uid="{57C3FA20-9C3D-409F-AC07-D861077396B9}" name="Column15183"/>
    <tableColumn id="15184" xr3:uid="{87DFA609-AEF0-4D46-AC28-4EBD4F6F57E6}" name="Column15184"/>
    <tableColumn id="15185" xr3:uid="{7312AB91-09E2-4DCE-ADB5-88531646FA24}" name="Column15185"/>
    <tableColumn id="15186" xr3:uid="{AF7CE089-A1CA-4093-B32B-0CFA682BBD23}" name="Column15186"/>
    <tableColumn id="15187" xr3:uid="{D7B9F03B-1B85-4AD0-BFCF-4B85318CBBDB}" name="Column15187"/>
    <tableColumn id="15188" xr3:uid="{41F72EF1-2DC0-4F1E-B0FC-AB9E375126C6}" name="Column15188"/>
    <tableColumn id="15189" xr3:uid="{4F55E470-F873-491F-BE85-0C3FF032E3B6}" name="Column15189"/>
    <tableColumn id="15190" xr3:uid="{D52464C4-0505-4423-BC8C-F829D13CCD73}" name="Column15190"/>
    <tableColumn id="15191" xr3:uid="{57D25C5A-94E6-44A6-B32E-B389A3D4E343}" name="Column15191"/>
    <tableColumn id="15192" xr3:uid="{66493827-00D0-4DA9-AB15-2A3F878C84A8}" name="Column15192"/>
    <tableColumn id="15193" xr3:uid="{53CDA66C-F7E2-4C34-82B2-715D23490E16}" name="Column15193"/>
    <tableColumn id="15194" xr3:uid="{89EA66DC-D727-4C73-920F-CF393A357F19}" name="Column15194"/>
    <tableColumn id="15195" xr3:uid="{24EBCC8F-4E5E-4ED6-B6CA-09CB8676B067}" name="Column15195"/>
    <tableColumn id="15196" xr3:uid="{1B600850-9E80-4102-9E44-F9468A50A0CD}" name="Column15196"/>
    <tableColumn id="15197" xr3:uid="{D6842270-4810-4D94-9A62-79A5FC9C2FFF}" name="Column15197"/>
    <tableColumn id="15198" xr3:uid="{B16BA6BA-D311-47FB-A2A7-BA527B2C5299}" name="Column15198"/>
    <tableColumn id="15199" xr3:uid="{1349BCF7-F116-456B-9FA2-70353DFFA94C}" name="Column15199"/>
    <tableColumn id="15200" xr3:uid="{9F41BD8F-D389-4F82-AC70-58A68E1D5968}" name="Column15200"/>
    <tableColumn id="15201" xr3:uid="{3E1F5F95-7B8E-42A0-8F15-E9267EBD7070}" name="Column15201"/>
    <tableColumn id="15202" xr3:uid="{88BB703C-C8B5-49EB-8AB7-852C8FE4149B}" name="Column15202"/>
    <tableColumn id="15203" xr3:uid="{13EC9AA4-22F1-4BE0-B7B3-777250E4DD73}" name="Column15203"/>
    <tableColumn id="15204" xr3:uid="{82C607E9-1D5F-49C0-A22C-3EABEC33FB7D}" name="Column15204"/>
    <tableColumn id="15205" xr3:uid="{62C1642D-C93D-42AA-AB86-8DD9163300A9}" name="Column15205"/>
    <tableColumn id="15206" xr3:uid="{B6010D5B-73C8-487A-B6AA-FFE60D0B0FFB}" name="Column15206"/>
    <tableColumn id="15207" xr3:uid="{23205F20-B24D-45B7-B786-25C5079A5613}" name="Column15207"/>
    <tableColumn id="15208" xr3:uid="{0A296DFD-DFDA-4F17-A46D-8CE2AFA7A13C}" name="Column15208"/>
    <tableColumn id="15209" xr3:uid="{AF545378-6D8F-471C-A6F9-3DEB0B507A3B}" name="Column15209"/>
    <tableColumn id="15210" xr3:uid="{20C58C0C-C2DA-4D75-B7CF-FC91CD74FFA5}" name="Column15210"/>
    <tableColumn id="15211" xr3:uid="{A2F5878C-1693-4F50-9E82-6F80B3FDCAAA}" name="Column15211"/>
    <tableColumn id="15212" xr3:uid="{BB59CC6E-7A82-468B-9C15-D22B8D26D92A}" name="Column15212"/>
    <tableColumn id="15213" xr3:uid="{073321EA-2DCA-48A3-BD8A-9D71BACE80F6}" name="Column15213"/>
    <tableColumn id="15214" xr3:uid="{A6CB89FA-4A90-40A1-939E-F341BB08A42C}" name="Column15214"/>
    <tableColumn id="15215" xr3:uid="{42BB17FF-83DB-4191-9731-064E8D31A036}" name="Column15215"/>
    <tableColumn id="15216" xr3:uid="{EAC8F8E4-8369-4D14-A464-7F242B69B8B7}" name="Column15216"/>
    <tableColumn id="15217" xr3:uid="{18D5F556-0DC3-42B3-A3C7-CE6B0A6E4402}" name="Column15217"/>
    <tableColumn id="15218" xr3:uid="{1A347FCD-87B2-41FC-883E-CAC6BB89CD81}" name="Column15218"/>
    <tableColumn id="15219" xr3:uid="{16DC12AC-F219-46D8-A79F-B4B76CF5FC2D}" name="Column15219"/>
    <tableColumn id="15220" xr3:uid="{BBD11521-7214-4A99-B9DD-61DF8646343B}" name="Column15220"/>
    <tableColumn id="15221" xr3:uid="{7FE4ABF9-CBD0-4FAC-AF18-6141B0A95A37}" name="Column15221"/>
    <tableColumn id="15222" xr3:uid="{7F53E981-31A2-420B-9735-93D5AFEAEFB6}" name="Column15222"/>
    <tableColumn id="15223" xr3:uid="{F7BFB16B-E0C7-496E-98D2-AE172CA1BF10}" name="Column15223"/>
    <tableColumn id="15224" xr3:uid="{2E1FA1BA-4561-474C-BFBE-CDEA0B9EFC64}" name="Column15224"/>
    <tableColumn id="15225" xr3:uid="{2CAC98D7-290A-4267-B950-66682FF57029}" name="Column15225"/>
    <tableColumn id="15226" xr3:uid="{672A6A7B-4E96-4849-9DAB-9BA25D106006}" name="Column15226"/>
    <tableColumn id="15227" xr3:uid="{27AB812C-AC27-4E86-90E1-843E8D14519A}" name="Column15227"/>
    <tableColumn id="15228" xr3:uid="{98991D57-60EF-4648-9ECD-33C8A8CDD79A}" name="Column15228"/>
    <tableColumn id="15229" xr3:uid="{BCDC32A0-2ECB-4012-AB02-66765EDBB567}" name="Column15229"/>
    <tableColumn id="15230" xr3:uid="{9799EDC9-A65C-4291-82D9-0AAADC7A35A7}" name="Column15230"/>
    <tableColumn id="15231" xr3:uid="{566977BE-5139-4F72-A6A8-0581BF1B54B3}" name="Column15231"/>
    <tableColumn id="15232" xr3:uid="{41D3AC6E-0431-4311-8DA1-0D95C66BD0B2}" name="Column15232"/>
    <tableColumn id="15233" xr3:uid="{B5B5047D-AABD-4AD5-A053-2965659E7A81}" name="Column15233"/>
    <tableColumn id="15234" xr3:uid="{4B4F99BC-491E-4F94-A243-F18C7F6E9649}" name="Column15234"/>
    <tableColumn id="15235" xr3:uid="{7390E4FF-9844-4A21-B0D0-CC271962FC92}" name="Column15235"/>
    <tableColumn id="15236" xr3:uid="{5256B82A-C2AC-42F2-9FB4-14327EBAC7D9}" name="Column15236"/>
    <tableColumn id="15237" xr3:uid="{3994258A-F109-4D68-A999-99F62E89FEF3}" name="Column15237"/>
    <tableColumn id="15238" xr3:uid="{823A9A5D-3646-4545-B09D-F2D3162084B2}" name="Column15238"/>
    <tableColumn id="15239" xr3:uid="{9FA46605-2EC9-4A7F-8ADD-EC03CABF779F}" name="Column15239"/>
    <tableColumn id="15240" xr3:uid="{EA3ADBDD-1210-4A75-B2F3-38686D07838F}" name="Column15240"/>
    <tableColumn id="15241" xr3:uid="{7F8348B5-B0C5-4AE7-987C-20AE06B9BAD4}" name="Column15241"/>
    <tableColumn id="15242" xr3:uid="{0C774A40-8966-422D-B6DA-393E530BD0A3}" name="Column15242"/>
    <tableColumn id="15243" xr3:uid="{81EC43C1-73C0-4DE0-A50B-D3BDAF922F05}" name="Column15243"/>
    <tableColumn id="15244" xr3:uid="{CF95436D-E7CB-47A0-AC29-C3A52C8F5D86}" name="Column15244"/>
    <tableColumn id="15245" xr3:uid="{D2F4BB81-7CD3-4BCB-99B0-FAB96917EF05}" name="Column15245"/>
    <tableColumn id="15246" xr3:uid="{C4BAF103-0B63-49ED-86BB-83FA4DBA1687}" name="Column15246"/>
    <tableColumn id="15247" xr3:uid="{7180FBF5-355E-44AB-BB72-67994894E1F4}" name="Column15247"/>
    <tableColumn id="15248" xr3:uid="{4778DECE-4A35-4AAC-BB23-088EACDFBF6B}" name="Column15248"/>
    <tableColumn id="15249" xr3:uid="{2BB7A046-22D0-4FE5-85AA-181AFB297517}" name="Column15249"/>
    <tableColumn id="15250" xr3:uid="{193D5115-77CD-4FEA-B416-9AD77CC8E9D7}" name="Column15250"/>
    <tableColumn id="15251" xr3:uid="{D68D2CD5-BB37-4FF3-9493-A6E794C7A1DC}" name="Column15251"/>
    <tableColumn id="15252" xr3:uid="{B4BDB70D-B07F-4CBD-B5D2-7C75FA601CA9}" name="Column15252"/>
    <tableColumn id="15253" xr3:uid="{052E4895-F78E-45DD-A797-8909F27A4A5B}" name="Column15253"/>
    <tableColumn id="15254" xr3:uid="{1A6ABDF1-6319-43A5-A42B-C2A341937D7B}" name="Column15254"/>
    <tableColumn id="15255" xr3:uid="{E0742712-A32B-4D81-A5D2-D86DD50135A7}" name="Column15255"/>
    <tableColumn id="15256" xr3:uid="{D1C2C5E0-B959-4EB3-B75D-E8EDE3B24299}" name="Column15256"/>
    <tableColumn id="15257" xr3:uid="{0EE1CC62-8D8B-4444-8319-BE5CB62467E7}" name="Column15257"/>
    <tableColumn id="15258" xr3:uid="{72D23D4E-09CC-4AEE-AA50-1B4D07D17D7E}" name="Column15258"/>
    <tableColumn id="15259" xr3:uid="{172D47F0-A41F-48CA-996C-FB410C7E9EFA}" name="Column15259"/>
    <tableColumn id="15260" xr3:uid="{F5A8EB67-B7F5-4B2D-8A4D-8798694E5551}" name="Column15260"/>
    <tableColumn id="15261" xr3:uid="{755245AD-8D69-4DE1-8199-DE3C432C6316}" name="Column15261"/>
    <tableColumn id="15262" xr3:uid="{0D6DE943-3132-415B-AEA0-64B08E9A183D}" name="Column15262"/>
    <tableColumn id="15263" xr3:uid="{DB82B829-3CFC-4AE6-8CD0-411CDBF1EAFB}" name="Column15263"/>
    <tableColumn id="15264" xr3:uid="{1F1972B4-FC6A-4055-B800-84509DA51E0D}" name="Column15264"/>
    <tableColumn id="15265" xr3:uid="{3B184D21-0A6E-4461-912B-02E9CA4D376D}" name="Column15265"/>
    <tableColumn id="15266" xr3:uid="{1FB7205F-2E47-47F3-8D31-C4F074E72587}" name="Column15266"/>
    <tableColumn id="15267" xr3:uid="{B1A7588F-D724-483F-BCC0-4587BC3DC1D4}" name="Column15267"/>
    <tableColumn id="15268" xr3:uid="{E4064F36-B559-4C13-BBC8-5CC0D4F835A1}" name="Column15268"/>
    <tableColumn id="15269" xr3:uid="{93EBDCAA-931C-471A-9335-7EA7E99D5325}" name="Column15269"/>
    <tableColumn id="15270" xr3:uid="{5682ABDF-97F0-4817-AEF1-A3AB16B932D6}" name="Column15270"/>
    <tableColumn id="15271" xr3:uid="{28FD8A56-AA00-4FDE-BD63-164E81BC2531}" name="Column15271"/>
    <tableColumn id="15272" xr3:uid="{D696987D-4411-4D28-AADC-B0C2B37660DF}" name="Column15272"/>
    <tableColumn id="15273" xr3:uid="{EF443011-75A4-4C9E-AD8D-0BC63427A045}" name="Column15273"/>
    <tableColumn id="15274" xr3:uid="{D00F3100-BD8F-4190-BF78-640C2532BF8E}" name="Column15274"/>
    <tableColumn id="15275" xr3:uid="{52C2339C-1D5C-4C96-A732-4633D9119A89}" name="Column15275"/>
    <tableColumn id="15276" xr3:uid="{BD393134-5FAA-462B-9912-A1B2840E48FA}" name="Column15276"/>
    <tableColumn id="15277" xr3:uid="{77E4DC09-191A-4A4D-BF25-9F185FFE0DEC}" name="Column15277"/>
    <tableColumn id="15278" xr3:uid="{800113C0-811C-4EBC-97B9-12DF53DC0337}" name="Column15278"/>
    <tableColumn id="15279" xr3:uid="{23C2E68C-334C-45AF-8FC8-BA842E8D5071}" name="Column15279"/>
    <tableColumn id="15280" xr3:uid="{E8AE25CA-20CF-4E53-960C-1FB286070591}" name="Column15280"/>
    <tableColumn id="15281" xr3:uid="{E110F72A-3D53-422B-B215-1AE249C64ABE}" name="Column15281"/>
    <tableColumn id="15282" xr3:uid="{0AE688C1-7CD7-482E-AB95-1417A84BBBC1}" name="Column15282"/>
    <tableColumn id="15283" xr3:uid="{43B5DBD2-79D3-4F08-9C54-6ABDFEC7E97D}" name="Column15283"/>
    <tableColumn id="15284" xr3:uid="{A0CCD19B-19C6-4F73-8B7A-29CBE9E27643}" name="Column15284"/>
    <tableColumn id="15285" xr3:uid="{9DBDE6E8-CD40-4B27-999A-797B6C3314B2}" name="Column15285"/>
    <tableColumn id="15286" xr3:uid="{43280B78-4797-4DE8-B5B2-9194344C5E37}" name="Column15286"/>
    <tableColumn id="15287" xr3:uid="{99D88864-6F76-494D-B599-52F93E55D871}" name="Column15287"/>
    <tableColumn id="15288" xr3:uid="{6A0C889F-21D1-4A89-85FB-DCF427D8213A}" name="Column15288"/>
    <tableColumn id="15289" xr3:uid="{1DD6D766-85A1-4DC2-ABDF-2AB0A88CAC7F}" name="Column15289"/>
    <tableColumn id="15290" xr3:uid="{11949B5F-7BA3-4A4B-BB96-1730D269C1B3}" name="Column15290"/>
    <tableColumn id="15291" xr3:uid="{71819304-547C-43ED-ACEB-38648468B306}" name="Column15291"/>
    <tableColumn id="15292" xr3:uid="{AEEBDF6C-84F8-4B8A-968C-762FDDFC2238}" name="Column15292"/>
    <tableColumn id="15293" xr3:uid="{512F75A3-1FA0-43BD-966B-91AC7AF34597}" name="Column15293"/>
    <tableColumn id="15294" xr3:uid="{AB3E6270-19EB-4E60-8C11-A32D59A0F8AD}" name="Column15294"/>
    <tableColumn id="15295" xr3:uid="{6D86BE33-CB33-459E-9CA5-389CB45A32C8}" name="Column15295"/>
    <tableColumn id="15296" xr3:uid="{EAAE1321-2BFF-4C19-AAC6-B3644B199D06}" name="Column15296"/>
    <tableColumn id="15297" xr3:uid="{2C1D457B-3EF7-4605-AB14-ADEFBC27F841}" name="Column15297"/>
    <tableColumn id="15298" xr3:uid="{2745C2E2-74E2-4733-A145-1F03553DAAAD}" name="Column15298"/>
    <tableColumn id="15299" xr3:uid="{CC28C3D4-977F-47EC-B4F0-F3794B47D704}" name="Column15299"/>
    <tableColumn id="15300" xr3:uid="{B217E741-B367-45F0-B22C-F122BDE817C0}" name="Column15300"/>
    <tableColumn id="15301" xr3:uid="{DD64A9A0-8879-4F8F-B9F6-9BB2F650E8CC}" name="Column15301"/>
    <tableColumn id="15302" xr3:uid="{DE4543D0-9561-4E01-BFD5-2A8072FDDD76}" name="Column15302"/>
    <tableColumn id="15303" xr3:uid="{FAA74B79-5244-4E2D-AD8B-A6161740F58E}" name="Column15303"/>
    <tableColumn id="15304" xr3:uid="{D6B0E9F9-1724-4B6F-B880-B628F9406EF1}" name="Column15304"/>
    <tableColumn id="15305" xr3:uid="{7E9F736D-4502-4C26-B5B7-FE21D31D34A5}" name="Column15305"/>
    <tableColumn id="15306" xr3:uid="{D561888A-E720-4FE8-A30A-2EFB79D6E2B3}" name="Column15306"/>
    <tableColumn id="15307" xr3:uid="{459B6D4E-5B29-429D-9E29-8D69E686460C}" name="Column15307"/>
    <tableColumn id="15308" xr3:uid="{086FA508-2851-42A7-B433-94272980AC6D}" name="Column15308"/>
    <tableColumn id="15309" xr3:uid="{ECE47BA0-1EDE-448C-8745-6E5C463E4CA4}" name="Column15309"/>
    <tableColumn id="15310" xr3:uid="{D40E5E1E-A7C2-462A-91FD-48893B1BE739}" name="Column15310"/>
    <tableColumn id="15311" xr3:uid="{1447A6F2-E5C2-4B82-A652-81DC1F1C042F}" name="Column15311"/>
    <tableColumn id="15312" xr3:uid="{676F1211-0FC8-4FFA-8209-15D55C292740}" name="Column15312"/>
    <tableColumn id="15313" xr3:uid="{328D5DA5-2357-4E75-AEE2-B16FC57C22C6}" name="Column15313"/>
    <tableColumn id="15314" xr3:uid="{E55F8F30-CA94-40F8-B7FD-3EF39B7E83F1}" name="Column15314"/>
    <tableColumn id="15315" xr3:uid="{79722949-855B-4000-8169-6F63083D1D6E}" name="Column15315"/>
    <tableColumn id="15316" xr3:uid="{4E3BCAF1-18DE-43A1-97D2-84999ED0785D}" name="Column15316"/>
    <tableColumn id="15317" xr3:uid="{728CF74E-8520-4685-B898-2A19D1E85ACF}" name="Column15317"/>
    <tableColumn id="15318" xr3:uid="{123B63C7-79C6-4279-B808-17F37CC5C464}" name="Column15318"/>
    <tableColumn id="15319" xr3:uid="{5359F55A-55EA-43A6-A282-2B728975C8BC}" name="Column15319"/>
    <tableColumn id="15320" xr3:uid="{84CA1E93-5808-4BD4-A45A-F98C514B2EF8}" name="Column15320"/>
    <tableColumn id="15321" xr3:uid="{93401BD6-94AC-4AD0-9323-5BE8691D2905}" name="Column15321"/>
    <tableColumn id="15322" xr3:uid="{50BC2E13-8116-4DE1-801F-7BB8E0E69F2E}" name="Column15322"/>
    <tableColumn id="15323" xr3:uid="{A7B42C0A-1A77-4205-BBEF-D0CA1D0741A3}" name="Column15323"/>
    <tableColumn id="15324" xr3:uid="{2F573042-57C5-434B-B47E-9D13C5F5B225}" name="Column15324"/>
    <tableColumn id="15325" xr3:uid="{77ABA273-183F-434B-9A28-EAFBE3826BD2}" name="Column15325"/>
    <tableColumn id="15326" xr3:uid="{C217930B-5722-4C43-9FF8-2679325B3400}" name="Column15326"/>
    <tableColumn id="15327" xr3:uid="{71777744-5D48-415B-AB4B-4A1015BE9055}" name="Column15327"/>
    <tableColumn id="15328" xr3:uid="{D5F1B69B-4490-4BDA-A248-91B68B52FF82}" name="Column15328"/>
    <tableColumn id="15329" xr3:uid="{9B41E0F1-3D4B-4D29-A4A4-0DBF3D78DC9F}" name="Column15329"/>
    <tableColumn id="15330" xr3:uid="{63274FC9-6B8C-4A23-B006-11DFFACB6586}" name="Column15330"/>
    <tableColumn id="15331" xr3:uid="{B9E875BF-554C-4EF8-BB0B-6C2767D3D0A0}" name="Column15331"/>
    <tableColumn id="15332" xr3:uid="{B4C556A0-C252-4B6C-AD63-BF7B249F3233}" name="Column15332"/>
    <tableColumn id="15333" xr3:uid="{F8A034F5-64AE-4C31-8005-2034496069E1}" name="Column15333"/>
    <tableColumn id="15334" xr3:uid="{1951D95E-70D5-4038-8969-D08E4CA96059}" name="Column15334"/>
    <tableColumn id="15335" xr3:uid="{A0071C1F-12C5-4DA9-8D7B-5FB73B8C6297}" name="Column15335"/>
    <tableColumn id="15336" xr3:uid="{106ED601-4294-4ADD-BEDB-D74909A2AF74}" name="Column15336"/>
    <tableColumn id="15337" xr3:uid="{E02C0D0F-5EA2-4C84-80FF-4B8AF0B1560A}" name="Column15337"/>
    <tableColumn id="15338" xr3:uid="{2E3048C3-BBB1-4B06-83C9-4A88F9FF3469}" name="Column15338"/>
    <tableColumn id="15339" xr3:uid="{0987E429-1D66-461E-8977-0D1B35908BD0}" name="Column15339"/>
    <tableColumn id="15340" xr3:uid="{D833F96D-101F-41A6-9F5D-F33C9AB3B0A7}" name="Column15340"/>
    <tableColumn id="15341" xr3:uid="{861D9D32-12A6-44CE-A791-D9FE61ED1450}" name="Column15341"/>
    <tableColumn id="15342" xr3:uid="{CF2B8189-0574-4B07-A2D6-E7D01D612A66}" name="Column15342"/>
    <tableColumn id="15343" xr3:uid="{4BBCA833-45B3-4DC5-A613-B9637D2528D6}" name="Column15343"/>
    <tableColumn id="15344" xr3:uid="{663B54D0-B446-4BE2-9F3C-0F7B9C38A18D}" name="Column15344"/>
    <tableColumn id="15345" xr3:uid="{80F9BF51-16F8-432F-B9AF-661859EABAEF}" name="Column15345"/>
    <tableColumn id="15346" xr3:uid="{CDC43EE3-423A-414D-9A50-39D42D55378F}" name="Column15346"/>
    <tableColumn id="15347" xr3:uid="{F5C48C5F-AF77-4E4B-BDB3-BF5B854C12D4}" name="Column15347"/>
    <tableColumn id="15348" xr3:uid="{840FD996-C55E-4E15-BBAB-1CB401BA120F}" name="Column15348"/>
    <tableColumn id="15349" xr3:uid="{E6D28F24-053B-42E0-924C-732E4397945B}" name="Column15349"/>
    <tableColumn id="15350" xr3:uid="{10684316-A5C7-4AF4-85A4-5965341B03CF}" name="Column15350"/>
    <tableColumn id="15351" xr3:uid="{88068E74-D7E7-4C8A-86EF-DBD60462665D}" name="Column15351"/>
    <tableColumn id="15352" xr3:uid="{5F9E85DF-93E9-41B5-A10B-C3ABB12518F2}" name="Column15352"/>
    <tableColumn id="15353" xr3:uid="{B7C15479-AAA1-4A40-BE37-532E9E242629}" name="Column15353"/>
    <tableColumn id="15354" xr3:uid="{054B3724-2BF0-4ACF-B312-05E2ADE7CF27}" name="Column15354"/>
    <tableColumn id="15355" xr3:uid="{1151D732-A577-46BE-A79B-0E187C657A45}" name="Column15355"/>
    <tableColumn id="15356" xr3:uid="{C8A4D2E5-C869-46B8-978E-8DC85F739A95}" name="Column15356"/>
    <tableColumn id="15357" xr3:uid="{F2A1EE80-33E3-43EB-8213-A143454F21CC}" name="Column15357"/>
    <tableColumn id="15358" xr3:uid="{56F422BD-B1F4-435E-AC00-C9C89FC53A4E}" name="Column15358"/>
    <tableColumn id="15359" xr3:uid="{A20A2022-FDDA-4232-81D5-1359163189FC}" name="Column15359"/>
    <tableColumn id="15360" xr3:uid="{857EEC45-9447-4F19-85AE-61CCADC523F2}" name="Column15360"/>
    <tableColumn id="15361" xr3:uid="{075F654D-D541-4E2C-BED1-97B993AB277D}" name="Column15361"/>
    <tableColumn id="15362" xr3:uid="{2907C44B-ABB4-4CC8-AC7A-4DBFBE46285A}" name="Column15362"/>
    <tableColumn id="15363" xr3:uid="{EDC8ECA8-EB61-4463-ABC8-55637092E303}" name="Column15363"/>
    <tableColumn id="15364" xr3:uid="{1BF56256-C320-4555-92B1-B4B459438E1F}" name="Column15364"/>
    <tableColumn id="15365" xr3:uid="{A699D8F5-678E-468A-B425-4D29341E4DA0}" name="Column15365"/>
    <tableColumn id="15366" xr3:uid="{D928FB5A-2EBE-4F76-BC87-023B8F974630}" name="Column15366"/>
    <tableColumn id="15367" xr3:uid="{F103F1D5-1AFE-472C-A5B3-7302F8E49465}" name="Column15367"/>
    <tableColumn id="15368" xr3:uid="{A54C0551-2ECE-46DA-8C70-5C09C5332CFD}" name="Column15368"/>
    <tableColumn id="15369" xr3:uid="{D91563C2-CAFB-465A-A4A6-4B4B3B25724F}" name="Column15369"/>
    <tableColumn id="15370" xr3:uid="{D301D726-AD3B-4F5E-9539-A7EE69C8EFE7}" name="Column15370"/>
    <tableColumn id="15371" xr3:uid="{19DC9052-5706-4336-84CE-5A4268053EC8}" name="Column15371"/>
    <tableColumn id="15372" xr3:uid="{516F1154-7325-4E6A-BF0C-343478F6476E}" name="Column15372"/>
    <tableColumn id="15373" xr3:uid="{781D2E25-A3B5-4341-9486-EFCBF86D31F5}" name="Column15373"/>
    <tableColumn id="15374" xr3:uid="{FA2C0E9D-7AA7-4B5D-A7A8-AF09EB904F4E}" name="Column15374"/>
    <tableColumn id="15375" xr3:uid="{FB977596-06C8-4B4A-869D-08912E365626}" name="Column15375"/>
    <tableColumn id="15376" xr3:uid="{CCE3A397-C269-4532-BB3F-4BEC1A1C33E0}" name="Column15376"/>
    <tableColumn id="15377" xr3:uid="{A6DA532A-1B0E-463A-9EAC-00B48B518CD3}" name="Column15377"/>
    <tableColumn id="15378" xr3:uid="{8E32EA37-0AC0-4758-9553-523F4144F60A}" name="Column15378"/>
    <tableColumn id="15379" xr3:uid="{49A4F761-EF9B-4B09-BF01-453538C33CBC}" name="Column15379"/>
    <tableColumn id="15380" xr3:uid="{3D81143E-0868-4BAC-98C8-DBF41AFDA7B3}" name="Column15380"/>
    <tableColumn id="15381" xr3:uid="{2275A04C-45A0-40BF-A1CE-4F953A4FDED9}" name="Column15381"/>
    <tableColumn id="15382" xr3:uid="{1E6A1AF1-E305-44DE-B48A-7E03C532E7A4}" name="Column15382"/>
    <tableColumn id="15383" xr3:uid="{5E881170-8A58-413F-A1C9-589B7B6DE6F1}" name="Column15383"/>
    <tableColumn id="15384" xr3:uid="{7B083BC1-3CAD-47AF-B357-D2552D2B5EC6}" name="Column15384"/>
    <tableColumn id="15385" xr3:uid="{27807BCE-9A47-4973-A133-26678F138BCE}" name="Column15385"/>
    <tableColumn id="15386" xr3:uid="{517E4007-04E9-4BB0-A538-32DCAD7FBFA8}" name="Column15386"/>
    <tableColumn id="15387" xr3:uid="{88D72C06-94ED-470D-9EBE-E0DE751FB7D1}" name="Column15387"/>
    <tableColumn id="15388" xr3:uid="{546E15E0-7428-4235-88BC-E7C5F73E40B0}" name="Column15388"/>
    <tableColumn id="15389" xr3:uid="{2B71E568-7DB5-4F6C-86BC-435A1B1775F0}" name="Column15389"/>
    <tableColumn id="15390" xr3:uid="{B742F209-89D3-4549-BFEB-8B5D2D046621}" name="Column15390"/>
    <tableColumn id="15391" xr3:uid="{FF049FA6-8306-42DF-B87E-BBCB8E651A66}" name="Column15391"/>
    <tableColumn id="15392" xr3:uid="{8C06D4BA-0E0F-4ABE-9CB9-1237497F8338}" name="Column15392"/>
    <tableColumn id="15393" xr3:uid="{44429E7C-1266-4F97-886B-41A8279A1191}" name="Column15393"/>
    <tableColumn id="15394" xr3:uid="{24B9BB8B-ED74-4E02-A02F-198101C5AF39}" name="Column15394"/>
    <tableColumn id="15395" xr3:uid="{6F4623DC-51EC-4F68-882A-9A20083F01C3}" name="Column15395"/>
    <tableColumn id="15396" xr3:uid="{4C4269B3-8011-4D84-905D-44F0F4818F4B}" name="Column15396"/>
    <tableColumn id="15397" xr3:uid="{424ECD7E-0C60-4678-AA69-37220D8DE189}" name="Column15397"/>
    <tableColumn id="15398" xr3:uid="{93BBA29E-C5EF-46FF-9E73-08144F2012F2}" name="Column15398"/>
    <tableColumn id="15399" xr3:uid="{8BA07753-7E4D-4CD5-B782-7AFDB2725EF1}" name="Column15399"/>
    <tableColumn id="15400" xr3:uid="{E7E4DE9B-B6CA-4329-9733-49C16259A062}" name="Column15400"/>
    <tableColumn id="15401" xr3:uid="{64D8BC55-C11B-4078-981C-5404D743B9A2}" name="Column15401"/>
    <tableColumn id="15402" xr3:uid="{E2C26AF9-FC1F-4CBF-B1DC-01763B621A8B}" name="Column15402"/>
    <tableColumn id="15403" xr3:uid="{8DB1F054-6A56-483E-BAD2-EEB7EB8B5345}" name="Column15403"/>
    <tableColumn id="15404" xr3:uid="{905FEE7A-7A03-4C7C-BEF4-8DBC0977DFBE}" name="Column15404"/>
    <tableColumn id="15405" xr3:uid="{D0D3FE34-F224-464F-91A1-0BDE60806645}" name="Column15405"/>
    <tableColumn id="15406" xr3:uid="{5246DF56-C0BB-40C1-A285-7086EB56CB94}" name="Column15406"/>
    <tableColumn id="15407" xr3:uid="{FB7E5DD4-7459-44CB-A162-CBDA66CDC4A2}" name="Column15407"/>
    <tableColumn id="15408" xr3:uid="{0D7AB5FF-A2AA-4C80-B4DE-306035913C01}" name="Column15408"/>
    <tableColumn id="15409" xr3:uid="{FC1C6CC0-E114-4046-862F-983F1E544DE1}" name="Column15409"/>
    <tableColumn id="15410" xr3:uid="{FC170F78-B44D-4277-8E15-C2185C756CBA}" name="Column15410"/>
    <tableColumn id="15411" xr3:uid="{460F07B1-FF4C-41A0-AAA4-C2FFD1202D1B}" name="Column15411"/>
    <tableColumn id="15412" xr3:uid="{6CC62ECF-4A55-4D4F-B8E9-11E11E7A5F80}" name="Column15412"/>
    <tableColumn id="15413" xr3:uid="{0168A789-49F5-40E6-B12D-252D57F15553}" name="Column15413"/>
    <tableColumn id="15414" xr3:uid="{FADC4ECE-E4FD-44CD-B292-F59B633E070D}" name="Column15414"/>
    <tableColumn id="15415" xr3:uid="{9C3C4AA8-0124-4991-8CB3-A20A1B18FB10}" name="Column15415"/>
    <tableColumn id="15416" xr3:uid="{85E3623A-14E4-4C0D-AFB5-EBD59461DAAC}" name="Column15416"/>
    <tableColumn id="15417" xr3:uid="{17CEF186-0510-41CA-B59B-7B32621E13FE}" name="Column15417"/>
    <tableColumn id="15418" xr3:uid="{46F3C352-BF13-44B6-835D-A0A992F30FDD}" name="Column15418"/>
    <tableColumn id="15419" xr3:uid="{8592C3A1-3011-42DC-B082-9E3BB2EC10DF}" name="Column15419"/>
    <tableColumn id="15420" xr3:uid="{0224015A-C6B2-422D-8502-FEEBDA2393F9}" name="Column15420"/>
    <tableColumn id="15421" xr3:uid="{9DA20EE0-27D8-4454-8DE3-D2D0251C2D5D}" name="Column15421"/>
    <tableColumn id="15422" xr3:uid="{EB63C8F4-D7E4-424E-B5D5-9E1BA9E687FF}" name="Column15422"/>
    <tableColumn id="15423" xr3:uid="{17F2700D-3CDD-4A85-BF71-9F2DB7C50C26}" name="Column15423"/>
    <tableColumn id="15424" xr3:uid="{1407D634-946E-4C26-98B4-407C374A343A}" name="Column15424"/>
    <tableColumn id="15425" xr3:uid="{C054A646-252E-41C1-98BD-7415C2C5B386}" name="Column15425"/>
    <tableColumn id="15426" xr3:uid="{EFD55E90-6F05-4693-9EDD-DBC7715DD4F0}" name="Column15426"/>
    <tableColumn id="15427" xr3:uid="{58670FA6-07C5-441D-A8E7-1ADCEC525830}" name="Column15427"/>
    <tableColumn id="15428" xr3:uid="{BBFE5B7C-CAD4-4F5A-AB51-EFCB9E373729}" name="Column15428"/>
    <tableColumn id="15429" xr3:uid="{49CC2CB1-4890-4D0E-90C8-629D007104C6}" name="Column15429"/>
    <tableColumn id="15430" xr3:uid="{426AECE9-6CF2-4B06-95BB-8272C7B30892}" name="Column15430"/>
    <tableColumn id="15431" xr3:uid="{EF323C47-644B-43E9-8AEB-DA51B3787A5B}" name="Column15431"/>
    <tableColumn id="15432" xr3:uid="{B5302932-17AE-47A7-B155-DB21932FEB72}" name="Column15432"/>
    <tableColumn id="15433" xr3:uid="{F5764005-4F64-4FED-A3DC-41E2C9B4D37A}" name="Column15433"/>
    <tableColumn id="15434" xr3:uid="{B82C634B-A8CC-4E5A-A1FA-24E26EDD6674}" name="Column15434"/>
    <tableColumn id="15435" xr3:uid="{0E2DF56D-6DDD-452B-AA82-1242995389BF}" name="Column15435"/>
    <tableColumn id="15436" xr3:uid="{5886BD28-15BC-43AB-B8F3-6C7F22496B9E}" name="Column15436"/>
    <tableColumn id="15437" xr3:uid="{29079B67-BDFF-4F28-9C25-E92CFBD56CDD}" name="Column15437"/>
    <tableColumn id="15438" xr3:uid="{6AA40F02-FE81-46CE-ACF7-54725AB98A5B}" name="Column15438"/>
    <tableColumn id="15439" xr3:uid="{67097382-1588-402E-A608-50B25B12CF05}" name="Column15439"/>
    <tableColumn id="15440" xr3:uid="{CA884687-77B4-4024-8C23-16FA83839AA7}" name="Column15440"/>
    <tableColumn id="15441" xr3:uid="{8B34D89D-4B16-4A3B-9CD5-E9FA5D478257}" name="Column15441"/>
    <tableColumn id="15442" xr3:uid="{3E5ACB0E-7C1C-4AF0-96C3-87BAAD997EE5}" name="Column15442"/>
    <tableColumn id="15443" xr3:uid="{2B1A5AA8-9F14-45DB-903D-AA183D60D037}" name="Column15443"/>
    <tableColumn id="15444" xr3:uid="{8726506F-3815-4640-AB9D-E7816FFF8CD4}" name="Column15444"/>
    <tableColumn id="15445" xr3:uid="{8B836F37-86DC-494C-86D6-E9D168292832}" name="Column15445"/>
    <tableColumn id="15446" xr3:uid="{CA887E1A-B202-4E32-9B20-0DF7AAFBF7D2}" name="Column15446"/>
    <tableColumn id="15447" xr3:uid="{75574825-366C-4406-AAD6-42570CAA1E5D}" name="Column15447"/>
    <tableColumn id="15448" xr3:uid="{A9543D62-0C48-4720-8D87-5223A1161467}" name="Column15448"/>
    <tableColumn id="15449" xr3:uid="{A59E520C-577C-4854-828B-976123837797}" name="Column15449"/>
    <tableColumn id="15450" xr3:uid="{E5F25728-8D9F-468D-B35A-B03ED7062DF4}" name="Column15450"/>
    <tableColumn id="15451" xr3:uid="{EA240F79-4D0C-4027-8620-52D23950C4A7}" name="Column15451"/>
    <tableColumn id="15452" xr3:uid="{7AEDA68E-15C6-40DD-928A-CD279BEB8C73}" name="Column15452"/>
    <tableColumn id="15453" xr3:uid="{4C304421-1881-4D41-954B-61F0561E9B1A}" name="Column15453"/>
    <tableColumn id="15454" xr3:uid="{387637CE-17C5-4843-81E3-4688838FB05C}" name="Column15454"/>
    <tableColumn id="15455" xr3:uid="{731A339B-7A6B-47B2-9969-36D609982480}" name="Column15455"/>
    <tableColumn id="15456" xr3:uid="{1516E8FB-FA55-4259-A3C2-67E7F385246B}" name="Column15456"/>
    <tableColumn id="15457" xr3:uid="{23E698E8-E497-4B68-8F7C-4050B4F07157}" name="Column15457"/>
    <tableColumn id="15458" xr3:uid="{D68E1410-B43E-4596-B1FE-0F59201DEA68}" name="Column15458"/>
    <tableColumn id="15459" xr3:uid="{9D9429D4-04BB-4A28-927E-73EF8A2CA999}" name="Column15459"/>
    <tableColumn id="15460" xr3:uid="{E47BE0E5-CD51-4AFD-8B51-B8B08020D265}" name="Column15460"/>
    <tableColumn id="15461" xr3:uid="{33CAA3A5-4953-4AB4-B264-3E39620DA42A}" name="Column15461"/>
    <tableColumn id="15462" xr3:uid="{ED89545B-6A07-424D-835D-D0600C5BC072}" name="Column15462"/>
    <tableColumn id="15463" xr3:uid="{88A7FB93-D81B-4423-A477-790A3AAE1B9E}" name="Column15463"/>
    <tableColumn id="15464" xr3:uid="{316112DE-BC8B-4AEB-B620-20EFAED17B9D}" name="Column15464"/>
    <tableColumn id="15465" xr3:uid="{36AF3AA1-BCC4-4627-965F-F4BDD8BFCB28}" name="Column15465"/>
    <tableColumn id="15466" xr3:uid="{104F5534-B674-4046-AB7D-ECD46C28333E}" name="Column15466"/>
    <tableColumn id="15467" xr3:uid="{2929C61F-043D-4840-8E87-B1AF2C5E5F3D}" name="Column15467"/>
    <tableColumn id="15468" xr3:uid="{80A6303D-265A-40DC-BC2A-05E6BF61AF69}" name="Column15468"/>
    <tableColumn id="15469" xr3:uid="{2E46D0F1-D3A4-4ABB-892F-62A3FF6A6D07}" name="Column15469"/>
    <tableColumn id="15470" xr3:uid="{9E5B4E4C-BB17-48CD-B713-F06A351CF435}" name="Column15470"/>
    <tableColumn id="15471" xr3:uid="{4941D28F-3CE8-4256-B59F-8C32DB2D452B}" name="Column15471"/>
    <tableColumn id="15472" xr3:uid="{D2EB28B5-53A0-4F05-84B1-97332C704AF8}" name="Column15472"/>
    <tableColumn id="15473" xr3:uid="{94B4FF96-2142-4197-91F9-47EBF1BF0CE8}" name="Column15473"/>
    <tableColumn id="15474" xr3:uid="{F34BE137-7B9C-4C2E-8C6A-F3A17578BF06}" name="Column15474"/>
    <tableColumn id="15475" xr3:uid="{955312E8-8D6D-43F0-907E-B5D9F6B5F7A3}" name="Column15475"/>
    <tableColumn id="15476" xr3:uid="{B6685D8E-21DD-4E56-B891-CA54D8BF0412}" name="Column15476"/>
    <tableColumn id="15477" xr3:uid="{48122BEA-5851-4CEA-81CB-B0E2BEFAB0BD}" name="Column15477"/>
    <tableColumn id="15478" xr3:uid="{ABA7AF4B-D3FC-4EE7-97CA-5ADB6A68E7BC}" name="Column15478"/>
    <tableColumn id="15479" xr3:uid="{87F46071-EC71-43BC-BADB-6B74A165E770}" name="Column15479"/>
    <tableColumn id="15480" xr3:uid="{BA8B43E1-9034-4FCB-AEE0-399246B315C4}" name="Column15480"/>
    <tableColumn id="15481" xr3:uid="{4C5EE493-7724-433D-9021-2A6D55D73B71}" name="Column15481"/>
    <tableColumn id="15482" xr3:uid="{643E6A7F-EF00-4FA2-87BB-86F779B55295}" name="Column15482"/>
    <tableColumn id="15483" xr3:uid="{6632F12D-6A40-450B-A292-ED34D75DD3A3}" name="Column15483"/>
    <tableColumn id="15484" xr3:uid="{D3C0724C-A9ED-4077-AE46-68863E7461A7}" name="Column15484"/>
    <tableColumn id="15485" xr3:uid="{488BD721-10D6-4C8E-904D-F166876AF126}" name="Column15485"/>
    <tableColumn id="15486" xr3:uid="{27003ADF-3B81-4689-8410-0ABDA205AB5C}" name="Column15486"/>
    <tableColumn id="15487" xr3:uid="{DC3942CD-6C7B-4FDA-B3A4-6CCF93D425C3}" name="Column15487"/>
    <tableColumn id="15488" xr3:uid="{CA18DC6D-3888-4D89-9872-03409B66BD42}" name="Column15488"/>
    <tableColumn id="15489" xr3:uid="{9865A4C3-3318-4BF5-AB3F-A7B53B23AE58}" name="Column15489"/>
    <tableColumn id="15490" xr3:uid="{36027909-BF81-4A78-ADDE-3D27BCE73F98}" name="Column15490"/>
    <tableColumn id="15491" xr3:uid="{08DA5F2A-BBDF-4BC3-B5BC-966F72187A8C}" name="Column15491"/>
    <tableColumn id="15492" xr3:uid="{8FB26060-9B81-449B-9767-F1C3A036B988}" name="Column15492"/>
    <tableColumn id="15493" xr3:uid="{F0E67F00-CF22-4595-8883-C687B33E7DA4}" name="Column15493"/>
    <tableColumn id="15494" xr3:uid="{8D65EC84-DA36-441E-8BD9-847A5F524B31}" name="Column15494"/>
    <tableColumn id="15495" xr3:uid="{9C6D3758-BF73-4FED-B63F-C8BB612FCAAC}" name="Column15495"/>
    <tableColumn id="15496" xr3:uid="{AF0A98A8-F360-4551-9F12-2FBD86255D67}" name="Column15496"/>
    <tableColumn id="15497" xr3:uid="{4217E19D-A387-4CA9-9E21-E2FDC2B61FD9}" name="Column15497"/>
    <tableColumn id="15498" xr3:uid="{F69C9DDB-3D1A-416E-8402-E3308326845F}" name="Column15498"/>
    <tableColumn id="15499" xr3:uid="{4A09CD1E-6048-4A45-A73B-3CFDA2A431DB}" name="Column15499"/>
    <tableColumn id="15500" xr3:uid="{6E6486D0-EE6E-4849-8258-10D416383ADF}" name="Column15500"/>
    <tableColumn id="15501" xr3:uid="{2B206762-D693-432C-AB28-2C3C1CCFCBCD}" name="Column15501"/>
    <tableColumn id="15502" xr3:uid="{062648F1-DC4A-4BC8-B29E-5C00E8352EE5}" name="Column15502"/>
    <tableColumn id="15503" xr3:uid="{BEF2A27E-97B9-4DC3-B594-C09611E65588}" name="Column15503"/>
    <tableColumn id="15504" xr3:uid="{3A19C03E-C45A-4006-A9C4-C399D26631EB}" name="Column15504"/>
    <tableColumn id="15505" xr3:uid="{F2F0E3E8-2976-40E3-9314-39BF8AA66E43}" name="Column15505"/>
    <tableColumn id="15506" xr3:uid="{97668E52-D479-4F9A-8A69-3800A1D945D6}" name="Column15506"/>
    <tableColumn id="15507" xr3:uid="{5E955EAA-7A9C-4FD7-BB26-B26D5A9BA902}" name="Column15507"/>
    <tableColumn id="15508" xr3:uid="{528523CC-37D0-4BFA-920F-15494BC41074}" name="Column15508"/>
    <tableColumn id="15509" xr3:uid="{091DCF71-7FD9-46E2-A736-CFAE11777B97}" name="Column15509"/>
    <tableColumn id="15510" xr3:uid="{0B0F0BAC-72B1-470A-BACC-B4FA4C8EEECF}" name="Column15510"/>
    <tableColumn id="15511" xr3:uid="{96BA7EA2-985F-46F1-B094-D1E9AAB45166}" name="Column15511"/>
    <tableColumn id="15512" xr3:uid="{F7AD00E6-0C95-488F-AF6F-0FC7606994E3}" name="Column15512"/>
    <tableColumn id="15513" xr3:uid="{2DA67385-8AF5-4F34-A097-EA5DE14E5F20}" name="Column15513"/>
    <tableColumn id="15514" xr3:uid="{9FC210D4-8524-47F5-A119-4F2F13A19117}" name="Column15514"/>
    <tableColumn id="15515" xr3:uid="{B0F3BD1B-89A9-4BA6-B853-270D7B12A11A}" name="Column15515"/>
    <tableColumn id="15516" xr3:uid="{7CF3820A-7504-4245-A4AA-5F21519D88AF}" name="Column15516"/>
    <tableColumn id="15517" xr3:uid="{827837CF-0A26-47FF-BFCB-3C27A28DA733}" name="Column15517"/>
    <tableColumn id="15518" xr3:uid="{A0E24C1E-6750-4897-A447-1DCB240BD936}" name="Column15518"/>
    <tableColumn id="15519" xr3:uid="{9F6E75B3-A25A-4B32-BC18-315703847506}" name="Column15519"/>
    <tableColumn id="15520" xr3:uid="{74D560D5-A1F9-48C5-8F86-E44567E489DD}" name="Column15520"/>
    <tableColumn id="15521" xr3:uid="{7990E070-BA73-4863-8465-6FFF5032DA7D}" name="Column15521"/>
    <tableColumn id="15522" xr3:uid="{712FDF13-A38A-4275-A7B1-C9B595845FB3}" name="Column15522"/>
    <tableColumn id="15523" xr3:uid="{CF095643-4FA5-4B96-B20B-294C760A2720}" name="Column15523"/>
    <tableColumn id="15524" xr3:uid="{5325BFF7-3868-45E0-9E75-7CC8656589B7}" name="Column15524"/>
    <tableColumn id="15525" xr3:uid="{CF6C15F6-59D3-4046-8631-AAD86CFF93BB}" name="Column15525"/>
    <tableColumn id="15526" xr3:uid="{02930BC2-9C61-4149-B25A-039E98F7401A}" name="Column15526"/>
    <tableColumn id="15527" xr3:uid="{E8ED4F5B-0784-4E49-BCEE-ECB5D8D74F0E}" name="Column15527"/>
    <tableColumn id="15528" xr3:uid="{E1C798D8-1797-46D3-B697-76E34D64D831}" name="Column15528"/>
    <tableColumn id="15529" xr3:uid="{A8035AA4-0E4E-45B5-966A-82FDBC2683F7}" name="Column15529"/>
    <tableColumn id="15530" xr3:uid="{39C13D73-F025-4736-9302-5A42859016C2}" name="Column15530"/>
    <tableColumn id="15531" xr3:uid="{3F93629D-2507-4720-B87F-CDA4562A9BA2}" name="Column15531"/>
    <tableColumn id="15532" xr3:uid="{1C59284A-821B-4F77-B830-BBCFCB935797}" name="Column15532"/>
    <tableColumn id="15533" xr3:uid="{5D8F3EEC-BA10-4269-B0B3-2FB599C56F5D}" name="Column15533"/>
    <tableColumn id="15534" xr3:uid="{0A412FC8-A1E5-49AB-A589-85CCD0F051AB}" name="Column15534"/>
    <tableColumn id="15535" xr3:uid="{EBC71480-F05F-4F45-A3C3-AAFD6520AA07}" name="Column15535"/>
    <tableColumn id="15536" xr3:uid="{A29063F8-61FB-4BBA-8B6C-B5FD85037BAD}" name="Column15536"/>
    <tableColumn id="15537" xr3:uid="{DFFCAB1F-8321-4D45-869B-BFE4E6BCC52C}" name="Column15537"/>
    <tableColumn id="15538" xr3:uid="{D10941D1-6A4D-4DBD-AEB8-52ED3499EF87}" name="Column15538"/>
    <tableColumn id="15539" xr3:uid="{69F545ED-9912-43AC-B6C8-29EFE9DCF10C}" name="Column15539"/>
    <tableColumn id="15540" xr3:uid="{610D8B78-2D60-465B-8844-AE25108340CB}" name="Column15540"/>
    <tableColumn id="15541" xr3:uid="{58EC67E7-D5BB-4ADA-8F69-331D11EC46ED}" name="Column15541"/>
    <tableColumn id="15542" xr3:uid="{A862C5EC-C385-4D15-A6DB-AFC661E3474C}" name="Column15542"/>
    <tableColumn id="15543" xr3:uid="{7FE83ED4-A21C-4EF7-8C99-35FB11E9D4E5}" name="Column15543"/>
    <tableColumn id="15544" xr3:uid="{45044155-1A3E-4F04-99B8-C75E0BD85574}" name="Column15544"/>
    <tableColumn id="15545" xr3:uid="{5BDADEF6-D351-451F-A3D0-5BFBFCEF336C}" name="Column15545"/>
    <tableColumn id="15546" xr3:uid="{547A7D6F-472A-4695-BEB3-B83167FF0BD6}" name="Column15546"/>
    <tableColumn id="15547" xr3:uid="{0D2C203F-9CAF-4493-9C58-8549E7D167E0}" name="Column15547"/>
    <tableColumn id="15548" xr3:uid="{E030429E-2159-47BB-A731-7BF8DDFB6F18}" name="Column15548"/>
    <tableColumn id="15549" xr3:uid="{2BA2737C-6291-4905-AF2B-FF7C7FEF7582}" name="Column15549"/>
    <tableColumn id="15550" xr3:uid="{B48F6469-8F5C-4E30-AD4B-B6E15D1912C7}" name="Column15550"/>
    <tableColumn id="15551" xr3:uid="{A0888070-80D1-4BD5-BDE4-1D3347321F50}" name="Column15551"/>
    <tableColumn id="15552" xr3:uid="{2A7C9F1C-3957-490C-B2B1-5FD6795C11B9}" name="Column15552"/>
    <tableColumn id="15553" xr3:uid="{9D2E83E2-0661-40F1-A776-DB1C09CBE635}" name="Column15553"/>
    <tableColumn id="15554" xr3:uid="{FB5DE47C-3B7B-4CE8-834A-1EB7848C7373}" name="Column15554"/>
    <tableColumn id="15555" xr3:uid="{656E5FE1-554F-465A-870D-E4CF1C88B333}" name="Column15555"/>
    <tableColumn id="15556" xr3:uid="{5526F4CE-962C-43CC-88A5-0DAA3B2893C0}" name="Column15556"/>
    <tableColumn id="15557" xr3:uid="{E9F6990C-B350-46CA-9EFB-B420234A62C8}" name="Column15557"/>
    <tableColumn id="15558" xr3:uid="{615F2C3D-87D5-4B65-A190-D68D04B622CD}" name="Column15558"/>
    <tableColumn id="15559" xr3:uid="{48F276F5-53E2-4536-BBD0-B5493E1CA85E}" name="Column15559"/>
    <tableColumn id="15560" xr3:uid="{F7C630A4-4A7E-43F5-88FA-91BCB1BF6557}" name="Column15560"/>
    <tableColumn id="15561" xr3:uid="{D307F20A-BB36-4096-8B7B-C4A671665102}" name="Column15561"/>
    <tableColumn id="15562" xr3:uid="{2827132E-42E5-4193-AF05-D258A0ADA7DB}" name="Column15562"/>
    <tableColumn id="15563" xr3:uid="{C560F3E8-16D1-40B4-AF96-F1D97CC71C3C}" name="Column15563"/>
    <tableColumn id="15564" xr3:uid="{C2C7CF58-8A5F-4179-948B-DD23EA7B77CB}" name="Column15564"/>
    <tableColumn id="15565" xr3:uid="{9D15F680-7333-42C4-9814-035244D45DF7}" name="Column15565"/>
    <tableColumn id="15566" xr3:uid="{A023D411-C425-4A70-9B15-E2175D58A417}" name="Column15566"/>
    <tableColumn id="15567" xr3:uid="{5CB3CBD0-DDC4-4B66-A8C9-40A6570EA0B3}" name="Column15567"/>
    <tableColumn id="15568" xr3:uid="{477B4273-0D2C-4A66-9E9C-E1F567C61599}" name="Column15568"/>
    <tableColumn id="15569" xr3:uid="{110ACBF7-3CA1-4EC3-BABD-6100D45E00F3}" name="Column15569"/>
    <tableColumn id="15570" xr3:uid="{D769D767-CF29-4E69-BE36-0D583CB2A64F}" name="Column15570"/>
    <tableColumn id="15571" xr3:uid="{0EF8843D-C3A0-46DB-958E-B3C4637DD25E}" name="Column15571"/>
    <tableColumn id="15572" xr3:uid="{01EF6A71-7F33-475D-9949-368D046C91FD}" name="Column15572"/>
    <tableColumn id="15573" xr3:uid="{5058518F-8B90-46E7-9101-9CBCE7728BAC}" name="Column15573"/>
    <tableColumn id="15574" xr3:uid="{AFC5AC59-423D-4D3A-A802-03DA3AA5EBCF}" name="Column15574"/>
    <tableColumn id="15575" xr3:uid="{39DCC2BA-71F5-4C02-B6AA-D69601136D78}" name="Column15575"/>
    <tableColumn id="15576" xr3:uid="{4320C693-85FF-43D2-AEB9-531CFA4CF600}" name="Column15576"/>
    <tableColumn id="15577" xr3:uid="{F0E5DF79-81BE-4B32-A1F8-380536BD9AC6}" name="Column15577"/>
    <tableColumn id="15578" xr3:uid="{2DD4DFDE-4CB8-4728-9F62-22F78B509AAE}" name="Column15578"/>
    <tableColumn id="15579" xr3:uid="{FF455D7F-213D-4A84-BFF7-01CCEB4EE56F}" name="Column15579"/>
    <tableColumn id="15580" xr3:uid="{2ECB50DC-499F-4F0B-8B6D-28D0F02073AA}" name="Column15580"/>
    <tableColumn id="15581" xr3:uid="{50205C48-5E40-42E1-ADCD-454279308DF3}" name="Column15581"/>
    <tableColumn id="15582" xr3:uid="{CF1EBEB5-4D97-4624-906B-B975A5F155D3}" name="Column15582"/>
    <tableColumn id="15583" xr3:uid="{92571E41-E174-41D6-A728-A787407C543A}" name="Column15583"/>
    <tableColumn id="15584" xr3:uid="{3C0294D8-2AB6-4A2A-B328-E3AB81AB377E}" name="Column15584"/>
    <tableColumn id="15585" xr3:uid="{E5E35C25-4FEA-44E4-B1AA-76913178C37C}" name="Column15585"/>
    <tableColumn id="15586" xr3:uid="{EC6C9ACA-D4CB-4AB2-8A8B-B42708550992}" name="Column15586"/>
    <tableColumn id="15587" xr3:uid="{3D46B1E0-C25E-4BEF-B8A1-1E1316025EF8}" name="Column15587"/>
    <tableColumn id="15588" xr3:uid="{94795932-ACA1-4401-ADF8-1F2C37F4A7C5}" name="Column15588"/>
    <tableColumn id="15589" xr3:uid="{E6665B2F-9D8F-4994-AB25-8D31EC6460BC}" name="Column15589"/>
    <tableColumn id="15590" xr3:uid="{1BC17C96-208E-4D84-9A1A-25859AA92B1D}" name="Column15590"/>
    <tableColumn id="15591" xr3:uid="{717F759D-6D8D-4034-81C1-27B092193DD9}" name="Column15591"/>
    <tableColumn id="15592" xr3:uid="{06E0705F-69E9-48B9-9974-00153BCF9381}" name="Column15592"/>
    <tableColumn id="15593" xr3:uid="{8C5DECE3-6C56-43A0-BC75-D0D1A7075665}" name="Column15593"/>
    <tableColumn id="15594" xr3:uid="{06B62430-9174-4D97-B03D-AF479F209179}" name="Column15594"/>
    <tableColumn id="15595" xr3:uid="{05FC1AE0-18ED-4C99-9145-38F6B6A06EE6}" name="Column15595"/>
    <tableColumn id="15596" xr3:uid="{E4052ED3-BB68-49E2-9400-FC8431A81CB5}" name="Column15596"/>
    <tableColumn id="15597" xr3:uid="{EEA9F623-9EF7-41F6-A50D-80141AC3ED48}" name="Column15597"/>
    <tableColumn id="15598" xr3:uid="{99CE0D86-1FFD-4278-AB70-DACFFCA97FBD}" name="Column15598"/>
    <tableColumn id="15599" xr3:uid="{2DE31C63-EBD2-4E92-BA4E-0A715B851E5E}" name="Column15599"/>
    <tableColumn id="15600" xr3:uid="{8F3230C2-D131-426E-B48F-2160F7638C6B}" name="Column15600"/>
    <tableColumn id="15601" xr3:uid="{D5F61775-24B7-4CC4-AF75-361FA0428B6C}" name="Column15601"/>
    <tableColumn id="15602" xr3:uid="{95E4DE78-1356-4C3B-A6DF-9DF8F605CC05}" name="Column15602"/>
    <tableColumn id="15603" xr3:uid="{A989FC4E-9020-4D57-B2C3-5EFE8A1379AC}" name="Column15603"/>
    <tableColumn id="15604" xr3:uid="{FF95103A-4150-441A-9E95-DAAC39B0A604}" name="Column15604"/>
    <tableColumn id="15605" xr3:uid="{6A9E6DB4-80DF-4371-91D2-FA8FF7D1F02E}" name="Column15605"/>
    <tableColumn id="15606" xr3:uid="{7BD15D69-03E1-4961-8D12-B1D0C2F1AC6C}" name="Column15606"/>
    <tableColumn id="15607" xr3:uid="{F3A70F3D-13F9-446D-84CE-3C0972584C67}" name="Column15607"/>
    <tableColumn id="15608" xr3:uid="{05000D41-0042-40F3-B3F2-CB081EE3F598}" name="Column15608"/>
    <tableColumn id="15609" xr3:uid="{D348D321-42D1-4CD5-BDD5-E5E93BCDC430}" name="Column15609"/>
    <tableColumn id="15610" xr3:uid="{C8A664EB-C444-4756-8466-042B0381AD86}" name="Column15610"/>
    <tableColumn id="15611" xr3:uid="{23C6B181-77BF-47E3-9DB8-B29C43C6DC89}" name="Column15611"/>
    <tableColumn id="15612" xr3:uid="{3BF89EAC-DDE9-4B7A-B5DF-C41D060D1A94}" name="Column15612"/>
    <tableColumn id="15613" xr3:uid="{F07F5418-EC3D-4A2B-B4FB-97D7577E315B}" name="Column15613"/>
    <tableColumn id="15614" xr3:uid="{583FA49A-901D-433C-9450-606B7F5B35F8}" name="Column15614"/>
    <tableColumn id="15615" xr3:uid="{DAF2AF24-147E-463D-92E9-97C0D5C63792}" name="Column15615"/>
    <tableColumn id="15616" xr3:uid="{69F5DD20-D224-46DE-9E27-5CB36F609DE5}" name="Column15616"/>
    <tableColumn id="15617" xr3:uid="{E8589580-42A9-4DBB-A631-F02AF8517180}" name="Column15617"/>
    <tableColumn id="15618" xr3:uid="{8F56121E-76FD-4BA6-9169-0D2BCCAE409F}" name="Column15618"/>
    <tableColumn id="15619" xr3:uid="{65994E5B-8C94-4956-8933-76CC6AF9202C}" name="Column15619"/>
    <tableColumn id="15620" xr3:uid="{0CE63002-6053-4ABA-9A07-F892A9C987F5}" name="Column15620"/>
    <tableColumn id="15621" xr3:uid="{4FFE2CF2-D610-4125-A3C8-D174886C2288}" name="Column15621"/>
    <tableColumn id="15622" xr3:uid="{E8AE5686-D5CD-4270-9D8F-B7EA9A49BF5A}" name="Column15622"/>
    <tableColumn id="15623" xr3:uid="{D3D46F2B-483F-4AEF-B3E1-969A9A5D60FD}" name="Column15623"/>
    <tableColumn id="15624" xr3:uid="{02FB82A5-220D-4C46-894D-02489C335924}" name="Column15624"/>
    <tableColumn id="15625" xr3:uid="{2F6E5C3B-A540-4CD5-86EC-96BF107C8EE3}" name="Column15625"/>
    <tableColumn id="15626" xr3:uid="{27B9361F-D75B-4988-9AC5-5430E0E3A597}" name="Column15626"/>
    <tableColumn id="15627" xr3:uid="{DABF6B11-FDC4-4334-8B6C-F903C5046CAE}" name="Column15627"/>
    <tableColumn id="15628" xr3:uid="{9E67DCDF-1BE9-456A-9A86-FE675470C1C6}" name="Column15628"/>
    <tableColumn id="15629" xr3:uid="{4C8015ED-0108-4AC9-A21B-D30ED3256B71}" name="Column15629"/>
    <tableColumn id="15630" xr3:uid="{50F5A3F9-3DEE-429F-B42A-CEC1F02630FD}" name="Column15630"/>
    <tableColumn id="15631" xr3:uid="{88477DC2-B9B9-4F21-8F37-C7CF0ED96DB7}" name="Column15631"/>
    <tableColumn id="15632" xr3:uid="{4967B477-22C6-4DAA-A621-63DE7FB454E0}" name="Column15632"/>
    <tableColumn id="15633" xr3:uid="{8BA940B5-A2EF-4F6F-8BFC-BF0749799C36}" name="Column15633"/>
    <tableColumn id="15634" xr3:uid="{A05E21CB-2D57-43A4-AD7B-089B813717E1}" name="Column15634"/>
    <tableColumn id="15635" xr3:uid="{54B3B7DE-B4E4-471E-A2F8-5289AA494202}" name="Column15635"/>
    <tableColumn id="15636" xr3:uid="{709D10DC-0BE9-402F-9319-32982013C176}" name="Column15636"/>
    <tableColumn id="15637" xr3:uid="{E7696221-F834-404D-B936-D723E84B27BF}" name="Column15637"/>
    <tableColumn id="15638" xr3:uid="{945BB11D-82CB-4B1F-802C-9DD9C8BB1EBF}" name="Column15638"/>
    <tableColumn id="15639" xr3:uid="{FA212175-1DD9-4DF7-BCC1-C7DD25861266}" name="Column15639"/>
    <tableColumn id="15640" xr3:uid="{E8081E86-06C8-4935-887B-EC99A1CCB741}" name="Column15640"/>
    <tableColumn id="15641" xr3:uid="{9084F0D3-CC6B-4959-BDA3-10DDA4F1FA8B}" name="Column15641"/>
    <tableColumn id="15642" xr3:uid="{C42563E1-382B-4A12-8A58-5A9C6D96DADF}" name="Column15642"/>
    <tableColumn id="15643" xr3:uid="{B047F384-A4D5-4051-B8D9-ADF94CEB7C9B}" name="Column15643"/>
    <tableColumn id="15644" xr3:uid="{8EC80F3C-A46A-4C24-BB64-EC5D077D37AB}" name="Column15644"/>
    <tableColumn id="15645" xr3:uid="{89EF14A1-6FA9-4A4C-B25B-DB66D3007716}" name="Column15645"/>
    <tableColumn id="15646" xr3:uid="{145B0DF9-974B-4EA7-845D-FADECDDF492F}" name="Column15646"/>
    <tableColumn id="15647" xr3:uid="{0A72666B-690E-4D29-A70C-333CDABC4CCB}" name="Column15647"/>
    <tableColumn id="15648" xr3:uid="{3F596AF4-020E-4B31-B704-C946423F1F17}" name="Column15648"/>
    <tableColumn id="15649" xr3:uid="{80C52940-660C-4320-A7ED-F4700E3AC452}" name="Column15649"/>
    <tableColumn id="15650" xr3:uid="{30AADB78-044D-4A25-B6F5-4B5E80A1A0FC}" name="Column15650"/>
    <tableColumn id="15651" xr3:uid="{AFA1207C-9356-4058-B5F0-EDA4AD9A9664}" name="Column15651"/>
    <tableColumn id="15652" xr3:uid="{956F7441-377A-492A-86B4-71F53C3B738A}" name="Column15652"/>
    <tableColumn id="15653" xr3:uid="{F3A2CCB7-FF27-4C25-B3E2-916D9F149CF8}" name="Column15653"/>
    <tableColumn id="15654" xr3:uid="{F0363DF4-5182-4769-960F-0A44561DED0D}" name="Column15654"/>
    <tableColumn id="15655" xr3:uid="{DA3B9641-B0E9-4AA5-9828-27ED78F8F49C}" name="Column15655"/>
    <tableColumn id="15656" xr3:uid="{DF2D1145-6F0D-4942-8AEE-2B0CEE5787EA}" name="Column15656"/>
    <tableColumn id="15657" xr3:uid="{B0621287-B539-4F16-AA1B-E755618B4DD2}" name="Column15657"/>
    <tableColumn id="15658" xr3:uid="{750CCF57-7768-4C27-AA07-20F69E6AC189}" name="Column15658"/>
    <tableColumn id="15659" xr3:uid="{5ED3752D-B078-43F0-B2D7-2AFE7BBE6A89}" name="Column15659"/>
    <tableColumn id="15660" xr3:uid="{12DB9D25-7B0B-4E01-BD5B-867ACB68C2FA}" name="Column15660"/>
    <tableColumn id="15661" xr3:uid="{8A2A00D0-D20C-4242-ACBA-2B86FDE751AA}" name="Column15661"/>
    <tableColumn id="15662" xr3:uid="{492F3429-0885-4D54-9206-0045A6F50FF3}" name="Column15662"/>
    <tableColumn id="15663" xr3:uid="{458D853C-879F-4693-BFDB-550044C73CBA}" name="Column15663"/>
    <tableColumn id="15664" xr3:uid="{9812A256-AA43-4977-8B79-B9AC0464BC7D}" name="Column15664"/>
    <tableColumn id="15665" xr3:uid="{63675E38-7496-4B64-8DB2-D4F3BB7CA2CE}" name="Column15665"/>
    <tableColumn id="15666" xr3:uid="{200D39F8-B3D7-425D-AD31-3AEB52B02BB0}" name="Column15666"/>
    <tableColumn id="15667" xr3:uid="{6A339DBA-94F6-46ED-8301-05529EC7F134}" name="Column15667"/>
    <tableColumn id="15668" xr3:uid="{7FCADF68-8457-4D92-AF52-D78F6F6A7D81}" name="Column15668"/>
    <tableColumn id="15669" xr3:uid="{9706F640-8B50-47BF-9163-8AFE5361F2A9}" name="Column15669"/>
    <tableColumn id="15670" xr3:uid="{6AF68070-7C52-4F63-9920-A96E3EC0616F}" name="Column15670"/>
    <tableColumn id="15671" xr3:uid="{B8807F7C-0A60-4B81-8315-36736D073E71}" name="Column15671"/>
    <tableColumn id="15672" xr3:uid="{31C0E911-9C98-4057-B088-3A7E8B57FA44}" name="Column15672"/>
    <tableColumn id="15673" xr3:uid="{47D425CE-05A4-4182-B0FF-96CE8C06F630}" name="Column15673"/>
    <tableColumn id="15674" xr3:uid="{06F2606A-AEBF-4BE7-8AB1-048556D7DCC9}" name="Column15674"/>
    <tableColumn id="15675" xr3:uid="{F5481834-E75B-4E73-A12A-5F8838327DB2}" name="Column15675"/>
    <tableColumn id="15676" xr3:uid="{262CE19C-8C48-4299-B514-408518FC1E17}" name="Column15676"/>
    <tableColumn id="15677" xr3:uid="{386E25FD-F2D6-4420-B483-F61B8593E219}" name="Column15677"/>
    <tableColumn id="15678" xr3:uid="{DD0BBD13-08CA-41FA-8C62-14A98148B846}" name="Column15678"/>
    <tableColumn id="15679" xr3:uid="{085A8DE8-5C41-4A4A-AE10-79F3AE50B04E}" name="Column15679"/>
    <tableColumn id="15680" xr3:uid="{F5606FD6-F5B2-4B29-8120-88243CBC55EC}" name="Column15680"/>
    <tableColumn id="15681" xr3:uid="{325AF52B-D848-4F58-A35B-E08BE19AB011}" name="Column15681"/>
    <tableColumn id="15682" xr3:uid="{EB4DBCC5-3300-4479-8F7C-7DCE2461E4F5}" name="Column15682"/>
    <tableColumn id="15683" xr3:uid="{03626914-AEBA-4253-A470-B89981180078}" name="Column15683"/>
    <tableColumn id="15684" xr3:uid="{79F008A4-EE69-49F6-B129-34CF413850E7}" name="Column15684"/>
    <tableColumn id="15685" xr3:uid="{F5E45694-F9A3-4A14-B939-7CEF5474C3F2}" name="Column15685"/>
    <tableColumn id="15686" xr3:uid="{0D4C2C26-E1F0-44A3-BAC4-C3C7C9B048EF}" name="Column15686"/>
    <tableColumn id="15687" xr3:uid="{CB250462-5DCE-45AC-8FB0-B8C7EFA4427C}" name="Column15687"/>
    <tableColumn id="15688" xr3:uid="{6FD5E010-D74C-4734-BD26-91E65D57FDAF}" name="Column15688"/>
    <tableColumn id="15689" xr3:uid="{33545E7D-C426-4D31-9FBD-88C1EB751140}" name="Column15689"/>
    <tableColumn id="15690" xr3:uid="{B8402754-0066-4C8A-928C-34EB88AB1373}" name="Column15690"/>
    <tableColumn id="15691" xr3:uid="{DF27554C-B555-4242-A394-23ED0C3009C6}" name="Column15691"/>
    <tableColumn id="15692" xr3:uid="{399F0412-E26C-448D-B623-2EC926986DF7}" name="Column15692"/>
    <tableColumn id="15693" xr3:uid="{3F649656-E4FD-47AE-90C8-027C0926A63A}" name="Column15693"/>
    <tableColumn id="15694" xr3:uid="{AFF11433-FCE4-4AC4-95B6-B4799DC5CFBA}" name="Column15694"/>
    <tableColumn id="15695" xr3:uid="{DF0148F7-89DA-47EC-B1A8-089C0CC86507}" name="Column15695"/>
    <tableColumn id="15696" xr3:uid="{1C2410E7-6D84-4CCA-9981-9E09DF1148EE}" name="Column15696"/>
    <tableColumn id="15697" xr3:uid="{F77D9D04-AEC3-44AF-A465-7E0B4146647D}" name="Column15697"/>
    <tableColumn id="15698" xr3:uid="{BFF85260-7A0D-4B49-86C2-E7CFEE5CF726}" name="Column15698"/>
    <tableColumn id="15699" xr3:uid="{A5F6B191-D7BE-4300-8A3F-ED4AA7C924D8}" name="Column15699"/>
    <tableColumn id="15700" xr3:uid="{3EF1FBD8-D4B7-4A68-A801-7C2EF393D7E9}" name="Column15700"/>
    <tableColumn id="15701" xr3:uid="{ED14D080-A85C-4FFD-967E-48A498094EA3}" name="Column15701"/>
    <tableColumn id="15702" xr3:uid="{9782078F-8B71-4A8E-ADCC-53A6E954F3CF}" name="Column15702"/>
    <tableColumn id="15703" xr3:uid="{AF102A48-43C3-4EB8-BA66-719A6D562355}" name="Column15703"/>
    <tableColumn id="15704" xr3:uid="{C05C15C6-DBB7-46B9-AE1D-5DBD242E3A0A}" name="Column15704"/>
    <tableColumn id="15705" xr3:uid="{ECE772DC-613B-4B7F-A86E-C82D9711C619}" name="Column15705"/>
    <tableColumn id="15706" xr3:uid="{E0A1C653-ED83-4F1C-BF63-FF04AA8D9DFE}" name="Column15706"/>
    <tableColumn id="15707" xr3:uid="{DBE58D0A-BB4E-4D17-9AEE-8798D8B8F8B8}" name="Column15707"/>
    <tableColumn id="15708" xr3:uid="{D832D1F8-AB01-4350-BA7E-805B4B9954B3}" name="Column15708"/>
    <tableColumn id="15709" xr3:uid="{6ED7E91B-9F8C-4C97-87AC-EE31E99F2214}" name="Column15709"/>
    <tableColumn id="15710" xr3:uid="{6091AE7F-A7F6-45B1-B074-F1B711C60C06}" name="Column15710"/>
    <tableColumn id="15711" xr3:uid="{864F8957-04DB-4DFE-91B8-CBE0C539E109}" name="Column15711"/>
    <tableColumn id="15712" xr3:uid="{C5C24708-331C-4B43-9CDE-B94D9DF06B87}" name="Column15712"/>
    <tableColumn id="15713" xr3:uid="{8E76A139-0C1E-487D-9CBB-2BE7A78557EE}" name="Column15713"/>
    <tableColumn id="15714" xr3:uid="{15E4AD4D-ADC6-4CB9-8E3F-B8686B1F1DB2}" name="Column15714"/>
    <tableColumn id="15715" xr3:uid="{5215FEF8-10C9-4AA4-82BA-8F57FDA97255}" name="Column15715"/>
    <tableColumn id="15716" xr3:uid="{D74F9D87-2B0B-4663-A042-595E47DCBB75}" name="Column15716"/>
    <tableColumn id="15717" xr3:uid="{C0B807FE-F6A1-4566-989D-7DC4B21DC187}" name="Column15717"/>
    <tableColumn id="15718" xr3:uid="{EFA14C0A-1FF2-45B8-AF55-93E3B1CB6B2C}" name="Column15718"/>
    <tableColumn id="15719" xr3:uid="{DBB663E6-F92A-4E8B-9687-2044551C310F}" name="Column15719"/>
    <tableColumn id="15720" xr3:uid="{41E710A3-3CEB-4918-99F6-02D68493C1D6}" name="Column15720"/>
    <tableColumn id="15721" xr3:uid="{2DF6F859-94D5-42A8-9835-4AF851877746}" name="Column15721"/>
    <tableColumn id="15722" xr3:uid="{5E851638-1098-41BF-B7A7-AACA3EB5CCEE}" name="Column15722"/>
    <tableColumn id="15723" xr3:uid="{3C647208-A279-4284-AAA1-26AA3B502CF5}" name="Column15723"/>
    <tableColumn id="15724" xr3:uid="{26E74D04-4B9F-469E-99F3-FD9834D65772}" name="Column15724"/>
    <tableColumn id="15725" xr3:uid="{B8B74303-CF3B-4895-ADC8-AABC49885915}" name="Column15725"/>
    <tableColumn id="15726" xr3:uid="{BC0268C5-E4F7-408F-9DFC-EA8CB893C7D8}" name="Column15726"/>
    <tableColumn id="15727" xr3:uid="{A8D936DA-8C6B-4217-A82D-2C3E191CF451}" name="Column15727"/>
    <tableColumn id="15728" xr3:uid="{18F470AB-F95F-4FE2-8040-AC52959F9D28}" name="Column15728"/>
    <tableColumn id="15729" xr3:uid="{26EDCE7F-F6C0-4DDA-8933-15180E386DF4}" name="Column15729"/>
    <tableColumn id="15730" xr3:uid="{51FF79A6-A39E-41DD-AAAD-85D6CC14D9F0}" name="Column15730"/>
    <tableColumn id="15731" xr3:uid="{80437A98-DE4C-4B00-A9F4-A9490182BAF9}" name="Column15731"/>
    <tableColumn id="15732" xr3:uid="{926AB461-E14A-4659-B269-9E0E08BA0CEE}" name="Column15732"/>
    <tableColumn id="15733" xr3:uid="{76247483-264B-40DE-8E21-449AEBC1F316}" name="Column15733"/>
    <tableColumn id="15734" xr3:uid="{3AB5A0B9-5B7E-4C4B-A9BA-548D3E28D84B}" name="Column15734"/>
    <tableColumn id="15735" xr3:uid="{BF073A50-F0FF-4931-AA25-BA158DD20029}" name="Column15735"/>
    <tableColumn id="15736" xr3:uid="{35A160FD-3FDA-43D6-B074-0AFD658AD5DB}" name="Column15736"/>
    <tableColumn id="15737" xr3:uid="{9BDCC261-27F3-4736-8B7F-83ABD956BA64}" name="Column15737"/>
    <tableColumn id="15738" xr3:uid="{B3061842-C2AD-4AAF-8846-D6ACCFE79A1A}" name="Column15738"/>
    <tableColumn id="15739" xr3:uid="{F3FF7028-6A2D-4894-AE5D-95BF889FCBF1}" name="Column15739"/>
    <tableColumn id="15740" xr3:uid="{690C074A-7A5F-4AC2-B595-A823276394DE}" name="Column15740"/>
    <tableColumn id="15741" xr3:uid="{8263AFB3-90C2-40FC-B582-E93B9DA37F6C}" name="Column15741"/>
    <tableColumn id="15742" xr3:uid="{C07617DA-6421-47F0-AAA7-BB29A2813A1A}" name="Column15742"/>
    <tableColumn id="15743" xr3:uid="{5CF7D415-240B-4E61-B05C-09890BDF3A6D}" name="Column15743"/>
    <tableColumn id="15744" xr3:uid="{B9AB06CA-1E42-46A8-B70E-42F9F398BBBE}" name="Column15744"/>
    <tableColumn id="15745" xr3:uid="{8772B675-E5B9-402A-99C7-3E6207A0E4B0}" name="Column15745"/>
    <tableColumn id="15746" xr3:uid="{E3E47303-E0CE-40E7-A1A6-120BEC0709A0}" name="Column15746"/>
    <tableColumn id="15747" xr3:uid="{589BA608-955C-42FC-A7C5-5F1C2CA65F99}" name="Column15747"/>
    <tableColumn id="15748" xr3:uid="{7EE552DB-50CE-4037-8C9C-50788B83305E}" name="Column15748"/>
    <tableColumn id="15749" xr3:uid="{F78F4138-1084-4B9F-A53C-A34C194E5AB4}" name="Column15749"/>
    <tableColumn id="15750" xr3:uid="{2891921E-05E9-47A0-8179-F2B89804920C}" name="Column15750"/>
    <tableColumn id="15751" xr3:uid="{4083FA3E-BEE2-49DE-95A9-7B5D6D795B10}" name="Column15751"/>
    <tableColumn id="15752" xr3:uid="{D25033C4-EE83-44E6-A3FB-BA6DF8E07065}" name="Column15752"/>
    <tableColumn id="15753" xr3:uid="{3CABD94F-86C0-477D-A8C4-DE4AE13E0AC6}" name="Column15753"/>
    <tableColumn id="15754" xr3:uid="{9B0E8639-87A4-46F6-974E-7B5311452596}" name="Column15754"/>
    <tableColumn id="15755" xr3:uid="{31B6916B-ADE6-4905-94F8-5FC874C42775}" name="Column15755"/>
    <tableColumn id="15756" xr3:uid="{DA2AE42D-94F8-4D7D-9E94-2515C0242C45}" name="Column15756"/>
    <tableColumn id="15757" xr3:uid="{87C742AB-5E5D-4D63-8784-40923B0F489A}" name="Column15757"/>
    <tableColumn id="15758" xr3:uid="{9C5F5B41-9DC7-4FE8-A416-85E54E5210CF}" name="Column15758"/>
    <tableColumn id="15759" xr3:uid="{00F98685-F84C-498E-ABE8-D50FB995F1DC}" name="Column15759"/>
    <tableColumn id="15760" xr3:uid="{036F6B02-A23D-4987-AA94-AE282D5EB323}" name="Column15760"/>
    <tableColumn id="15761" xr3:uid="{2EB9165B-256D-4C7A-9DC9-BE507F3679A6}" name="Column15761"/>
    <tableColumn id="15762" xr3:uid="{20BC82F2-BCF8-49FD-A1B7-EE93630EAE11}" name="Column15762"/>
    <tableColumn id="15763" xr3:uid="{374F1D91-C293-4A25-90EA-F64C608DB99D}" name="Column15763"/>
    <tableColumn id="15764" xr3:uid="{EDC0C33C-3D97-493C-A021-4673EA417A81}" name="Column15764"/>
    <tableColumn id="15765" xr3:uid="{1E37055D-9E55-403C-93D8-AD55D879F62F}" name="Column15765"/>
    <tableColumn id="15766" xr3:uid="{A782AA65-5260-4858-A96F-B94563240294}" name="Column15766"/>
    <tableColumn id="15767" xr3:uid="{617E454F-60C5-4A3C-BEC3-7C901078DAA2}" name="Column15767"/>
    <tableColumn id="15768" xr3:uid="{8FFCCEEC-E859-4A7D-99E9-0717388C6C0A}" name="Column15768"/>
    <tableColumn id="15769" xr3:uid="{2F669791-47B4-472F-AF3A-BEAE134D7A2F}" name="Column15769"/>
    <tableColumn id="15770" xr3:uid="{4461D7B5-A66A-4EDE-9E85-36C78375C929}" name="Column15770"/>
    <tableColumn id="15771" xr3:uid="{11A16DC9-32DC-40E6-87BA-AD80DF0DD3A3}" name="Column15771"/>
    <tableColumn id="15772" xr3:uid="{D3A12206-6A01-4FB4-A3EE-8BEE92B70D5D}" name="Column15772"/>
    <tableColumn id="15773" xr3:uid="{128D98A1-81D3-463E-BC1B-C557FC35D7AC}" name="Column15773"/>
    <tableColumn id="15774" xr3:uid="{23FC16D8-DD43-4A7B-9238-866B63BC4A89}" name="Column15774"/>
    <tableColumn id="15775" xr3:uid="{358DEB2F-7F30-4566-8B53-4B35F150AC53}" name="Column15775"/>
    <tableColumn id="15776" xr3:uid="{4AB0C8C8-FDA2-4DD4-B093-615869BFD91C}" name="Column15776"/>
    <tableColumn id="15777" xr3:uid="{2A89630F-DD0F-4CF1-ADFE-6258A4212A4E}" name="Column15777"/>
    <tableColumn id="15778" xr3:uid="{988F243B-A7A8-4B2B-B383-23E7AC6A5257}" name="Column15778"/>
    <tableColumn id="15779" xr3:uid="{E3CC7461-0BE0-461F-8CE9-A2D25578F634}" name="Column15779"/>
    <tableColumn id="15780" xr3:uid="{7E753443-2A20-4668-A468-0C350AA66BE9}" name="Column15780"/>
    <tableColumn id="15781" xr3:uid="{227DFC7B-7260-4CC2-A583-CEE41A4AF242}" name="Column15781"/>
    <tableColumn id="15782" xr3:uid="{416FDA03-350E-46A7-9660-9E99EEF674A6}" name="Column15782"/>
    <tableColumn id="15783" xr3:uid="{8C7DAB33-FE64-4A28-BA24-F0CD4C98F40D}" name="Column15783"/>
    <tableColumn id="15784" xr3:uid="{C7FBE588-8650-482C-89D7-E12710F3F3FD}" name="Column15784"/>
    <tableColumn id="15785" xr3:uid="{B6B869B6-F1DA-415B-B8DD-318BD7CCD57D}" name="Column15785"/>
    <tableColumn id="15786" xr3:uid="{33BEBA40-52FE-4AB9-A91C-0B831101A66B}" name="Column15786"/>
    <tableColumn id="15787" xr3:uid="{B7B7C6FB-D891-4185-87E6-CBC820C63993}" name="Column15787"/>
    <tableColumn id="15788" xr3:uid="{3D87F670-6618-4B83-A669-686656F7570A}" name="Column15788"/>
    <tableColumn id="15789" xr3:uid="{E388D856-6C9C-4BD7-A1A0-730DBB1A5B5B}" name="Column15789"/>
    <tableColumn id="15790" xr3:uid="{0BA18C28-7676-44D3-869D-FBC2D700A349}" name="Column15790"/>
    <tableColumn id="15791" xr3:uid="{BA21E332-D9D1-4EF6-A081-4B9C403A0840}" name="Column15791"/>
    <tableColumn id="15792" xr3:uid="{AB11DF27-6A5E-4772-82E9-D1FB256FCBB5}" name="Column15792"/>
    <tableColumn id="15793" xr3:uid="{99DFBE55-0D6E-4F42-8B4B-1FE30748028F}" name="Column15793"/>
    <tableColumn id="15794" xr3:uid="{6F02EDC9-5ACE-462D-ADFA-2396254C79E4}" name="Column15794"/>
    <tableColumn id="15795" xr3:uid="{56DA5D09-2263-467E-B1AA-FD3FE9F78928}" name="Column15795"/>
    <tableColumn id="15796" xr3:uid="{594E5BEC-637C-40B9-A983-3011FA415726}" name="Column15796"/>
    <tableColumn id="15797" xr3:uid="{93D2054D-8C12-414D-8B6A-9945A6C8E806}" name="Column15797"/>
    <tableColumn id="15798" xr3:uid="{6B24AA03-B3AE-4843-8ADC-7C27707B2C1D}" name="Column15798"/>
    <tableColumn id="15799" xr3:uid="{A30B634A-D9E8-4CD4-BB58-748390DF8604}" name="Column15799"/>
    <tableColumn id="15800" xr3:uid="{C03C12B3-0A17-4302-8271-2CE81F163E2B}" name="Column15800"/>
    <tableColumn id="15801" xr3:uid="{B0A7EDD2-DF67-4C49-9522-A7C86FCACFFA}" name="Column15801"/>
    <tableColumn id="15802" xr3:uid="{FC73B5C1-BB74-476A-B9DD-77597142ACB8}" name="Column15802"/>
    <tableColumn id="15803" xr3:uid="{84A29036-073D-4438-8EE9-5B67BF520E70}" name="Column15803"/>
    <tableColumn id="15804" xr3:uid="{E923639E-8CB7-4406-AA52-4A5CD2BB71BF}" name="Column15804"/>
    <tableColumn id="15805" xr3:uid="{EB3ADA87-7A5B-49F9-A6E4-57F196E78359}" name="Column15805"/>
    <tableColumn id="15806" xr3:uid="{6CB49F79-4949-442F-B1A8-CF1AB1ED14FA}" name="Column15806"/>
    <tableColumn id="15807" xr3:uid="{7307D8D9-2A57-4311-8DB0-02E0E4EFAC45}" name="Column15807"/>
    <tableColumn id="15808" xr3:uid="{5AF17C02-5FF1-4376-84B2-5B7688A41D3E}" name="Column15808"/>
    <tableColumn id="15809" xr3:uid="{845EDCD8-37E7-49B6-AE4F-07EF70AC7C13}" name="Column15809"/>
    <tableColumn id="15810" xr3:uid="{69174EE7-A7E9-4BA5-A653-98942200F4D3}" name="Column15810"/>
    <tableColumn id="15811" xr3:uid="{19F890D3-C5DA-40E8-92B5-07FE9EC28FB0}" name="Column15811"/>
    <tableColumn id="15812" xr3:uid="{3291D5D9-2C93-4C23-885D-0F2547BC9EA6}" name="Column15812"/>
    <tableColumn id="15813" xr3:uid="{9DA8013A-E763-46A3-B54A-D4EEBFA654E7}" name="Column15813"/>
    <tableColumn id="15814" xr3:uid="{A25BA458-791A-4ADC-82F5-AD59102EE75F}" name="Column15814"/>
    <tableColumn id="15815" xr3:uid="{98881E8F-C4FD-4B2C-8D5B-13F365F51521}" name="Column15815"/>
    <tableColumn id="15816" xr3:uid="{86BE658E-9307-459F-831A-EB6606170D7A}" name="Column15816"/>
    <tableColumn id="15817" xr3:uid="{F5F91731-B32C-4EF1-BFB9-9B3BE809B241}" name="Column15817"/>
    <tableColumn id="15818" xr3:uid="{61EF49B0-80DE-4F8F-A319-9A9993924C82}" name="Column15818"/>
    <tableColumn id="15819" xr3:uid="{C28045E7-23C9-448D-B081-D64B49D2D4DF}" name="Column15819"/>
    <tableColumn id="15820" xr3:uid="{3AE653F8-C55E-4FD9-A044-460B76C64758}" name="Column15820"/>
    <tableColumn id="15821" xr3:uid="{5A2CD42A-F34D-4C65-A6CA-73D99A69476F}" name="Column15821"/>
    <tableColumn id="15822" xr3:uid="{9F40C9FC-77A8-484F-AD6E-A71AF1F4E556}" name="Column15822"/>
    <tableColumn id="15823" xr3:uid="{67D47129-681D-415F-B272-A96CA7CEA906}" name="Column15823"/>
    <tableColumn id="15824" xr3:uid="{72553493-6AD9-408E-8DCD-9D7E57E3FB21}" name="Column15824"/>
    <tableColumn id="15825" xr3:uid="{63C90775-C282-47A2-9505-F60F5A0AE116}" name="Column15825"/>
    <tableColumn id="15826" xr3:uid="{1E5AFB5B-FB7C-4FBD-9582-391E90C9C49C}" name="Column15826"/>
    <tableColumn id="15827" xr3:uid="{765CCAA9-9A9F-4BD9-B2A3-152C907A0D3A}" name="Column15827"/>
    <tableColumn id="15828" xr3:uid="{AC0264F9-210E-49C5-A7B6-3F6F2644F703}" name="Column15828"/>
    <tableColumn id="15829" xr3:uid="{A6D1D3B3-D919-4BE0-9E56-9F58D2E5F188}" name="Column15829"/>
    <tableColumn id="15830" xr3:uid="{18F593E8-C1E6-4E50-9CAA-1868AEA447EE}" name="Column15830"/>
    <tableColumn id="15831" xr3:uid="{F04E0AF8-B7DE-482E-B0D9-27EF74310841}" name="Column15831"/>
    <tableColumn id="15832" xr3:uid="{4820F6D8-412F-4A5C-9BB2-CECD13719D45}" name="Column15832"/>
    <tableColumn id="15833" xr3:uid="{E99CF464-0890-48F8-912E-0055822B61EA}" name="Column15833"/>
    <tableColumn id="15834" xr3:uid="{D922600B-31A2-4BE7-8C96-18095F300F68}" name="Column15834"/>
    <tableColumn id="15835" xr3:uid="{6C7F4D7C-E7A5-412E-89DE-ED270F83C4DD}" name="Column15835"/>
    <tableColumn id="15836" xr3:uid="{505743CA-E744-41AE-9080-7E69072A2674}" name="Column15836"/>
    <tableColumn id="15837" xr3:uid="{10317AED-0C14-4A70-9AA7-B727D51C1068}" name="Column15837"/>
    <tableColumn id="15838" xr3:uid="{BEEF5C1C-CB7F-40D3-849C-0742B7316C00}" name="Column15838"/>
    <tableColumn id="15839" xr3:uid="{79FA966F-A405-480E-BC95-F7CED4859FB1}" name="Column15839"/>
    <tableColumn id="15840" xr3:uid="{843D396D-EA1B-4644-8769-5D2EAA39B51D}" name="Column15840"/>
    <tableColumn id="15841" xr3:uid="{F1F1DBBF-72C8-4633-A9CF-39563F2DCF60}" name="Column15841"/>
    <tableColumn id="15842" xr3:uid="{6775CC55-2467-42C0-B21D-D6A9981DB057}" name="Column15842"/>
    <tableColumn id="15843" xr3:uid="{DAE39620-6630-4B30-9C2E-C566EE19E7EC}" name="Column15843"/>
    <tableColumn id="15844" xr3:uid="{77901DB7-444C-476E-B8B9-1797480E6CF7}" name="Column15844"/>
    <tableColumn id="15845" xr3:uid="{DBCC87A7-BD8A-45A0-BF9D-86EF7F45FBEF}" name="Column15845"/>
    <tableColumn id="15846" xr3:uid="{B9CDB35D-D9D9-42C5-9B36-07322D61A677}" name="Column15846"/>
    <tableColumn id="15847" xr3:uid="{ABA47AB0-93C3-4702-81D6-B8F923AB5897}" name="Column15847"/>
    <tableColumn id="15848" xr3:uid="{07886742-EA25-4126-8189-23ABA461CDD2}" name="Column15848"/>
    <tableColumn id="15849" xr3:uid="{589DEF66-660A-4916-A211-14CE54D02B84}" name="Column15849"/>
    <tableColumn id="15850" xr3:uid="{713DA7C3-7C86-4C1B-B873-65861AB61A9D}" name="Column15850"/>
    <tableColumn id="15851" xr3:uid="{B400C732-2B18-4023-9DB1-1CD9649D2A08}" name="Column15851"/>
    <tableColumn id="15852" xr3:uid="{77705B22-2A9B-4BFA-BB21-1ECAE402C387}" name="Column15852"/>
    <tableColumn id="15853" xr3:uid="{BCC4CAF5-7874-4E7B-91A3-5FB47FC55D78}" name="Column15853"/>
    <tableColumn id="15854" xr3:uid="{FE652E88-933B-43AC-8405-0C860DDDE972}" name="Column15854"/>
    <tableColumn id="15855" xr3:uid="{B84AC3DC-BF81-4FBE-AF79-C81710264C53}" name="Column15855"/>
    <tableColumn id="15856" xr3:uid="{FC9E12B7-A846-4610-B00F-0926C23FBD27}" name="Column15856"/>
    <tableColumn id="15857" xr3:uid="{CC19147F-E01F-4524-A7B1-60FA94B2877B}" name="Column15857"/>
    <tableColumn id="15858" xr3:uid="{A8F23888-C063-45F9-B6CE-E48DE8EFA313}" name="Column15858"/>
    <tableColumn id="15859" xr3:uid="{A6B0D00E-101B-4E14-98E5-A3FD240F8892}" name="Column15859"/>
    <tableColumn id="15860" xr3:uid="{C41981DA-1EDC-4277-AC7C-E177E0CF3D50}" name="Column15860"/>
    <tableColumn id="15861" xr3:uid="{F8058B6B-CBFA-474A-8E78-8C2C0BA30342}" name="Column15861"/>
    <tableColumn id="15862" xr3:uid="{B5D1E2CF-3DF7-44E3-968D-A259DBADB669}" name="Column15862"/>
    <tableColumn id="15863" xr3:uid="{C8A72B7A-AAE3-4E1D-948A-6EEEC8AAED7F}" name="Column15863"/>
    <tableColumn id="15864" xr3:uid="{06FCAA61-3D47-48EE-92C8-97BF97F561ED}" name="Column15864"/>
    <tableColumn id="15865" xr3:uid="{1C78FB65-113E-422A-B45F-F190CEC9CDA6}" name="Column15865"/>
    <tableColumn id="15866" xr3:uid="{A088BDBC-666C-4247-935D-D46ABA4A1432}" name="Column15866"/>
    <tableColumn id="15867" xr3:uid="{294674DE-357B-467E-8798-4A2AD700EFE1}" name="Column15867"/>
    <tableColumn id="15868" xr3:uid="{D2C61D31-4F00-4AF7-B708-0FD151153109}" name="Column15868"/>
    <tableColumn id="15869" xr3:uid="{A4BA8AE4-B30C-4E17-8575-CBD5CB438144}" name="Column15869"/>
    <tableColumn id="15870" xr3:uid="{0E228A74-8D56-4FD0-B801-B58F57B6F8DC}" name="Column15870"/>
    <tableColumn id="15871" xr3:uid="{5195A4F0-11BD-4C94-91AD-0D91E90116B3}" name="Column15871"/>
    <tableColumn id="15872" xr3:uid="{7F8EC94B-CAE2-46C7-B470-5BE444CE6F48}" name="Column15872"/>
    <tableColumn id="15873" xr3:uid="{35260AD7-4439-4F65-8E5F-B7A956478C62}" name="Column15873"/>
    <tableColumn id="15874" xr3:uid="{84AE67DB-91E5-4B05-B8F5-85C6377E69F4}" name="Column15874"/>
    <tableColumn id="15875" xr3:uid="{8AD41512-FFDA-4440-BDEA-18C9953E35AF}" name="Column15875"/>
    <tableColumn id="15876" xr3:uid="{9F5DD364-E375-401A-A0DB-5496D95D1DF6}" name="Column15876"/>
    <tableColumn id="15877" xr3:uid="{F8E17A3F-B290-45C9-A195-E5CD14F124FF}" name="Column15877"/>
    <tableColumn id="15878" xr3:uid="{749E595A-0ED0-46F5-B74D-5B1FD84F71B3}" name="Column15878"/>
    <tableColumn id="15879" xr3:uid="{522E63DE-6E14-49C5-A4F5-97BC4E31CB9A}" name="Column15879"/>
    <tableColumn id="15880" xr3:uid="{8B9B4CC8-D973-443D-818C-F0E89B2A597D}" name="Column15880"/>
    <tableColumn id="15881" xr3:uid="{94924B87-8FC7-4EC3-BE7D-F1C48B3CD217}" name="Column15881"/>
    <tableColumn id="15882" xr3:uid="{49E90B2B-CF19-4CE5-82F0-9EA12E6880E5}" name="Column15882"/>
    <tableColumn id="15883" xr3:uid="{945ECFD1-35DB-4E92-A15B-4780C3A3A3DF}" name="Column15883"/>
    <tableColumn id="15884" xr3:uid="{7FBEDDAB-B719-417E-8EE9-C07B0647D516}" name="Column15884"/>
    <tableColumn id="15885" xr3:uid="{D83F6FEA-E612-4DBC-B31B-5D852F012840}" name="Column15885"/>
    <tableColumn id="15886" xr3:uid="{FBDED38A-210D-4E18-AB17-6115FDD77139}" name="Column15886"/>
    <tableColumn id="15887" xr3:uid="{BFF2DCC5-238C-4BE0-AEF2-F56F2495F4FD}" name="Column15887"/>
    <tableColumn id="15888" xr3:uid="{174138BB-2DED-4D4F-926B-FD0BF68EA990}" name="Column15888"/>
    <tableColumn id="15889" xr3:uid="{AF8DB99D-C268-41F7-A31F-57922B922600}" name="Column15889"/>
    <tableColumn id="15890" xr3:uid="{16EBF35E-A992-4B46-99AF-1641C28DD3EA}" name="Column15890"/>
    <tableColumn id="15891" xr3:uid="{6078337D-A62A-4639-9C97-389D0BA3AAB7}" name="Column15891"/>
    <tableColumn id="15892" xr3:uid="{3A4FD76B-0391-459E-9170-D887801C2581}" name="Column15892"/>
    <tableColumn id="15893" xr3:uid="{6C592E8B-023D-41DF-83C5-C0E80C78E81A}" name="Column15893"/>
    <tableColumn id="15894" xr3:uid="{A10AF397-D97F-4CA9-AB60-5F22E6266443}" name="Column15894"/>
    <tableColumn id="15895" xr3:uid="{BEF49A09-1422-42B2-84DC-00EC7459D79B}" name="Column15895"/>
    <tableColumn id="15896" xr3:uid="{694D9AA4-494E-49AE-88F3-FE84A2D702C0}" name="Column15896"/>
    <tableColumn id="15897" xr3:uid="{DBC75586-7C15-4C8B-87DD-D006646C09EC}" name="Column15897"/>
    <tableColumn id="15898" xr3:uid="{6B134A53-54A5-4A1C-9D06-CD3B35931478}" name="Column15898"/>
    <tableColumn id="15899" xr3:uid="{1D935467-9C4A-471E-B4ED-2AE0A01AB5A0}" name="Column15899"/>
    <tableColumn id="15900" xr3:uid="{0654F96C-BD11-46D2-B769-C6BC37D7248A}" name="Column15900"/>
    <tableColumn id="15901" xr3:uid="{0D72757F-7520-42A5-8FC3-E6AF3AAA6495}" name="Column15901"/>
    <tableColumn id="15902" xr3:uid="{5774AA95-335A-4326-B80B-7FB8EE96A3DC}" name="Column15902"/>
    <tableColumn id="15903" xr3:uid="{5DB35F82-9577-430E-A63B-6739108C9674}" name="Column15903"/>
    <tableColumn id="15904" xr3:uid="{2A59027C-E9F8-40DC-88CA-BBFA0D2BCA6C}" name="Column15904"/>
    <tableColumn id="15905" xr3:uid="{2B17E43F-14C9-4592-B894-01589F950DBB}" name="Column15905"/>
    <tableColumn id="15906" xr3:uid="{FF55EBC9-3285-4A99-A218-8AD5948B1305}" name="Column15906"/>
    <tableColumn id="15907" xr3:uid="{4A7CCA2B-5366-4D41-9949-016DD9CEBDCC}" name="Column15907"/>
    <tableColumn id="15908" xr3:uid="{0B0C037A-0DD8-4B71-8E89-5D506C52D1EA}" name="Column15908"/>
    <tableColumn id="15909" xr3:uid="{4E0A3CAA-3C85-40D0-AC35-A67F78B5240F}" name="Column15909"/>
    <tableColumn id="15910" xr3:uid="{28BDDBC7-A4D8-4B20-A042-B42DB6CF8C02}" name="Column15910"/>
    <tableColumn id="15911" xr3:uid="{6EAFF3AE-69FB-46A6-8D05-C7DE24FA38B5}" name="Column15911"/>
    <tableColumn id="15912" xr3:uid="{E75EC9E0-D10E-43D6-8139-A746BC68C2E6}" name="Column15912"/>
    <tableColumn id="15913" xr3:uid="{7656C710-8C38-4074-8D9A-DA86C412DA1F}" name="Column15913"/>
    <tableColumn id="15914" xr3:uid="{EA5F5CFB-C1CE-4354-9F46-AF363E94ED10}" name="Column15914"/>
    <tableColumn id="15915" xr3:uid="{82216C8A-CD34-4ED7-9B4C-944C5C40433C}" name="Column15915"/>
    <tableColumn id="15916" xr3:uid="{8AE59DFA-2EAD-4B6C-8296-1CEC20ED1EA3}" name="Column15916"/>
    <tableColumn id="15917" xr3:uid="{9583066E-F662-4D2B-A884-3AED13DF12B6}" name="Column15917"/>
    <tableColumn id="15918" xr3:uid="{7A658E8C-1355-4C47-B621-9E50074B6030}" name="Column15918"/>
    <tableColumn id="15919" xr3:uid="{E1B82A01-2ACB-47D7-B35E-9C522CE8F7D7}" name="Column15919"/>
    <tableColumn id="15920" xr3:uid="{F28F7789-3F2B-45EF-8674-A39F33797D6E}" name="Column15920"/>
    <tableColumn id="15921" xr3:uid="{5818D520-848D-4723-BFB0-A3FD881BE8A8}" name="Column15921"/>
    <tableColumn id="15922" xr3:uid="{B0A25E6A-3A9A-44B1-AB90-1B51B6746E07}" name="Column15922"/>
    <tableColumn id="15923" xr3:uid="{9E4A4A09-C71D-41BD-8F4B-66596FF76D2B}" name="Column15923"/>
    <tableColumn id="15924" xr3:uid="{CC129B1A-8EF3-49A3-9376-604DE03F5379}" name="Column15924"/>
    <tableColumn id="15925" xr3:uid="{1FCA5672-FE8A-49B8-BC78-B70CB7C04204}" name="Column15925"/>
    <tableColumn id="15926" xr3:uid="{C15A5D0E-92FF-43BC-B1B5-66B19C078B5A}" name="Column15926"/>
    <tableColumn id="15927" xr3:uid="{BCC402D3-4405-4A6F-8250-6509D98820BF}" name="Column15927"/>
    <tableColumn id="15928" xr3:uid="{9B0E9700-70C4-42AD-ADE0-0385B9C5B0AF}" name="Column15928"/>
    <tableColumn id="15929" xr3:uid="{10A1EA1F-7A8E-4A9C-B16C-BB2B4B5C6CCE}" name="Column15929"/>
    <tableColumn id="15930" xr3:uid="{34D4DED0-5BE8-4A7B-9DBC-806402D089F8}" name="Column15930"/>
    <tableColumn id="15931" xr3:uid="{99EA198C-E2F3-4447-8C9B-2B293EB05B2E}" name="Column15931"/>
    <tableColumn id="15932" xr3:uid="{A7561550-0165-4FFD-B1CB-97854266C806}" name="Column15932"/>
    <tableColumn id="15933" xr3:uid="{21F4F21C-9224-489D-9CB6-882820635EE8}" name="Column15933"/>
    <tableColumn id="15934" xr3:uid="{DAE95432-48E3-4812-89D4-07CCA8506F6F}" name="Column15934"/>
    <tableColumn id="15935" xr3:uid="{06BD304C-8F2E-4139-AD8E-38A99EA52D0D}" name="Column15935"/>
    <tableColumn id="15936" xr3:uid="{F67FA390-4195-433A-91EE-1D4316CC5C4C}" name="Column15936"/>
    <tableColumn id="15937" xr3:uid="{B3E03915-1F98-4436-B40D-E6D27DD2C7F8}" name="Column15937"/>
    <tableColumn id="15938" xr3:uid="{B4D9B886-F84E-4B03-BC20-325C054665C0}" name="Column15938"/>
    <tableColumn id="15939" xr3:uid="{1D0EE637-1469-43A9-8F29-E333A5D621F3}" name="Column15939"/>
    <tableColumn id="15940" xr3:uid="{038F0521-BBB4-411A-A1CF-3ACE23A3CFC0}" name="Column15940"/>
    <tableColumn id="15941" xr3:uid="{C3E6E26B-23AC-465B-90EC-40CB3CB80B95}" name="Column15941"/>
    <tableColumn id="15942" xr3:uid="{E4E3933A-9974-443E-886F-F56F007C0E71}" name="Column15942"/>
    <tableColumn id="15943" xr3:uid="{DA6F1785-097A-4E02-A217-F9B46E7BC836}" name="Column15943"/>
    <tableColumn id="15944" xr3:uid="{316D5C12-62C3-434F-9B7B-0F2C6B23EF03}" name="Column15944"/>
    <tableColumn id="15945" xr3:uid="{D0D6B5EF-93B6-4EB7-8751-26B8A2B8FD09}" name="Column15945"/>
    <tableColumn id="15946" xr3:uid="{ECAAEE3C-50BF-49FD-AA65-177F66637760}" name="Column15946"/>
    <tableColumn id="15947" xr3:uid="{8F71EE29-A743-4D73-9936-BBAE1858A0FC}" name="Column15947"/>
    <tableColumn id="15948" xr3:uid="{D2BA882A-813D-45DC-B7E6-FC383FBDBA30}" name="Column15948"/>
    <tableColumn id="15949" xr3:uid="{6A0ADE99-712D-47FB-95BD-EB5D9690BB63}" name="Column15949"/>
    <tableColumn id="15950" xr3:uid="{AE2470B9-A508-48E2-A925-D51D9D037D21}" name="Column15950"/>
    <tableColumn id="15951" xr3:uid="{198BFDF2-24B6-425B-894B-EB2E9B5969E2}" name="Column15951"/>
    <tableColumn id="15952" xr3:uid="{220E7EFA-0723-431F-89E5-3DD7F8918D34}" name="Column15952"/>
    <tableColumn id="15953" xr3:uid="{AF7C821B-2066-4249-878F-90F9A1DCBB1C}" name="Column15953"/>
    <tableColumn id="15954" xr3:uid="{9460C86A-70E9-4ABB-B82E-72C31526150F}" name="Column15954"/>
    <tableColumn id="15955" xr3:uid="{7B7BA9A9-94EC-45C6-9011-74B4AA744A94}" name="Column15955"/>
    <tableColumn id="15956" xr3:uid="{F7239F4C-A652-48BB-B02D-8237128EB359}" name="Column15956"/>
    <tableColumn id="15957" xr3:uid="{48CB36CF-2500-4700-B335-B34A443487F8}" name="Column15957"/>
    <tableColumn id="15958" xr3:uid="{8A9A3E9B-C8C2-437A-BE0C-486D4184D595}" name="Column15958"/>
    <tableColumn id="15959" xr3:uid="{DF54A3EE-C6D8-4B7C-A58A-A50DA9E2A6FF}" name="Column15959"/>
    <tableColumn id="15960" xr3:uid="{A1B40BA5-AC40-4E00-8A56-EF0B05483E9E}" name="Column15960"/>
    <tableColumn id="15961" xr3:uid="{F4BC36C3-384E-4AD1-8423-1F7F1B91F85B}" name="Column15961"/>
    <tableColumn id="15962" xr3:uid="{AFB9E5F6-398F-4AB3-8B07-2702D5CAD8C8}" name="Column15962"/>
    <tableColumn id="15963" xr3:uid="{20FD6CD3-B3E9-4518-AD87-3D421F9FC568}" name="Column15963"/>
    <tableColumn id="15964" xr3:uid="{A627DDF5-F8BF-4E0D-BF6D-3560D48C596F}" name="Column15964"/>
    <tableColumn id="15965" xr3:uid="{1FD03FA6-C6A6-4536-AACD-408F7E3C2929}" name="Column15965"/>
    <tableColumn id="15966" xr3:uid="{AFFA7687-D321-4D20-B566-F9EC3B545E4A}" name="Column15966"/>
    <tableColumn id="15967" xr3:uid="{F77ECE51-4B24-48D7-BED6-43503E8D8598}" name="Column15967"/>
    <tableColumn id="15968" xr3:uid="{32D499F8-5CF0-46ED-B882-7D994AEDA4C5}" name="Column15968"/>
    <tableColumn id="15969" xr3:uid="{85A5C763-03A5-450A-A6B7-740A7E5DFA25}" name="Column15969"/>
    <tableColumn id="15970" xr3:uid="{4A7B165E-4EF7-4A23-A2CA-586346A401B5}" name="Column15970"/>
    <tableColumn id="15971" xr3:uid="{2C98DF90-4507-4F67-9459-518678C20AC7}" name="Column15971"/>
    <tableColumn id="15972" xr3:uid="{02138C72-D858-4153-9B52-6B45578D94EA}" name="Column15972"/>
    <tableColumn id="15973" xr3:uid="{55F2E5C5-2A07-46AD-88B6-A6FD1C4B0652}" name="Column15973"/>
    <tableColumn id="15974" xr3:uid="{AF2B7907-0107-4128-8E1C-F30ECE3BA3CE}" name="Column15974"/>
    <tableColumn id="15975" xr3:uid="{5089D095-B9C7-401B-AA86-5EAF85E2AA0C}" name="Column15975"/>
    <tableColumn id="15976" xr3:uid="{7C2A7DB2-8F28-4520-AC85-F9F6193C49C0}" name="Column15976"/>
    <tableColumn id="15977" xr3:uid="{40840559-6D37-427B-8676-052B50EB1D78}" name="Column15977"/>
    <tableColumn id="15978" xr3:uid="{56418479-31CB-403E-8A1E-A93727A6556F}" name="Column15978"/>
    <tableColumn id="15979" xr3:uid="{548DC411-1CC5-4C18-A9FD-39A21BFCC9CB}" name="Column15979"/>
    <tableColumn id="15980" xr3:uid="{D4747D4E-2E21-4607-AA50-2D6E1FCD834E}" name="Column15980"/>
    <tableColumn id="15981" xr3:uid="{892AC6A8-BDA0-4EAD-9F0E-A96D15DC7AAC}" name="Column15981"/>
    <tableColumn id="15982" xr3:uid="{7EEBC07F-7EC2-42F8-8218-9E01A0C9B9D2}" name="Column15982"/>
    <tableColumn id="15983" xr3:uid="{AA7C345D-ADB0-4388-BB48-D2B3A4CBA9D6}" name="Column15983"/>
    <tableColumn id="15984" xr3:uid="{D994CADD-71B6-4F87-A791-D96E3D6434F6}" name="Column15984"/>
    <tableColumn id="15985" xr3:uid="{175F9028-A10D-4A9C-B724-14536321F025}" name="Column15985"/>
    <tableColumn id="15986" xr3:uid="{6178904C-3973-4673-8E02-BE310DBB6F6F}" name="Column15986"/>
    <tableColumn id="15987" xr3:uid="{A7A872CA-E8AA-4129-B07F-AEB7D833EB49}" name="Column15987"/>
    <tableColumn id="15988" xr3:uid="{9DA93238-29B5-4871-8A2A-6C73BBBAA3F0}" name="Column15988"/>
    <tableColumn id="15989" xr3:uid="{0CC93712-D94F-4171-A4B1-FC63FA0C7592}" name="Column15989"/>
    <tableColumn id="15990" xr3:uid="{0B44C0DB-5494-471B-B3E6-80011510ECA0}" name="Column15990"/>
    <tableColumn id="15991" xr3:uid="{F869AEA2-D385-48BA-95C1-4DA4793F60FE}" name="Column15991"/>
    <tableColumn id="15992" xr3:uid="{DBDD5E32-3827-4350-8257-2CA2D258F3EA}" name="Column15992"/>
    <tableColumn id="15993" xr3:uid="{9A0F6327-F3A7-40DB-9FA2-74FD953EC12A}" name="Column15993"/>
    <tableColumn id="15994" xr3:uid="{EB64C9AA-D56B-4D24-AEB7-378A82B0E1AE}" name="Column15994"/>
    <tableColumn id="15995" xr3:uid="{75367EE1-C953-4FD7-9950-51AD825FC612}" name="Column15995"/>
    <tableColumn id="15996" xr3:uid="{611E61A4-345E-41A7-9016-CCE0E4B4C4DE}" name="Column15996"/>
    <tableColumn id="15997" xr3:uid="{0335E11F-F975-46F2-9B2B-6A27B6CFE298}" name="Column15997"/>
    <tableColumn id="15998" xr3:uid="{44E8E101-93C7-40A3-843B-7AC7DCD2B915}" name="Column15998"/>
    <tableColumn id="15999" xr3:uid="{B27298D8-DC7C-4AF1-A5C0-92481A87BB29}" name="Column15999"/>
    <tableColumn id="16000" xr3:uid="{88FA491A-7717-4A3A-85E4-F3559E1D7615}" name="Column16000"/>
    <tableColumn id="16001" xr3:uid="{58704133-346D-403A-AAB6-01800AF5619D}" name="Column16001"/>
    <tableColumn id="16002" xr3:uid="{C3ECF2F7-C56E-496A-8AA7-4B3325D256DF}" name="Column16002"/>
    <tableColumn id="16003" xr3:uid="{DAFFD6DE-6B32-4C5A-8AEB-37A1DDBE50A1}" name="Column16003"/>
    <tableColumn id="16004" xr3:uid="{06BA7248-2CEC-488B-B159-A32F261F2373}" name="Column16004"/>
    <tableColumn id="16005" xr3:uid="{38E3EBC0-F412-4182-BF40-9D2C582964F2}" name="Column16005"/>
    <tableColumn id="16006" xr3:uid="{5DA3E3B6-854A-4002-8C1B-B1B0791BDA0D}" name="Column16006"/>
    <tableColumn id="16007" xr3:uid="{14E8CCAE-E3A1-4ECE-B9BB-E09AD3C65594}" name="Column16007"/>
    <tableColumn id="16008" xr3:uid="{E690961C-B257-4D56-9F7C-850C6ED86E03}" name="Column16008"/>
    <tableColumn id="16009" xr3:uid="{39F88848-D226-4F24-86B7-4DCBB0632753}" name="Column16009"/>
    <tableColumn id="16010" xr3:uid="{578A0968-E99E-4F53-B5AC-215BECF9253F}" name="Column16010"/>
    <tableColumn id="16011" xr3:uid="{F33D0D6E-8231-4BF1-B909-ABFE1CAB55B8}" name="Column16011"/>
    <tableColumn id="16012" xr3:uid="{6685F853-3DC9-4CB0-9523-378E76B9211C}" name="Column16012"/>
    <tableColumn id="16013" xr3:uid="{A203C563-AF01-4D96-88B6-CEDDCFD32907}" name="Column16013"/>
    <tableColumn id="16014" xr3:uid="{47D5EE4F-7372-4640-8C08-6C51893DE2D9}" name="Column16014"/>
    <tableColumn id="16015" xr3:uid="{FD8D26E3-2821-490E-8B74-E04B79D5A98C}" name="Column16015"/>
    <tableColumn id="16016" xr3:uid="{AF58A536-AD4D-4F11-87EB-80B7098A4C0A}" name="Column16016"/>
    <tableColumn id="16017" xr3:uid="{48DA0B12-FEAF-4E82-8648-4FAA333B1E96}" name="Column16017"/>
    <tableColumn id="16018" xr3:uid="{C1FB56B8-0B43-4C5F-9624-D20D082309C5}" name="Column16018"/>
    <tableColumn id="16019" xr3:uid="{B31AA79A-8AF5-438D-8F26-3197B8C3A53F}" name="Column16019"/>
    <tableColumn id="16020" xr3:uid="{86008FF1-F1C5-4620-98D1-B119D2D885E5}" name="Column16020"/>
    <tableColumn id="16021" xr3:uid="{43D9164C-8DF9-495C-A35F-69AAC83A2841}" name="Column16021"/>
    <tableColumn id="16022" xr3:uid="{5C23AA05-8098-4E3E-8E31-E8249C64B0BB}" name="Column16022"/>
    <tableColumn id="16023" xr3:uid="{CF791F96-BCEC-4E54-A5F4-C552DE0CFD01}" name="Column16023"/>
    <tableColumn id="16024" xr3:uid="{547134B8-0F88-4C74-BCB5-6D45EB2C8ED9}" name="Column16024"/>
    <tableColumn id="16025" xr3:uid="{39C16DD5-68EB-4954-A9B5-1CA7769C24D8}" name="Column16025"/>
    <tableColumn id="16026" xr3:uid="{B8691189-4BD6-4796-B979-79523A0B7A56}" name="Column16026"/>
    <tableColumn id="16027" xr3:uid="{AC63D194-ECC2-4D96-83A6-8C011F53F7F2}" name="Column16027"/>
    <tableColumn id="16028" xr3:uid="{55BC69F6-ACA4-4D5A-84CE-6377A02E283B}" name="Column16028"/>
    <tableColumn id="16029" xr3:uid="{7963B36D-3A7A-41AF-A6A5-4FFD0AA2C783}" name="Column16029"/>
    <tableColumn id="16030" xr3:uid="{E81C71B5-F36F-4CE6-B97A-9171AA5B22A3}" name="Column16030"/>
    <tableColumn id="16031" xr3:uid="{4638F1A7-71C4-45E3-AF10-722A9863D3DC}" name="Column16031"/>
    <tableColumn id="16032" xr3:uid="{372D642E-1404-4A22-92C9-6D7FF0A75055}" name="Column16032"/>
    <tableColumn id="16033" xr3:uid="{1AD9146D-631A-44FE-9D35-983965458E6B}" name="Column16033"/>
    <tableColumn id="16034" xr3:uid="{CB4F4073-240B-48AC-B66F-A8C6D1073C07}" name="Column16034"/>
    <tableColumn id="16035" xr3:uid="{5355E56C-613D-4D94-945B-298BBCA75FD5}" name="Column16035"/>
    <tableColumn id="16036" xr3:uid="{7A89B8F6-32B1-48C9-BD44-981892ED456A}" name="Column16036"/>
    <tableColumn id="16037" xr3:uid="{CCC8C621-9E4F-427B-B58A-F93B8ECA44F4}" name="Column16037"/>
    <tableColumn id="16038" xr3:uid="{3CE11790-5A9F-44C5-B801-819342852C35}" name="Column16038"/>
    <tableColumn id="16039" xr3:uid="{4179500F-1E22-43F5-895F-71A65CAE0714}" name="Column16039"/>
    <tableColumn id="16040" xr3:uid="{33EAECBA-C3C0-4D92-B4E2-8B862796691A}" name="Column16040"/>
    <tableColumn id="16041" xr3:uid="{938F5AD6-04EF-48FE-BCC7-629D017463FA}" name="Column16041"/>
    <tableColumn id="16042" xr3:uid="{8D86EC9F-02BD-4705-9253-D28E07A2BA69}" name="Column16042"/>
    <tableColumn id="16043" xr3:uid="{852A6C38-97C1-43EC-9798-597FB59F48BE}" name="Column16043"/>
    <tableColumn id="16044" xr3:uid="{A4FC22B4-3B36-49A7-8030-9B33BE508D4E}" name="Column16044"/>
    <tableColumn id="16045" xr3:uid="{B35B4538-C3AD-4728-B575-E3BCC19D09F6}" name="Column16045"/>
    <tableColumn id="16046" xr3:uid="{84C123F1-32AB-4C11-A2E6-839CB61C4CF2}" name="Column16046"/>
    <tableColumn id="16047" xr3:uid="{2022D761-9E14-4BC7-89B3-185360BD6A8A}" name="Column16047"/>
    <tableColumn id="16048" xr3:uid="{02D1B75C-D0A7-42D2-AB09-5AEBC818D1D7}" name="Column16048"/>
    <tableColumn id="16049" xr3:uid="{C113E6EE-3E9E-4B84-A669-098EE36C363D}" name="Column16049"/>
    <tableColumn id="16050" xr3:uid="{36AA86C5-603D-4D77-8F58-FCF7C133793B}" name="Column16050"/>
    <tableColumn id="16051" xr3:uid="{37F27C48-29A9-4FDC-A997-B7D8F632C98A}" name="Column16051"/>
    <tableColumn id="16052" xr3:uid="{2B78460B-6D71-4B85-AD2D-26B4A39077FC}" name="Column16052"/>
    <tableColumn id="16053" xr3:uid="{E04C582E-E8D2-4E6A-A4E8-D196BFF62AA5}" name="Column16053"/>
    <tableColumn id="16054" xr3:uid="{F1D64EC1-9A0B-41E9-9246-51A21D5F82C9}" name="Column16054"/>
    <tableColumn id="16055" xr3:uid="{527DBA20-607C-421B-9EF5-E332B7812AC6}" name="Column16055"/>
    <tableColumn id="16056" xr3:uid="{28937DBD-8306-4091-9F33-4710978EB5D1}" name="Column16056"/>
    <tableColumn id="16057" xr3:uid="{DA892338-ECEA-45B5-A326-D295AEDF8F7A}" name="Column16057"/>
    <tableColumn id="16058" xr3:uid="{28840D65-9DF4-4587-83BB-A3D27FB27359}" name="Column16058"/>
    <tableColumn id="16059" xr3:uid="{19F9CF32-DDA5-4DF5-A63B-6D3F56D3FCFA}" name="Column16059"/>
    <tableColumn id="16060" xr3:uid="{BA3CE2B0-E74B-476B-9431-8304719BFD0A}" name="Column16060"/>
    <tableColumn id="16061" xr3:uid="{6E55390E-39FE-41D9-BE9C-16400C526AEA}" name="Column16061"/>
    <tableColumn id="16062" xr3:uid="{1F90AA1B-4B60-401F-8EBE-D72F19EB46EF}" name="Column16062"/>
    <tableColumn id="16063" xr3:uid="{007A6A9B-AACA-4FAF-B969-C4E6B859953B}" name="Column16063"/>
    <tableColumn id="16064" xr3:uid="{5D1D380E-2DB2-414F-AC7A-62433E255563}" name="Column16064"/>
    <tableColumn id="16065" xr3:uid="{654388E7-FB6F-4400-9E5D-04F78F6A7152}" name="Column16065"/>
    <tableColumn id="16066" xr3:uid="{55C990D7-DCC1-4249-BFCE-697DFF84AB4A}" name="Column16066"/>
    <tableColumn id="16067" xr3:uid="{317287DC-811F-45B2-A2F3-EAC141EAAD39}" name="Column16067"/>
    <tableColumn id="16068" xr3:uid="{83FA7FE7-1F40-4B8A-9700-9CDA41A2DA51}" name="Column16068"/>
    <tableColumn id="16069" xr3:uid="{8ED9C9CF-FDE8-44C0-B811-AEAF638542B6}" name="Column16069"/>
    <tableColumn id="16070" xr3:uid="{C8DEFCD5-1D03-4ADD-9EFC-FB7BE95C3C65}" name="Column16070"/>
    <tableColumn id="16071" xr3:uid="{5C52234E-E4F3-4E92-B8B4-3C297CBA47E5}" name="Column16071"/>
    <tableColumn id="16072" xr3:uid="{67FAD10B-BDD7-43F6-8101-E3F010CBDAF5}" name="Column16072"/>
    <tableColumn id="16073" xr3:uid="{884E8543-FC19-496E-B062-A8811443AF5E}" name="Column16073"/>
    <tableColumn id="16074" xr3:uid="{2885F0F4-4E52-4AD0-98B5-06515D9DAED2}" name="Column16074"/>
    <tableColumn id="16075" xr3:uid="{5C41A7B4-7767-4419-8C58-D9A06B7D1F4A}" name="Column16075"/>
    <tableColumn id="16076" xr3:uid="{3F220F74-55CC-4458-AAAC-9755EEDC2612}" name="Column16076"/>
    <tableColumn id="16077" xr3:uid="{B3EE57C1-12CE-4D0F-8848-475C8977C5EC}" name="Column16077"/>
    <tableColumn id="16078" xr3:uid="{94332E8F-5FED-49C4-8DC9-92C787106FE8}" name="Column16078"/>
    <tableColumn id="16079" xr3:uid="{E3A1FA4A-A479-4674-B637-7389B50F0ADD}" name="Column16079"/>
    <tableColumn id="16080" xr3:uid="{BA58D9A8-3127-4BE5-A4E0-152F24930A71}" name="Column16080"/>
    <tableColumn id="16081" xr3:uid="{CAA15ABD-65CC-4B43-AE2A-73E2C06522DD}" name="Column16081"/>
    <tableColumn id="16082" xr3:uid="{FCC94E4E-E196-43F3-9891-DF2FE30912EC}" name="Column16082"/>
    <tableColumn id="16083" xr3:uid="{BC1D66F7-06EE-49B6-A07B-EFAB37CBD7F6}" name="Column16083"/>
    <tableColumn id="16084" xr3:uid="{4BFA63E6-0EA8-4446-B9C3-094346DE7B55}" name="Column16084"/>
    <tableColumn id="16085" xr3:uid="{88B18518-3C31-4604-AB80-EB1B78487B20}" name="Column16085"/>
    <tableColumn id="16086" xr3:uid="{E84A20D7-5365-4870-A953-8AB8B57C6157}" name="Column16086"/>
    <tableColumn id="16087" xr3:uid="{B50C2A97-F6B6-4019-898A-8C4C192FC2E0}" name="Column16087"/>
    <tableColumn id="16088" xr3:uid="{1E4B37F1-F78A-479F-8447-DCA59954466F}" name="Column16088"/>
    <tableColumn id="16089" xr3:uid="{8AFB7A35-D03D-43C0-8656-748E7315AB8B}" name="Column16089"/>
    <tableColumn id="16090" xr3:uid="{BA1BEBF4-CEFB-4193-9F00-EC570B53762E}" name="Column16090"/>
    <tableColumn id="16091" xr3:uid="{3DF4D33D-5F2B-44EE-9FED-D11F81FCE130}" name="Column16091"/>
    <tableColumn id="16092" xr3:uid="{F7E74655-A854-4219-99A9-BD0BE31D1EEC}" name="Column16092"/>
    <tableColumn id="16093" xr3:uid="{E237EFF6-15D1-4D0C-A227-CF8AFCD05221}" name="Column16093"/>
    <tableColumn id="16094" xr3:uid="{922FD212-8D9A-485E-93AF-03F8D2B60363}" name="Column16094"/>
    <tableColumn id="16095" xr3:uid="{4AF71157-04C2-46DC-A5AA-23210D14969D}" name="Column16095"/>
    <tableColumn id="16096" xr3:uid="{82A77653-F594-4263-81F9-2A1A967B47FD}" name="Column16096"/>
    <tableColumn id="16097" xr3:uid="{C1DA3AAF-7257-484A-9771-4C21950FEA12}" name="Column16097"/>
    <tableColumn id="16098" xr3:uid="{A3102862-D1A0-4C29-877F-69EF1EBF6AFF}" name="Column16098"/>
    <tableColumn id="16099" xr3:uid="{8B50393D-E62D-413E-B2BB-69668C10AF56}" name="Column16099"/>
    <tableColumn id="16100" xr3:uid="{8798AD29-8DB4-4C1F-A2D7-B38FD5F7030E}" name="Column16100"/>
    <tableColumn id="16101" xr3:uid="{D937DAB1-B24D-4814-B156-295AB4965CBC}" name="Column16101"/>
    <tableColumn id="16102" xr3:uid="{8DE30C87-7C5C-4940-A09C-14744C7227D1}" name="Column16102"/>
    <tableColumn id="16103" xr3:uid="{DEC90539-863A-42EF-ABB2-AD1998A8C082}" name="Column16103"/>
    <tableColumn id="16104" xr3:uid="{78233FBF-E854-4ADB-B10D-0F6A98378FBF}" name="Column16104"/>
    <tableColumn id="16105" xr3:uid="{3B19A101-01D9-48DF-9A16-31F397E6E3C4}" name="Column16105"/>
    <tableColumn id="16106" xr3:uid="{C7CC1AE9-9636-4DFE-B599-2D409FE6848C}" name="Column16106"/>
    <tableColumn id="16107" xr3:uid="{8F517374-A377-4046-8F86-3A9859474EBD}" name="Column16107"/>
    <tableColumn id="16108" xr3:uid="{890E8F16-D028-4116-BC7C-A9DDE7AA1FF7}" name="Column16108"/>
    <tableColumn id="16109" xr3:uid="{0919B903-D07C-4FD7-A363-18BC1207C923}" name="Column16109"/>
    <tableColumn id="16110" xr3:uid="{929079D5-49E3-4F0D-ABE5-50E76DBDEFD5}" name="Column16110"/>
    <tableColumn id="16111" xr3:uid="{3A8CDF77-19AE-4B52-9AB9-6CD3E5C6CB87}" name="Column16111"/>
    <tableColumn id="16112" xr3:uid="{982D2A42-F339-4D9E-800B-CC688C9A0212}" name="Column16112"/>
    <tableColumn id="16113" xr3:uid="{E6D257F6-3C38-4221-AD73-BB82F7D22E1F}" name="Column16113"/>
    <tableColumn id="16114" xr3:uid="{709F5D3A-8983-4F68-A0CF-D6D5D08B7303}" name="Column16114"/>
    <tableColumn id="16115" xr3:uid="{72EDCFBE-5E0E-40A4-8EDA-C5E8F335EF7C}" name="Column16115"/>
    <tableColumn id="16116" xr3:uid="{8C793887-C417-4545-B288-045CF1F544A6}" name="Column16116"/>
    <tableColumn id="16117" xr3:uid="{1E566993-A763-49FD-B8BF-178FB8D9D518}" name="Column16117"/>
    <tableColumn id="16118" xr3:uid="{4B81A9E9-65B6-49D3-9622-8910421364ED}" name="Column16118"/>
    <tableColumn id="16119" xr3:uid="{04458E6E-65E3-4491-A1D6-2984FF0D0493}" name="Column16119"/>
    <tableColumn id="16120" xr3:uid="{CC33C616-865E-410B-98AA-E326EA8096C3}" name="Column16120"/>
    <tableColumn id="16121" xr3:uid="{780F1E16-8782-4810-8112-1C441460224C}" name="Column16121"/>
    <tableColumn id="16122" xr3:uid="{732F3789-7B9A-49E2-9559-4EC767B3397F}" name="Column16122"/>
    <tableColumn id="16123" xr3:uid="{7C1AE67F-8895-4FF6-B4E3-0A5CCC32A13D}" name="Column16123"/>
    <tableColumn id="16124" xr3:uid="{1EEF12E4-23B3-4966-9BCE-895D41E48A46}" name="Column16124"/>
    <tableColumn id="16125" xr3:uid="{30A27B2F-0F16-4617-A2FB-6AC9923EAD61}" name="Column16125"/>
    <tableColumn id="16126" xr3:uid="{228C32D4-292A-432E-B023-7531C721841F}" name="Column16126"/>
    <tableColumn id="16127" xr3:uid="{F0BDC864-E6C7-4602-9307-C3D7055FE811}" name="Column16127"/>
    <tableColumn id="16128" xr3:uid="{2FDD9008-2B0B-4EB2-BFD0-4236EE705F0C}" name="Column16128"/>
    <tableColumn id="16129" xr3:uid="{65C215EC-93F9-4FC7-B141-1D0054C4B169}" name="Column16129"/>
    <tableColumn id="16130" xr3:uid="{0361BA00-D4F7-488F-9BFE-8DE9447B8826}" name="Column16130"/>
    <tableColumn id="16131" xr3:uid="{3A13A36B-30E0-4814-B750-293295308560}" name="Column16131"/>
    <tableColumn id="16132" xr3:uid="{7D54A02C-1F3B-4C82-BB80-C08058377360}" name="Column16132"/>
    <tableColumn id="16133" xr3:uid="{8F004558-E98B-4789-8B2A-C73B7D25BEF0}" name="Column16133"/>
    <tableColumn id="16134" xr3:uid="{41052025-8646-43E9-8F8F-88DF0D8968E5}" name="Column16134"/>
    <tableColumn id="16135" xr3:uid="{2AF53D3E-F51B-401A-BE34-6984A66F5934}" name="Column16135"/>
    <tableColumn id="16136" xr3:uid="{4A154CE6-6D0B-4D49-8245-B8253DD4C52B}" name="Column16136"/>
    <tableColumn id="16137" xr3:uid="{327CF781-0EFF-4105-8A1C-36B776D2A110}" name="Column16137"/>
    <tableColumn id="16138" xr3:uid="{5A0841AD-E040-4A5F-A461-51E20DF69422}" name="Column16138"/>
    <tableColumn id="16139" xr3:uid="{655D52FA-2A73-4E91-8EC2-094384D8E485}" name="Column16139"/>
    <tableColumn id="16140" xr3:uid="{451975DC-AADD-447C-BF98-50E03C62A590}" name="Column16140"/>
    <tableColumn id="16141" xr3:uid="{E4F51E1F-EA97-424D-9C9A-98F5514DAB26}" name="Column16141"/>
    <tableColumn id="16142" xr3:uid="{FF8F83EE-84AE-4DF5-8421-DD6AD7505299}" name="Column16142"/>
    <tableColumn id="16143" xr3:uid="{0E0A6B15-F9BE-4226-9996-8DFBCF5D5182}" name="Column16143"/>
    <tableColumn id="16144" xr3:uid="{767FFCE0-45F0-4F6B-8B57-98FBF338FBDD}" name="Column16144"/>
    <tableColumn id="16145" xr3:uid="{3FA9ED19-0413-4A24-850A-00049752BA45}" name="Column16145"/>
    <tableColumn id="16146" xr3:uid="{77AEDFE2-36C9-4931-BA72-3BFCD98AC235}" name="Column16146"/>
    <tableColumn id="16147" xr3:uid="{7233A8E8-1828-4EE8-9489-D0DB1686EBC3}" name="Column16147"/>
    <tableColumn id="16148" xr3:uid="{3643279E-AD10-4258-8A20-943BCE9A9766}" name="Column16148"/>
    <tableColumn id="16149" xr3:uid="{329DBE2F-91C6-449A-8153-1C2AF5537B74}" name="Column16149"/>
    <tableColumn id="16150" xr3:uid="{1E18B86E-CFB4-4E5E-9A09-C16F4BC03C70}" name="Column16150"/>
    <tableColumn id="16151" xr3:uid="{41174F6B-8C2A-4B2C-A3C5-3787DB96A6E5}" name="Column16151"/>
    <tableColumn id="16152" xr3:uid="{9723F1CA-971B-4503-92C8-45B0F7E365B5}" name="Column16152"/>
    <tableColumn id="16153" xr3:uid="{D41A45B6-1911-4712-ADF6-B6100737C47C}" name="Column16153"/>
    <tableColumn id="16154" xr3:uid="{C82E0266-957A-4858-8184-CE61D9FC7D03}" name="Column16154"/>
    <tableColumn id="16155" xr3:uid="{6195D19E-B265-4426-A9EB-0E85EF4043D8}" name="Column16155"/>
    <tableColumn id="16156" xr3:uid="{4BC11A76-ADC3-45F2-B046-CFC7C0A4FF09}" name="Column16156"/>
    <tableColumn id="16157" xr3:uid="{53B71B87-FE8C-458A-9BB5-0610E3A3DD2A}" name="Column16157"/>
    <tableColumn id="16158" xr3:uid="{B8E221EC-76FB-42B7-AC01-CA288AF14C14}" name="Column16158"/>
    <tableColumn id="16159" xr3:uid="{2C6C4D8B-5944-4AEE-9309-D9C58607673D}" name="Column16159"/>
    <tableColumn id="16160" xr3:uid="{4F906CCD-4381-4ED0-9604-C27897F7915D}" name="Column16160"/>
    <tableColumn id="16161" xr3:uid="{91CB78CB-82F9-4F6C-AC3E-3EC2226CAC83}" name="Column16161"/>
    <tableColumn id="16162" xr3:uid="{659D53E1-952C-4B03-BFC7-FD7B301B1973}" name="Column16162"/>
    <tableColumn id="16163" xr3:uid="{1E391BD2-9234-4C66-A6E7-151832F92D6A}" name="Column16163"/>
    <tableColumn id="16164" xr3:uid="{9FAFA6A0-5298-4D69-8D21-17E41BA1E0D3}" name="Column16164"/>
    <tableColumn id="16165" xr3:uid="{1521C12F-9B57-4E84-B3D0-5F48BB9F6F26}" name="Column16165"/>
    <tableColumn id="16166" xr3:uid="{F3E8E34B-ABCA-4BA7-9570-D4EDAFB6BD08}" name="Column16166"/>
    <tableColumn id="16167" xr3:uid="{982D9A95-BE54-4F71-A8DE-82E075C265F8}" name="Column16167"/>
    <tableColumn id="16168" xr3:uid="{63C93472-5420-4A54-9F11-56402872E8F8}" name="Column16168"/>
    <tableColumn id="16169" xr3:uid="{09FC7D5F-F977-4194-97A4-47367F528DDA}" name="Column16169"/>
    <tableColumn id="16170" xr3:uid="{7F6BCF69-FBA3-42CB-8B40-CB07977DC684}" name="Column16170"/>
    <tableColumn id="16171" xr3:uid="{D23E17CA-2433-4203-A2E3-AEC451B75D15}" name="Column16171"/>
    <tableColumn id="16172" xr3:uid="{EDC96AF3-9DCA-4BAC-B22A-F2CADB4A12CF}" name="Column16172"/>
    <tableColumn id="16173" xr3:uid="{F3E9F85D-F79C-454C-8D50-0ECBA2A8F227}" name="Column16173"/>
    <tableColumn id="16174" xr3:uid="{6EAA6D5D-B58E-41A2-BD41-019133692C55}" name="Column16174"/>
    <tableColumn id="16175" xr3:uid="{74E471D0-DAB5-4689-A1E8-B077762BB18F}" name="Column16175"/>
    <tableColumn id="16176" xr3:uid="{A23119D6-EF58-40A2-A2B3-26005E5AD600}" name="Column16176"/>
    <tableColumn id="16177" xr3:uid="{EF721949-B64F-44D8-AB61-9D6289512226}" name="Column16177"/>
    <tableColumn id="16178" xr3:uid="{6D889CA3-C4DB-4492-A0B6-E267C59A0024}" name="Column16178"/>
    <tableColumn id="16179" xr3:uid="{48086265-343C-4B2B-B0CA-B84F808DDCAE}" name="Column16179"/>
    <tableColumn id="16180" xr3:uid="{6CC3D0D9-99DE-475B-8F0F-67F3C2CD8BC9}" name="Column16180"/>
    <tableColumn id="16181" xr3:uid="{29840E41-01BC-44D5-8304-31BB30EB1D56}" name="Column16181"/>
    <tableColumn id="16182" xr3:uid="{90057EDB-2269-4A02-BDBB-B814CC12C381}" name="Column16182"/>
    <tableColumn id="16183" xr3:uid="{76F1989E-A11C-4993-B8C8-DFCA30CDBDBB}" name="Column16183"/>
    <tableColumn id="16184" xr3:uid="{BE3641C3-7796-4D7B-AAB2-B2A3BFEDC08C}" name="Column16184"/>
    <tableColumn id="16185" xr3:uid="{01D587B1-94FC-46CD-88D9-253E02064327}" name="Column16185"/>
    <tableColumn id="16186" xr3:uid="{1150EBEE-3EBE-4EF7-9C70-1CF105002804}" name="Column16186"/>
    <tableColumn id="16187" xr3:uid="{C0367830-BF4D-4FBF-9E32-D83811B48335}" name="Column16187"/>
    <tableColumn id="16188" xr3:uid="{CBF43CB2-D0EC-4EB3-BF30-57F4C8DF411A}" name="Column16188"/>
    <tableColumn id="16189" xr3:uid="{5D15240A-F579-4CC3-AB55-1A22AB2138F0}" name="Column16189"/>
    <tableColumn id="16190" xr3:uid="{74516D17-3E01-4D81-A4FA-7BD274BF14FA}" name="Column16190"/>
    <tableColumn id="16191" xr3:uid="{B8BB4F31-9AA6-4BE7-9068-69DDA6BD0FF7}" name="Column16191"/>
    <tableColumn id="16192" xr3:uid="{C1A94221-974D-4E33-804C-6C7ED08F9BF2}" name="Column16192"/>
    <tableColumn id="16193" xr3:uid="{E7420E7C-CC6A-4E99-806B-AB20EA3298C5}" name="Column16193"/>
    <tableColumn id="16194" xr3:uid="{606A814B-FFE2-49B3-8069-18A825C60B84}" name="Column16194"/>
    <tableColumn id="16195" xr3:uid="{1EE18091-2CD2-4617-9590-3E78B502F656}" name="Column16195"/>
    <tableColumn id="16196" xr3:uid="{B651C3B2-A0CD-4DE1-93CE-DEB8D09442AF}" name="Column16196"/>
    <tableColumn id="16197" xr3:uid="{BBDAAB2B-E418-4158-B11B-98834FF786AD}" name="Column16197"/>
    <tableColumn id="16198" xr3:uid="{FD2544BC-353E-4F4E-B7B2-21EA1185DFA1}" name="Column16198"/>
    <tableColumn id="16199" xr3:uid="{8659A946-2E67-4674-A2C7-B58D77FF3473}" name="Column16199"/>
    <tableColumn id="16200" xr3:uid="{9D2FDEFB-F273-4E4A-A00B-1AA1C73CF724}" name="Column16200"/>
    <tableColumn id="16201" xr3:uid="{83AE6887-1905-4746-A93A-BEAC1B08A3D2}" name="Column16201"/>
    <tableColumn id="16202" xr3:uid="{79D6B0C0-0D83-4D2E-BD4A-EA4EAC935D2D}" name="Column16202"/>
    <tableColumn id="16203" xr3:uid="{83ACFE7F-DFFE-40D9-AEB1-CEFB7CB94809}" name="Column16203"/>
    <tableColumn id="16204" xr3:uid="{8EDBB3A9-47EF-4E58-8EFC-F7E245B18431}" name="Column16204"/>
    <tableColumn id="16205" xr3:uid="{DA121FE5-03CF-4664-81C7-A7B64FE8F8F1}" name="Column16205"/>
    <tableColumn id="16206" xr3:uid="{788662CD-7D92-4F34-B762-3EA44FE81B00}" name="Column16206"/>
    <tableColumn id="16207" xr3:uid="{1B335B62-5950-4D0F-A009-1BA679B0C2DC}" name="Column16207"/>
    <tableColumn id="16208" xr3:uid="{C1B70EB3-A89F-4090-8A2E-7ADB9997894D}" name="Column16208"/>
    <tableColumn id="16209" xr3:uid="{2CA33C52-3009-455F-85A3-806BE5775A58}" name="Column16209"/>
    <tableColumn id="16210" xr3:uid="{A0CD87BE-4805-4641-A568-2D3DB5A7579A}" name="Column16210"/>
    <tableColumn id="16211" xr3:uid="{B48898E9-975D-470B-90E6-1142D8CE898E}" name="Column16211"/>
    <tableColumn id="16212" xr3:uid="{67AA3B16-C00A-43A5-B685-FE2F09492FB9}" name="Column16212"/>
    <tableColumn id="16213" xr3:uid="{1F2AA678-AA2A-469A-A65D-C9D5F344B774}" name="Column16213"/>
    <tableColumn id="16214" xr3:uid="{6ACF336C-F4A8-4BC8-B117-C89519267323}" name="Column16214"/>
    <tableColumn id="16215" xr3:uid="{BADD660C-45D4-4C52-AC6D-AE6E9856B40C}" name="Column16215"/>
    <tableColumn id="16216" xr3:uid="{04757E6B-A510-4B16-ACC1-459AA4E0808C}" name="Column16216"/>
    <tableColumn id="16217" xr3:uid="{0FBDB180-62FE-47D4-BFF1-9904A441E957}" name="Column16217"/>
    <tableColumn id="16218" xr3:uid="{0250ACAB-E023-4BD5-8CD4-6D81C51065D4}" name="Column16218"/>
    <tableColumn id="16219" xr3:uid="{5221E1C2-3A2D-42DC-A964-86D9D9324126}" name="Column16219"/>
    <tableColumn id="16220" xr3:uid="{E3499BB0-881E-4235-9B95-A376C55F4036}" name="Column16220"/>
    <tableColumn id="16221" xr3:uid="{0DD0C110-38B1-4DC3-967F-A1A177788CAA}" name="Column16221"/>
    <tableColumn id="16222" xr3:uid="{D499C8E1-61C4-4FB8-AAB3-9F7CCF47D85C}" name="Column16222"/>
    <tableColumn id="16223" xr3:uid="{422E5B35-9BD5-4DB6-8CF4-5C0BBF82D092}" name="Column16223"/>
    <tableColumn id="16224" xr3:uid="{9635A649-6A7F-4846-B190-B7CFD1C735E1}" name="Column16224"/>
    <tableColumn id="16225" xr3:uid="{44AA32E3-88F4-4560-9261-6643E9A6D791}" name="Column16225"/>
    <tableColumn id="16226" xr3:uid="{B9DEE3E0-4AE6-4760-8B39-4EC036A4B3C1}" name="Column16226"/>
    <tableColumn id="16227" xr3:uid="{E52ACC3D-79A4-45BC-B1FB-362F8095C7DE}" name="Column16227"/>
    <tableColumn id="16228" xr3:uid="{777FC72B-12C1-49FC-A9D5-7209DE7C238B}" name="Column16228"/>
    <tableColumn id="16229" xr3:uid="{0328CEBA-B9E0-44D9-B519-73CD6B9AC6BD}" name="Column16229"/>
    <tableColumn id="16230" xr3:uid="{3CA2E7A3-9F14-40E2-909B-24CC971A2E2C}" name="Column16230"/>
    <tableColumn id="16231" xr3:uid="{FA30435A-1739-4D63-8C11-0436C24A7998}" name="Column16231"/>
    <tableColumn id="16232" xr3:uid="{E03A286F-D661-46EC-A2B1-D1DAB7AB7C44}" name="Column16232"/>
    <tableColumn id="16233" xr3:uid="{B0D248A2-AF21-43FC-A070-E1681197F614}" name="Column16233"/>
    <tableColumn id="16234" xr3:uid="{375DF4D0-377C-4D87-ABBD-AF674B45FA46}" name="Column16234"/>
    <tableColumn id="16235" xr3:uid="{1EEB92BE-1393-4000-9099-F07D8F48525A}" name="Column16235"/>
    <tableColumn id="16236" xr3:uid="{DE098186-8827-40C8-BCEB-F92E80A20246}" name="Column16236"/>
    <tableColumn id="16237" xr3:uid="{2CFDBEBD-DAA2-487A-94D2-DED0BDF50D3A}" name="Column16237"/>
    <tableColumn id="16238" xr3:uid="{F1698825-3EC0-4A31-8607-60E47CB6E236}" name="Column16238"/>
    <tableColumn id="16239" xr3:uid="{8B446BB8-BC5E-4079-862D-4579DCE9D5D5}" name="Column16239"/>
    <tableColumn id="16240" xr3:uid="{8A842F92-CB2E-4C5D-B25D-1F2FAFCE3945}" name="Column16240"/>
    <tableColumn id="16241" xr3:uid="{16BED62C-B64E-424E-A214-B6705E3461C9}" name="Column16241"/>
    <tableColumn id="16242" xr3:uid="{2E18F6CB-2A60-4A2F-81D0-B55A85A05567}" name="Column16242"/>
    <tableColumn id="16243" xr3:uid="{047AE5CA-D435-4AF3-929E-3ED7643E3A23}" name="Column16243"/>
    <tableColumn id="16244" xr3:uid="{47A7B4C4-B9FC-4C18-96ED-0E963AAB0777}" name="Column16244"/>
    <tableColumn id="16245" xr3:uid="{C01C7B38-D745-464D-86CA-95CA0D19BC14}" name="Column16245"/>
    <tableColumn id="16246" xr3:uid="{D49E7EEF-05E3-463E-9DE9-8D7E42211D18}" name="Column16246"/>
    <tableColumn id="16247" xr3:uid="{C19FDEE8-9EDF-4640-9115-D91887CB136C}" name="Column16247"/>
    <tableColumn id="16248" xr3:uid="{771B7CE1-D377-4C99-B3AB-8C72F90EEBAA}" name="Column16248"/>
    <tableColumn id="16249" xr3:uid="{FBDCDF32-347D-4A87-B045-F163E127D67C}" name="Column16249"/>
    <tableColumn id="16250" xr3:uid="{2504F507-7A90-48E7-9032-09E77B3F359A}" name="Column16250"/>
    <tableColumn id="16251" xr3:uid="{696CB288-76EA-4E23-B1A0-87A9E44A00CE}" name="Column16251"/>
    <tableColumn id="16252" xr3:uid="{95FCC143-1675-40F3-8821-BCABFCD0F1AE}" name="Column16252"/>
    <tableColumn id="16253" xr3:uid="{78B3B7B8-9D77-4BF5-9A24-BED6BFE87C4A}" name="Column16253"/>
    <tableColumn id="16254" xr3:uid="{FD5D878B-2DBD-456A-961E-87F3C087D99F}" name="Column16254"/>
    <tableColumn id="16255" xr3:uid="{DE43A691-A571-4730-9D1B-34DAA49AB368}" name="Column16255"/>
    <tableColumn id="16256" xr3:uid="{B8E2380A-ECCC-4561-96C6-D7081452F889}" name="Column16256"/>
    <tableColumn id="16257" xr3:uid="{A007693B-68CE-445B-B6FB-55D3BA420081}" name="Column16257"/>
    <tableColumn id="16258" xr3:uid="{5053B1D2-D552-46FA-8384-D588619FB8C9}" name="Column16258"/>
    <tableColumn id="16259" xr3:uid="{20FD45FC-4018-4EFC-9968-A7E5F934E475}" name="Column16259"/>
    <tableColumn id="16260" xr3:uid="{50F23FE3-6D25-4A02-A354-1A89E22312E9}" name="Column16260"/>
    <tableColumn id="16261" xr3:uid="{552553D7-1E65-46C4-A76F-A3486E6EDCD6}" name="Column16261"/>
    <tableColumn id="16262" xr3:uid="{E8EAD67F-8956-49A3-B363-4DD5239EBE38}" name="Column16262"/>
    <tableColumn id="16263" xr3:uid="{713E832E-889D-4191-9315-A9F346CEF512}" name="Column16263"/>
    <tableColumn id="16264" xr3:uid="{FA96A241-3A4E-43D1-96E6-4974C62F9D32}" name="Column16264"/>
    <tableColumn id="16265" xr3:uid="{CEAFB86E-709E-4E5D-901A-23A6FA6C74A4}" name="Column16265"/>
    <tableColumn id="16266" xr3:uid="{CEC7F35F-E3EC-41B7-9CAB-05D31C7E9A0F}" name="Column16266"/>
    <tableColumn id="16267" xr3:uid="{47CA6E6E-130F-45D9-9C67-10DE456975BB}" name="Column16267"/>
    <tableColumn id="16268" xr3:uid="{26A86922-0848-4952-B035-B9C7980F9E92}" name="Column16268"/>
    <tableColumn id="16269" xr3:uid="{9E2A63EE-64DF-41FA-BCB9-C2AD27C00D88}" name="Column16269"/>
    <tableColumn id="16270" xr3:uid="{90A0E650-DF63-4B18-85AC-61CA5D6705CD}" name="Column16270"/>
    <tableColumn id="16271" xr3:uid="{8A9D455D-9D07-4811-A36A-D116DEF4A19D}" name="Column16271"/>
    <tableColumn id="16272" xr3:uid="{E022F0B1-110C-4989-A78B-DD120FAB1DB5}" name="Column16272"/>
    <tableColumn id="16273" xr3:uid="{BA5A5608-10B8-405D-8614-CB3FBEF0F161}" name="Column16273"/>
    <tableColumn id="16274" xr3:uid="{ABA6E5D1-3BD0-429E-8DB4-159F7EFA031D}" name="Column16274"/>
    <tableColumn id="16275" xr3:uid="{F905B23D-5316-46FA-9E94-C66F193DAA3B}" name="Column16275"/>
    <tableColumn id="16276" xr3:uid="{693AC510-A458-4B17-A356-F19BC55CBB9B}" name="Column16276"/>
    <tableColumn id="16277" xr3:uid="{E04E77C7-70CC-422D-B01B-EFF5BBA2EF21}" name="Column16277"/>
    <tableColumn id="16278" xr3:uid="{0128FEFD-D98F-4EF0-9FEE-79C3C89E50D2}" name="Column16278"/>
    <tableColumn id="16279" xr3:uid="{C9B55F61-36B4-44D3-A50B-DD7A479D3A83}" name="Column16279"/>
    <tableColumn id="16280" xr3:uid="{53BF7F48-1CC0-48B2-BCA2-9CE08085A9F0}" name="Column16280"/>
    <tableColumn id="16281" xr3:uid="{39910D2A-72AF-400E-AB6C-7FAC7329C3DD}" name="Column16281"/>
    <tableColumn id="16282" xr3:uid="{E50801F8-9AB0-4E93-85D4-1C4C89638266}" name="Column16282"/>
    <tableColumn id="16283" xr3:uid="{1D7A7BDC-D7A1-4C73-91B4-804B36B8D7CD}" name="Column16283"/>
    <tableColumn id="16284" xr3:uid="{AA4146C2-1AEC-4EE2-A302-E21095209C21}" name="Column16284"/>
    <tableColumn id="16285" xr3:uid="{EE299995-A7B3-4D34-A022-3C608AB44B56}" name="Column16285"/>
    <tableColumn id="16286" xr3:uid="{7B89F0A0-01B2-4DA4-B11E-BE7E456CE88B}" name="Column16286"/>
    <tableColumn id="16287" xr3:uid="{2F3315A2-6840-4294-A680-97684387A83E}" name="Column16287"/>
    <tableColumn id="16288" xr3:uid="{FAB19286-3528-4363-BCA4-B027810E0E70}" name="Column16288"/>
    <tableColumn id="16289" xr3:uid="{DBC34899-F4B9-483A-8278-5044B5972AF0}" name="Column16289"/>
    <tableColumn id="16290" xr3:uid="{DA68CBA3-8CCF-4803-BB56-249F7145B111}" name="Column16290"/>
    <tableColumn id="16291" xr3:uid="{9FE10621-8040-415F-B18E-B553777FD5AD}" name="Column16291"/>
    <tableColumn id="16292" xr3:uid="{98310B92-17C3-43F4-87C9-B49938B0F1C3}" name="Column16292"/>
    <tableColumn id="16293" xr3:uid="{6794356C-18B6-4513-A85C-02DC8F467B9B}" name="Column16293"/>
    <tableColumn id="16294" xr3:uid="{CC257F7D-4352-44A0-A550-F2A99CE1F074}" name="Column16294"/>
    <tableColumn id="16295" xr3:uid="{1D97FF58-9204-49E9-A70E-8A20A87469D8}" name="Column16295"/>
    <tableColumn id="16296" xr3:uid="{463A4029-5E56-45DC-9233-0F8AE61469D3}" name="Column16296"/>
    <tableColumn id="16297" xr3:uid="{DEB1F443-FB59-4757-A6CB-4310ACE45581}" name="Column16297"/>
    <tableColumn id="16298" xr3:uid="{A6753AD1-EE27-4974-829F-FA8165BB730A}" name="Column16298"/>
    <tableColumn id="16299" xr3:uid="{F8387390-1535-489C-94FB-057AECB9E3D1}" name="Column16299"/>
    <tableColumn id="16300" xr3:uid="{B69DC0E9-B14D-48F1-BBEC-F54399F33A57}" name="Column16300"/>
    <tableColumn id="16301" xr3:uid="{BAA9F965-1D33-4DE4-8368-F9CE07F52EAA}" name="Column16301"/>
    <tableColumn id="16302" xr3:uid="{24D115B3-C883-4EF9-A078-760FCAB67130}" name="Column16302"/>
    <tableColumn id="16303" xr3:uid="{A5DA2315-ACF2-4B1A-B778-6D885B6BE1B0}" name="Column16303"/>
    <tableColumn id="16304" xr3:uid="{5E775C05-4806-4B7C-956D-4BB511A63A49}" name="Column16304"/>
    <tableColumn id="16305" xr3:uid="{5ADA287A-D7D5-47C1-B1CE-7168E009F346}" name="Column16305"/>
    <tableColumn id="16306" xr3:uid="{0DEB5F7E-C955-407E-8C29-85E901722123}" name="Column16306"/>
    <tableColumn id="16307" xr3:uid="{ED983584-8A93-43A2-BC51-8FD4DCA00B17}" name="Column16307"/>
    <tableColumn id="16308" xr3:uid="{EACC0B34-113B-47EB-9D75-2C47A58589A5}" name="Column16308"/>
    <tableColumn id="16309" xr3:uid="{9540A9E5-E310-4CCB-B7C6-70EE3B279408}" name="Column16309"/>
    <tableColumn id="16310" xr3:uid="{00DDDBAF-B2CF-41E0-B4ED-7560F8FD4A3E}" name="Column16310"/>
    <tableColumn id="16311" xr3:uid="{24CDB38E-8CC7-44BA-9C9D-EA0D8F0BE283}" name="Column16311"/>
    <tableColumn id="16312" xr3:uid="{8FEBE702-0F7C-40A2-A141-E2FA1484DBA2}" name="Column16312"/>
    <tableColumn id="16313" xr3:uid="{5EFD85D9-68BF-4409-B92B-06AD87EFE349}" name="Column16313"/>
    <tableColumn id="16314" xr3:uid="{B5A4B3FB-9F4E-41D4-A8DA-14B6F7567E1A}" name="Column16314"/>
    <tableColumn id="16315" xr3:uid="{282C0EB2-E97B-49F1-A0FA-9DD01BB023A4}" name="Column16315"/>
    <tableColumn id="16316" xr3:uid="{B39B6C0B-297F-42C9-A98E-820AA56786DE}" name="Column16316"/>
    <tableColumn id="16317" xr3:uid="{309AB581-811C-4E3E-AF4D-68D29812ABB9}" name="Column16317"/>
    <tableColumn id="16318" xr3:uid="{1A11844A-3999-46A9-97E6-0E2388FDD921}" name="Column16318"/>
    <tableColumn id="16319" xr3:uid="{3BCDB3F0-0BC0-4422-8A22-58BE0B22CE1A}" name="Column16319"/>
    <tableColumn id="16320" xr3:uid="{971BB7E0-2F8C-4851-B1A2-441A1C563F36}" name="Column16320"/>
    <tableColumn id="16321" xr3:uid="{926EF623-F4E0-4E00-9B24-26F39B2CD5C4}" name="Column16321"/>
    <tableColumn id="16322" xr3:uid="{D3178644-3256-4395-BDB7-2B2BC9467B00}" name="Column16322"/>
    <tableColumn id="16323" xr3:uid="{496B4B55-156D-48D7-BB1C-4FA5D6923A9E}" name="Column16323"/>
    <tableColumn id="16324" xr3:uid="{461717BC-13AC-488A-B6FA-133D0EF652FA}" name="Column16324"/>
    <tableColumn id="16325" xr3:uid="{CA92962B-0522-4845-B93A-33640E0D7F28}" name="Column16325"/>
    <tableColumn id="16326" xr3:uid="{B2CF210C-C438-438B-964A-3F981D5673DA}" name="Column16326"/>
    <tableColumn id="16327" xr3:uid="{1A5E23B9-FAA5-4D03-AD3E-1DD4889857D4}" name="Column16327"/>
    <tableColumn id="16328" xr3:uid="{ED6AC381-1571-4648-9C82-C62708F7B1C9}" name="Column16328"/>
    <tableColumn id="16329" xr3:uid="{7979C52B-E465-4BE9-A983-F8E63A29B178}" name="Column16329"/>
    <tableColumn id="16330" xr3:uid="{950A130F-6F3B-4AA7-976C-2E699DB9B345}" name="Column16330"/>
    <tableColumn id="16331" xr3:uid="{8EE96238-C473-4DD9-8261-71395F26A9E3}" name="Column16331"/>
    <tableColumn id="16332" xr3:uid="{527E7F90-6DD3-4AB4-B7CD-A80BC23D750F}" name="Column16332"/>
    <tableColumn id="16333" xr3:uid="{65206036-0AFB-4AE8-9F9E-00E1BAE5EF92}" name="Column16333"/>
    <tableColumn id="16334" xr3:uid="{CDAF1150-256C-49E3-9FF2-815275F2A2D9}" name="Column16334"/>
    <tableColumn id="16335" xr3:uid="{00803B71-7EEE-43C2-A2C7-36B94E2105BB}" name="Column16335"/>
    <tableColumn id="16336" xr3:uid="{ED462668-28E0-40F8-B7F9-061C291B0452}" name="Column16336"/>
    <tableColumn id="16337" xr3:uid="{5F5A9D68-BC13-4B19-A3CF-A978F77FD339}" name="Column16337"/>
    <tableColumn id="16338" xr3:uid="{8FBED709-BD2F-4048-A25F-0E84CD98C953}" name="Column16338"/>
    <tableColumn id="16339" xr3:uid="{A1EACA64-8B6C-4DA8-B649-5DE1E0066233}" name="Column16339"/>
    <tableColumn id="16340" xr3:uid="{EF594931-CB8E-4DF5-A85F-79D1D4C0C68B}" name="Column16340"/>
    <tableColumn id="16341" xr3:uid="{B1FF4B83-4DC8-4565-9CBC-A38254CB6323}" name="Column16341"/>
    <tableColumn id="16342" xr3:uid="{12EDF58B-F89E-4F3B-9CD9-E3C9CA26882E}" name="Column16342"/>
    <tableColumn id="16343" xr3:uid="{0A4A49DA-BE71-4A3B-8BAD-09BABD5F1EFE}" name="Column16343"/>
    <tableColumn id="16344" xr3:uid="{EBCB7D21-BFF3-40E8-98D5-4BD0639886A0}" name="Column16344"/>
    <tableColumn id="16345" xr3:uid="{EA4173EB-587F-4E81-97A9-500AB9A16089}" name="Column16345"/>
    <tableColumn id="16346" xr3:uid="{964CBE88-01A1-40FD-93B8-4C258939E9A7}" name="Column16346"/>
    <tableColumn id="16347" xr3:uid="{11FE211E-FEC4-45F4-9065-5B637935DF42}" name="Column16347"/>
    <tableColumn id="16348" xr3:uid="{0C2761BD-5BC0-4D32-9AF0-2F4367BDF1E2}" name="Column16348"/>
    <tableColumn id="16349" xr3:uid="{11594AA2-1DC2-4972-92AB-0C57D9623205}" name="Column16349"/>
    <tableColumn id="16350" xr3:uid="{C4AB9933-FB4C-4DEA-BBD0-E4C429FA12FA}" name="Column16350"/>
    <tableColumn id="16351" xr3:uid="{24DEA885-624F-4551-BB3E-4B74EA1268EB}" name="Column16351"/>
    <tableColumn id="16352" xr3:uid="{C9AB9364-6CBA-4351-B527-F66C99DFA6F5}" name="Column16352"/>
    <tableColumn id="16353" xr3:uid="{E4A920E7-8FAF-46D6-A741-4ECCD0F27719}" name="Column16353"/>
    <tableColumn id="16354" xr3:uid="{3A517A05-2A5C-4226-9161-BA887AA76AB7}" name="Column16354"/>
    <tableColumn id="16355" xr3:uid="{0B544DA5-BCAA-4882-BC29-B6CA9EBAC285}" name="Column16355"/>
    <tableColumn id="16356" xr3:uid="{11AFE55E-BF7F-4F8D-80D5-276217CC51E7}" name="Column16356"/>
    <tableColumn id="16357" xr3:uid="{D5991B44-84F9-4564-BF23-BAE325A065FB}" name="Column16357"/>
    <tableColumn id="16358" xr3:uid="{D25FF751-6448-4613-8698-F39B0606C9DE}" name="Column16358"/>
    <tableColumn id="16359" xr3:uid="{9690AC33-AE1E-4D98-931A-12F66BAFB417}" name="Column16359"/>
    <tableColumn id="16360" xr3:uid="{675CE985-583F-41D3-9078-5A3866701279}" name="Column16360"/>
    <tableColumn id="16361" xr3:uid="{FAE2B8CF-1FCF-42E2-9F53-466F35CA75AB}" name="Column16361"/>
    <tableColumn id="16362" xr3:uid="{A845E412-A3F0-448B-B1ED-D94D3DA346E3}" name="Column16362"/>
    <tableColumn id="16363" xr3:uid="{CA5A5243-AD13-4049-A7C8-97373DDA7A2B}" name="Column16363"/>
    <tableColumn id="16364" xr3:uid="{DCE923A7-3900-4D25-B25D-6D7897B67140}" name="Column16364"/>
    <tableColumn id="16365" xr3:uid="{AA85B3A3-1FDD-4C50-908B-49CA3FF63B82}" name="Column16365"/>
    <tableColumn id="16366" xr3:uid="{8D73A98E-327B-4D26-B6AC-09E1E816F54A}" name="Column16366"/>
    <tableColumn id="16367" xr3:uid="{DE35DBDE-BBBB-4311-B8FD-5EF1274181F1}" name="Column16367"/>
    <tableColumn id="16368" xr3:uid="{F4E453A5-90EF-4FB7-9A1B-BC4347A15EDC}" name="Column16368"/>
    <tableColumn id="16369" xr3:uid="{0F55169E-8CF5-4188-8414-E0B626CF5970}" name="Column16369"/>
    <tableColumn id="16370" xr3:uid="{F182D60B-B587-4139-9504-344D39DB83F0}" name="Column16370"/>
    <tableColumn id="16371" xr3:uid="{7663E2F6-21BB-4A38-8DF5-7AC9630E5FCA}" name="Column16371"/>
    <tableColumn id="16372" xr3:uid="{2FD37394-32D6-4859-A44C-CD0029191F77}" name="Column16372"/>
    <tableColumn id="16373" xr3:uid="{B1E43F72-5A2B-4449-ACC4-2094CBF9FA60}" name="Column16373"/>
    <tableColumn id="16374" xr3:uid="{595AD233-DCC5-45CC-AAE1-1DF415AC38E7}" name="Column16374"/>
    <tableColumn id="16375" xr3:uid="{F3B889BE-103F-4BA0-8FDE-7933D55EE057}" name="Column16375"/>
    <tableColumn id="16376" xr3:uid="{547CA9D7-B699-47C7-88C4-0B29EBD689AF}" name="Column16376"/>
    <tableColumn id="16377" xr3:uid="{E4817826-F42A-44A1-8BEE-9AB367C18C7B}" name="Column16377"/>
    <tableColumn id="16378" xr3:uid="{6C32FAA4-3AC4-4E0D-A890-2B7B88D98B89}" name="Column16378"/>
    <tableColumn id="16379" xr3:uid="{C6427189-D272-4DA9-9DCE-9C4B6530AE5F}" name="Column16379"/>
    <tableColumn id="16380" xr3:uid="{5526386C-A854-46F5-B0B8-6339B70BCA3C}" name="Column16380"/>
    <tableColumn id="16381" xr3:uid="{84B3DA54-1C70-45E1-8883-085A6F99C3C5}" name="Column16381"/>
    <tableColumn id="16382" xr3:uid="{B1ED40B6-B4AD-4114-A366-616DC9719B39}" name="Column16382"/>
    <tableColumn id="16383" xr3:uid="{12AD93A7-4C9D-4AFA-9144-77AE26ABD94B}" name="Column16383"/>
    <tableColumn id="16384" xr3:uid="{D25C2DAE-7824-4282-BD7A-3F7B77833782}" name="Column1638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4C8C01-E3BA-4E8D-9F7E-5B1A292554BA}" name="Table9" displayName="Table9" ref="A20:O32" totalsRowShown="0" dataDxfId="15" dataCellStyle="Percent">
  <autoFilter ref="A20:O32" xr:uid="{FB4C8C01-E3BA-4E8D-9F7E-5B1A292554BA}"/>
  <tableColumns count="15">
    <tableColumn id="1" xr3:uid="{1AB2F984-2298-4EE4-91B2-DF8B5E6F6805}" name="Row Labels" dataDxfId="14"/>
    <tableColumn id="2" xr3:uid="{DAC9A0DA-9525-4576-868A-25E792418249}" name="Average of Cereals and products" dataDxfId="13" dataCellStyle="Percent">
      <calculatedColumnFormula>(B4-B3)/B3</calculatedColumnFormula>
    </tableColumn>
    <tableColumn id="3" xr3:uid="{29E217C9-AFE3-4272-8B4A-528E9F4A42E9}" name="Average of Meat and fish" dataDxfId="12" dataCellStyle="Percent">
      <calculatedColumnFormula>(C4-C3)/C3</calculatedColumnFormula>
    </tableColumn>
    <tableColumn id="4" xr3:uid="{2AB72F49-C72E-472F-84C0-D566E1CC79C1}" name="Average of Egg" dataDxfId="11" dataCellStyle="Percent">
      <calculatedColumnFormula>(D4-D3)/D3</calculatedColumnFormula>
    </tableColumn>
    <tableColumn id="5" xr3:uid="{D855400D-B4C4-4761-8981-85F3AE9F7B90}" name="Average of Milk and products" dataDxfId="10" dataCellStyle="Percent">
      <calculatedColumnFormula>(E4-E3)/E3</calculatedColumnFormula>
    </tableColumn>
    <tableColumn id="6" xr3:uid="{FBDBD5B5-2693-40A1-87DF-A04986F9C85B}" name="Average of Oils and fats" dataDxfId="9" dataCellStyle="Percent">
      <calculatedColumnFormula>(F4-F3)/F3</calculatedColumnFormula>
    </tableColumn>
    <tableColumn id="7" xr3:uid="{B4ACD263-E731-4CCA-B26F-4A3B8BF8F42C}" name="Average of Fruits" dataDxfId="8" dataCellStyle="Percent">
      <calculatedColumnFormula>(G4-G3)/G3</calculatedColumnFormula>
    </tableColumn>
    <tableColumn id="8" xr3:uid="{EB7489DE-9726-4F1A-BA95-8C5A0CC8A426}" name="Average of Vegetables" dataDxfId="7" dataCellStyle="Percent">
      <calculatedColumnFormula>(H4-H3)/H3</calculatedColumnFormula>
    </tableColumn>
    <tableColumn id="9" xr3:uid="{5AACCD30-2B96-4779-B4A9-F3A9EE117EEB}" name="Average of Spices" dataDxfId="6" dataCellStyle="Percent">
      <calculatedColumnFormula>(I4-I3)/I3</calculatedColumnFormula>
    </tableColumn>
    <tableColumn id="10" xr3:uid="{104B956D-93C3-4CD7-B9B4-1F62BB8078E7}" name="Average of Pulses and products" dataDxfId="5" dataCellStyle="Percent">
      <calculatedColumnFormula>(J4-J3)/J3</calculatedColumnFormula>
    </tableColumn>
    <tableColumn id="11" xr3:uid="{3BE262C9-6835-476F-80DC-9835BE9B1287}" name="Average of Non-alcoholic beverages" dataDxfId="4" dataCellStyle="Percent">
      <calculatedColumnFormula>(K4-K3)/K3</calculatedColumnFormula>
    </tableColumn>
    <tableColumn id="12" xr3:uid="{94A3A29E-ECC5-419B-8596-2E15FCF8EA5E}" name="Average of Sugar and Confectionery" dataDxfId="3" dataCellStyle="Percent">
      <calculatedColumnFormula>(L4-L3)/L3</calculatedColumnFormula>
    </tableColumn>
    <tableColumn id="13" xr3:uid="{9C211CD9-AD92-4690-B759-0A2CCC251136}" name="Average of Food and beverages" dataDxfId="2" dataCellStyle="Percent">
      <calculatedColumnFormula>(M4-M3)/M3</calculatedColumnFormula>
    </tableColumn>
    <tableColumn id="14" xr3:uid="{787A03E4-D0FD-4DCB-9D4F-C138CB98EB2F}" name="Average of Prepared meals, s149.08cks, sweets etc." dataDxfId="1" dataCellStyle="Percent">
      <calculatedColumnFormula>(N4-N3)/N3</calculatedColumnFormula>
    </tableColumn>
    <tableColumn id="15" xr3:uid="{A1770C18-38A3-42C2-89A0-3378BE1AED93}" name="Column1" dataDxfId="0" dataCellStyle="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65303C2-862F-4F11-AE93-CC17B6DD8CD1}" name="Table10" displayName="Table10" ref="G218:H290" totalsRowShown="0">
  <autoFilter ref="G218:H290" xr:uid="{A65303C2-862F-4F11-AE93-CC17B6DD8CD1}"/>
  <tableColumns count="2">
    <tableColumn id="1" xr3:uid="{D025DD83-905E-441E-A891-74D8682FF168}" name="Year-Month"/>
    <tableColumn id="2" xr3:uid="{A30B6018-8726-408A-8801-D0B23514704C}" name="M-O-M Inflation">
      <calculatedColumnFormula>(All_India_Index_Upto_April23!H287-All_India_Index_Upto_April23!H286)/All_India_Index_Upto_April23!H286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B42A-56C7-4868-86ED-DAB1B93730C0}">
  <dimension ref="A1:AD373"/>
  <sheetViews>
    <sheetView topLeftCell="A356" workbookViewId="0">
      <selection activeCell="E15" sqref="E15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3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3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3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3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3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3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7195-3D03-48BF-9FA4-DB27CBB6988B}">
  <dimension ref="A1:AF373"/>
  <sheetViews>
    <sheetView topLeftCell="Q1" zoomScale="81" workbookViewId="0">
      <pane ySplit="1" topLeftCell="A92" activePane="bottomLeft" state="frozen"/>
      <selection pane="bottomLeft" activeCell="AC1" sqref="AC1"/>
    </sheetView>
  </sheetViews>
  <sheetFormatPr defaultRowHeight="14.4" x14ac:dyDescent="0.3"/>
  <cols>
    <col min="30" max="30" width="14.33203125" bestFit="1" customWidth="1"/>
    <col min="31" max="31" width="14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49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50</v>
      </c>
      <c r="AC1" t="s">
        <v>28</v>
      </c>
      <c r="AD1" t="s">
        <v>29</v>
      </c>
      <c r="AE1" t="s">
        <v>97</v>
      </c>
    </row>
    <row r="2" spans="1:32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>
        <v>139.26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  <c r="AE2" t="s">
        <v>98</v>
      </c>
      <c r="AF2" t="str">
        <f>TEXT(AE2, "YYYY-MM")</f>
        <v>2013-01</v>
      </c>
    </row>
    <row r="3" spans="1:32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  <c r="AE3" t="s">
        <v>98</v>
      </c>
      <c r="AF3" t="str">
        <f t="shared" ref="AF3:AF66" si="0">TEXT(AE3, "YYYY-MM")</f>
        <v>2013-01</v>
      </c>
    </row>
    <row r="4" spans="1:32" x14ac:dyDescent="0.3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  <c r="AE4" t="s">
        <v>98</v>
      </c>
      <c r="AF4" t="str">
        <f t="shared" si="0"/>
        <v>2013-01</v>
      </c>
    </row>
    <row r="5" spans="1:32" x14ac:dyDescent="0.3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>
        <v>139.26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  <c r="AE5" t="s">
        <v>99</v>
      </c>
      <c r="AF5" t="str">
        <f t="shared" si="0"/>
        <v>2013-02</v>
      </c>
    </row>
    <row r="6" spans="1:32" x14ac:dyDescent="0.3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  <c r="AE6" t="s">
        <v>99</v>
      </c>
      <c r="AF6" t="str">
        <f t="shared" si="0"/>
        <v>2013-02</v>
      </c>
    </row>
    <row r="7" spans="1:32" x14ac:dyDescent="0.3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  <c r="AE7" t="s">
        <v>99</v>
      </c>
      <c r="AF7" t="str">
        <f t="shared" si="0"/>
        <v>2013-02</v>
      </c>
    </row>
    <row r="8" spans="1:32" x14ac:dyDescent="0.3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>
        <v>139.26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  <c r="AE8" t="s">
        <v>100</v>
      </c>
      <c r="AF8" t="str">
        <f t="shared" si="0"/>
        <v>2013-03</v>
      </c>
    </row>
    <row r="9" spans="1:32" x14ac:dyDescent="0.3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  <c r="AE9" t="s">
        <v>100</v>
      </c>
      <c r="AF9" t="str">
        <f t="shared" si="0"/>
        <v>2013-03</v>
      </c>
    </row>
    <row r="10" spans="1:32" x14ac:dyDescent="0.3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  <c r="AE10" t="s">
        <v>100</v>
      </c>
      <c r="AF10" t="str">
        <f t="shared" si="0"/>
        <v>2013-03</v>
      </c>
    </row>
    <row r="11" spans="1:32" x14ac:dyDescent="0.3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>
        <v>139.26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  <c r="AE11" t="s">
        <v>101</v>
      </c>
      <c r="AF11" t="str">
        <f t="shared" si="0"/>
        <v>2013-04</v>
      </c>
    </row>
    <row r="12" spans="1:32" x14ac:dyDescent="0.3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  <c r="AE12" t="s">
        <v>101</v>
      </c>
      <c r="AF12" t="str">
        <f t="shared" si="0"/>
        <v>2013-04</v>
      </c>
    </row>
    <row r="13" spans="1:32" x14ac:dyDescent="0.3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  <c r="AE13" t="s">
        <v>101</v>
      </c>
      <c r="AF13" t="str">
        <f t="shared" si="0"/>
        <v>2013-04</v>
      </c>
    </row>
    <row r="14" spans="1:32" x14ac:dyDescent="0.3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>
        <v>139.26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  <c r="AE14" t="s">
        <v>102</v>
      </c>
      <c r="AF14" t="str">
        <f t="shared" si="0"/>
        <v>2013-05</v>
      </c>
    </row>
    <row r="15" spans="1:32" x14ac:dyDescent="0.3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  <c r="AE15" t="s">
        <v>102</v>
      </c>
      <c r="AF15" t="str">
        <f t="shared" si="0"/>
        <v>2013-05</v>
      </c>
    </row>
    <row r="16" spans="1:32" x14ac:dyDescent="0.3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  <c r="AE16" t="s">
        <v>102</v>
      </c>
      <c r="AF16" t="str">
        <f t="shared" si="0"/>
        <v>2013-05</v>
      </c>
    </row>
    <row r="17" spans="1:32" x14ac:dyDescent="0.3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>
        <v>139.26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  <c r="AE17" t="s">
        <v>103</v>
      </c>
      <c r="AF17" t="str">
        <f t="shared" si="0"/>
        <v>2013-06</v>
      </c>
    </row>
    <row r="18" spans="1:32" x14ac:dyDescent="0.3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  <c r="AE18" t="s">
        <v>103</v>
      </c>
      <c r="AF18" t="str">
        <f t="shared" si="0"/>
        <v>2013-06</v>
      </c>
    </row>
    <row r="19" spans="1:32" x14ac:dyDescent="0.3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  <c r="AE19" t="s">
        <v>103</v>
      </c>
      <c r="AF19" t="str">
        <f t="shared" si="0"/>
        <v>2013-06</v>
      </c>
    </row>
    <row r="20" spans="1:32" x14ac:dyDescent="0.3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>
        <v>139.26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  <c r="AE20" t="s">
        <v>104</v>
      </c>
      <c r="AF20" t="str">
        <f t="shared" si="0"/>
        <v>2013-07</v>
      </c>
    </row>
    <row r="21" spans="1:32" x14ac:dyDescent="0.3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  <c r="AE21" t="s">
        <v>104</v>
      </c>
      <c r="AF21" t="str">
        <f t="shared" si="0"/>
        <v>2013-07</v>
      </c>
    </row>
    <row r="22" spans="1:32" x14ac:dyDescent="0.3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  <c r="AE22" t="s">
        <v>104</v>
      </c>
      <c r="AF22" t="str">
        <f t="shared" si="0"/>
        <v>2013-07</v>
      </c>
    </row>
    <row r="23" spans="1:32" x14ac:dyDescent="0.3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>
        <v>139.26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  <c r="AE23" t="s">
        <v>105</v>
      </c>
      <c r="AF23" t="str">
        <f t="shared" si="0"/>
        <v>2013-08</v>
      </c>
    </row>
    <row r="24" spans="1:32" x14ac:dyDescent="0.3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  <c r="AE24" t="s">
        <v>105</v>
      </c>
      <c r="AF24" t="str">
        <f t="shared" si="0"/>
        <v>2013-08</v>
      </c>
    </row>
    <row r="25" spans="1:32" x14ac:dyDescent="0.3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  <c r="AE25" t="s">
        <v>105</v>
      </c>
      <c r="AF25" t="str">
        <f t="shared" si="0"/>
        <v>2013-08</v>
      </c>
    </row>
    <row r="26" spans="1:32" x14ac:dyDescent="0.3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>
        <v>139.26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  <c r="AE26" t="s">
        <v>106</v>
      </c>
      <c r="AF26" t="str">
        <f t="shared" si="0"/>
        <v>2013-09</v>
      </c>
    </row>
    <row r="27" spans="1:32" x14ac:dyDescent="0.3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  <c r="AE27" t="s">
        <v>106</v>
      </c>
      <c r="AF27" t="str">
        <f t="shared" si="0"/>
        <v>2013-09</v>
      </c>
    </row>
    <row r="28" spans="1:32" x14ac:dyDescent="0.3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  <c r="AE28" t="s">
        <v>106</v>
      </c>
      <c r="AF28" t="str">
        <f t="shared" si="0"/>
        <v>2013-09</v>
      </c>
    </row>
    <row r="29" spans="1:32" x14ac:dyDescent="0.3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>
        <v>139.26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  <c r="AE29" t="s">
        <v>107</v>
      </c>
      <c r="AF29" t="str">
        <f t="shared" si="0"/>
        <v>2013-10</v>
      </c>
    </row>
    <row r="30" spans="1:32" x14ac:dyDescent="0.3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  <c r="AE30" t="s">
        <v>107</v>
      </c>
      <c r="AF30" t="str">
        <f t="shared" si="0"/>
        <v>2013-10</v>
      </c>
    </row>
    <row r="31" spans="1:32" x14ac:dyDescent="0.3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  <c r="AE31" t="s">
        <v>107</v>
      </c>
      <c r="AF31" t="str">
        <f t="shared" si="0"/>
        <v>2013-10</v>
      </c>
    </row>
    <row r="32" spans="1:32" x14ac:dyDescent="0.3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>
        <v>139.26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  <c r="AE32" t="s">
        <v>108</v>
      </c>
      <c r="AF32" t="str">
        <f t="shared" si="0"/>
        <v>2013-11</v>
      </c>
    </row>
    <row r="33" spans="1:32" x14ac:dyDescent="0.3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  <c r="AE33" t="s">
        <v>108</v>
      </c>
      <c r="AF33" t="str">
        <f t="shared" si="0"/>
        <v>2013-11</v>
      </c>
    </row>
    <row r="34" spans="1:32" x14ac:dyDescent="0.3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  <c r="AE34" t="s">
        <v>108</v>
      </c>
      <c r="AF34" t="str">
        <f t="shared" si="0"/>
        <v>2013-11</v>
      </c>
    </row>
    <row r="35" spans="1:32" x14ac:dyDescent="0.3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>
        <v>139.26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  <c r="AE35" t="s">
        <v>109</v>
      </c>
      <c r="AF35" t="str">
        <f t="shared" si="0"/>
        <v>2013-12</v>
      </c>
    </row>
    <row r="36" spans="1:32" x14ac:dyDescent="0.3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  <c r="AE36" t="s">
        <v>109</v>
      </c>
      <c r="AF36" t="str">
        <f t="shared" si="0"/>
        <v>2013-12</v>
      </c>
    </row>
    <row r="37" spans="1:32" x14ac:dyDescent="0.3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  <c r="AE37" t="s">
        <v>109</v>
      </c>
      <c r="AF37" t="str">
        <f t="shared" si="0"/>
        <v>2013-12</v>
      </c>
    </row>
    <row r="38" spans="1:32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>
        <v>139.26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  <c r="AE38" t="s">
        <v>110</v>
      </c>
      <c r="AF38" t="str">
        <f t="shared" si="0"/>
        <v>2014-01</v>
      </c>
    </row>
    <row r="39" spans="1:32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  <c r="AE39" t="s">
        <v>110</v>
      </c>
      <c r="AF39" t="str">
        <f t="shared" si="0"/>
        <v>2014-01</v>
      </c>
    </row>
    <row r="40" spans="1:32" x14ac:dyDescent="0.3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  <c r="AE40" t="s">
        <v>110</v>
      </c>
      <c r="AF40" t="str">
        <f t="shared" si="0"/>
        <v>2014-01</v>
      </c>
    </row>
    <row r="41" spans="1:32" x14ac:dyDescent="0.3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>
        <v>139.26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  <c r="AE41" t="s">
        <v>111</v>
      </c>
      <c r="AF41" t="str">
        <f t="shared" si="0"/>
        <v>2014-02</v>
      </c>
    </row>
    <row r="42" spans="1:32" x14ac:dyDescent="0.3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  <c r="AE42" t="s">
        <v>111</v>
      </c>
      <c r="AF42" t="str">
        <f t="shared" si="0"/>
        <v>2014-02</v>
      </c>
    </row>
    <row r="43" spans="1:32" x14ac:dyDescent="0.3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  <c r="AE43" t="s">
        <v>111</v>
      </c>
      <c r="AF43" t="str">
        <f t="shared" si="0"/>
        <v>2014-02</v>
      </c>
    </row>
    <row r="44" spans="1:32" x14ac:dyDescent="0.3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>
        <v>139.26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  <c r="AE44" t="s">
        <v>112</v>
      </c>
      <c r="AF44" t="str">
        <f t="shared" si="0"/>
        <v>2014-03</v>
      </c>
    </row>
    <row r="45" spans="1:32" x14ac:dyDescent="0.3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  <c r="AE45" t="s">
        <v>112</v>
      </c>
      <c r="AF45" t="str">
        <f t="shared" si="0"/>
        <v>2014-03</v>
      </c>
    </row>
    <row r="46" spans="1:32" x14ac:dyDescent="0.3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  <c r="AE46" t="s">
        <v>96</v>
      </c>
      <c r="AF46" t="str">
        <f t="shared" si="0"/>
        <v>Marcrh 2014</v>
      </c>
    </row>
    <row r="47" spans="1:32" x14ac:dyDescent="0.3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>
        <v>139.26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  <c r="AE47" t="s">
        <v>113</v>
      </c>
      <c r="AF47" t="str">
        <f t="shared" si="0"/>
        <v>2014-04</v>
      </c>
    </row>
    <row r="48" spans="1:32" x14ac:dyDescent="0.3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  <c r="AE48" t="s">
        <v>113</v>
      </c>
      <c r="AF48" t="str">
        <f t="shared" si="0"/>
        <v>2014-04</v>
      </c>
    </row>
    <row r="49" spans="1:32" x14ac:dyDescent="0.3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  <c r="AE49" t="s">
        <v>113</v>
      </c>
      <c r="AF49" t="str">
        <f t="shared" si="0"/>
        <v>2014-04</v>
      </c>
    </row>
    <row r="50" spans="1:32" x14ac:dyDescent="0.3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>
        <v>139.26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  <c r="AE50" t="s">
        <v>114</v>
      </c>
      <c r="AF50" t="str">
        <f t="shared" si="0"/>
        <v>2014-05</v>
      </c>
    </row>
    <row r="51" spans="1:32" x14ac:dyDescent="0.3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  <c r="AE51" t="s">
        <v>114</v>
      </c>
      <c r="AF51" t="str">
        <f t="shared" si="0"/>
        <v>2014-05</v>
      </c>
    </row>
    <row r="52" spans="1:32" x14ac:dyDescent="0.3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  <c r="AE52" t="s">
        <v>114</v>
      </c>
      <c r="AF52" t="str">
        <f t="shared" si="0"/>
        <v>2014-05</v>
      </c>
    </row>
    <row r="53" spans="1:32" x14ac:dyDescent="0.3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>
        <v>139.26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  <c r="AE53" t="s">
        <v>115</v>
      </c>
      <c r="AF53" t="str">
        <f t="shared" si="0"/>
        <v>2014-06</v>
      </c>
    </row>
    <row r="54" spans="1:32" x14ac:dyDescent="0.3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  <c r="AE54" t="s">
        <v>115</v>
      </c>
      <c r="AF54" t="str">
        <f t="shared" si="0"/>
        <v>2014-06</v>
      </c>
    </row>
    <row r="55" spans="1:32" x14ac:dyDescent="0.3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  <c r="AE55" t="s">
        <v>115</v>
      </c>
      <c r="AF55" t="str">
        <f t="shared" si="0"/>
        <v>2014-06</v>
      </c>
    </row>
    <row r="56" spans="1:32" x14ac:dyDescent="0.3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>
        <v>139.26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  <c r="AE56" t="s">
        <v>116</v>
      </c>
      <c r="AF56" t="str">
        <f t="shared" si="0"/>
        <v>2014-07</v>
      </c>
    </row>
    <row r="57" spans="1:32" x14ac:dyDescent="0.3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  <c r="AE57" t="s">
        <v>116</v>
      </c>
      <c r="AF57" t="str">
        <f t="shared" si="0"/>
        <v>2014-07</v>
      </c>
    </row>
    <row r="58" spans="1:32" x14ac:dyDescent="0.3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  <c r="AE58" t="s">
        <v>116</v>
      </c>
      <c r="AF58" t="str">
        <f t="shared" si="0"/>
        <v>2014-07</v>
      </c>
    </row>
    <row r="59" spans="1:32" x14ac:dyDescent="0.3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>
        <v>139.26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  <c r="AE59" t="s">
        <v>117</v>
      </c>
      <c r="AF59" t="str">
        <f t="shared" si="0"/>
        <v>2014-08</v>
      </c>
    </row>
    <row r="60" spans="1:32" x14ac:dyDescent="0.3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  <c r="AE60" t="s">
        <v>117</v>
      </c>
      <c r="AF60" t="str">
        <f t="shared" si="0"/>
        <v>2014-08</v>
      </c>
    </row>
    <row r="61" spans="1:32" x14ac:dyDescent="0.3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  <c r="AE61" t="s">
        <v>117</v>
      </c>
      <c r="AF61" t="str">
        <f t="shared" si="0"/>
        <v>2014-08</v>
      </c>
    </row>
    <row r="62" spans="1:32" x14ac:dyDescent="0.3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>
        <v>139.26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  <c r="AE62" t="s">
        <v>118</v>
      </c>
      <c r="AF62" t="str">
        <f t="shared" si="0"/>
        <v>2014-09</v>
      </c>
    </row>
    <row r="63" spans="1:32" x14ac:dyDescent="0.3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  <c r="AE63" t="s">
        <v>118</v>
      </c>
      <c r="AF63" t="str">
        <f t="shared" si="0"/>
        <v>2014-09</v>
      </c>
    </row>
    <row r="64" spans="1:32" x14ac:dyDescent="0.3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  <c r="AE64" t="s">
        <v>118</v>
      </c>
      <c r="AF64" t="str">
        <f t="shared" si="0"/>
        <v>2014-09</v>
      </c>
    </row>
    <row r="65" spans="1:32" x14ac:dyDescent="0.3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>
        <v>139.26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  <c r="AE65" t="s">
        <v>119</v>
      </c>
      <c r="AF65" t="str">
        <f t="shared" si="0"/>
        <v>2014-10</v>
      </c>
    </row>
    <row r="66" spans="1:32" x14ac:dyDescent="0.3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  <c r="AE66" t="s">
        <v>119</v>
      </c>
      <c r="AF66" t="str">
        <f t="shared" si="0"/>
        <v>2014-10</v>
      </c>
    </row>
    <row r="67" spans="1:32" x14ac:dyDescent="0.3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  <c r="AE67" t="s">
        <v>119</v>
      </c>
      <c r="AF67" t="str">
        <f t="shared" ref="AF67:AF130" si="1">TEXT(AE67, "YYYY-MM")</f>
        <v>2014-10</v>
      </c>
    </row>
    <row r="68" spans="1:32" x14ac:dyDescent="0.3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>
        <v>139.26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  <c r="AE68" t="s">
        <v>120</v>
      </c>
      <c r="AF68" t="str">
        <f t="shared" si="1"/>
        <v>2014-11</v>
      </c>
    </row>
    <row r="69" spans="1:32" x14ac:dyDescent="0.3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  <c r="AE69" t="s">
        <v>120</v>
      </c>
      <c r="AF69" t="str">
        <f t="shared" si="1"/>
        <v>2014-11</v>
      </c>
    </row>
    <row r="70" spans="1:32" x14ac:dyDescent="0.3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  <c r="AE70" t="s">
        <v>120</v>
      </c>
      <c r="AF70" t="str">
        <f t="shared" si="1"/>
        <v>2014-11</v>
      </c>
    </row>
    <row r="71" spans="1:32" x14ac:dyDescent="0.3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>
        <v>139.26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  <c r="AE71" t="s">
        <v>121</v>
      </c>
      <c r="AF71" t="str">
        <f t="shared" si="1"/>
        <v>2014-12</v>
      </c>
    </row>
    <row r="72" spans="1:32" x14ac:dyDescent="0.3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  <c r="AE72" t="s">
        <v>121</v>
      </c>
      <c r="AF72" t="str">
        <f t="shared" si="1"/>
        <v>2014-12</v>
      </c>
    </row>
    <row r="73" spans="1:32" x14ac:dyDescent="0.3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  <c r="AE73" t="s">
        <v>121</v>
      </c>
      <c r="AF73" t="str">
        <f t="shared" si="1"/>
        <v>2014-12</v>
      </c>
    </row>
    <row r="74" spans="1:32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>
        <v>139.26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  <c r="AE74" t="s">
        <v>122</v>
      </c>
      <c r="AF74" t="str">
        <f t="shared" si="1"/>
        <v>2015-01</v>
      </c>
    </row>
    <row r="75" spans="1:32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  <c r="AE75" t="s">
        <v>122</v>
      </c>
      <c r="AF75" t="str">
        <f t="shared" si="1"/>
        <v>2015-01</v>
      </c>
    </row>
    <row r="76" spans="1:32" x14ac:dyDescent="0.3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  <c r="AE76" t="s">
        <v>122</v>
      </c>
      <c r="AF76" t="str">
        <f t="shared" si="1"/>
        <v>2015-01</v>
      </c>
    </row>
    <row r="77" spans="1:32" x14ac:dyDescent="0.3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>
        <v>139.26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  <c r="AE77" t="s">
        <v>123</v>
      </c>
      <c r="AF77" t="str">
        <f t="shared" si="1"/>
        <v>2015-02</v>
      </c>
    </row>
    <row r="78" spans="1:32" x14ac:dyDescent="0.3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  <c r="AE78" t="s">
        <v>123</v>
      </c>
      <c r="AF78" t="str">
        <f t="shared" si="1"/>
        <v>2015-02</v>
      </c>
    </row>
    <row r="79" spans="1:32" x14ac:dyDescent="0.3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  <c r="AE79" t="s">
        <v>123</v>
      </c>
      <c r="AF79" t="str">
        <f t="shared" si="1"/>
        <v>2015-02</v>
      </c>
    </row>
    <row r="80" spans="1:32" x14ac:dyDescent="0.3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>
        <v>139.26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  <c r="AE80" t="s">
        <v>124</v>
      </c>
      <c r="AF80" t="str">
        <f t="shared" si="1"/>
        <v>2015-03</v>
      </c>
    </row>
    <row r="81" spans="1:32" x14ac:dyDescent="0.3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  <c r="AE81" t="s">
        <v>124</v>
      </c>
      <c r="AF81" t="str">
        <f t="shared" si="1"/>
        <v>2015-03</v>
      </c>
    </row>
    <row r="82" spans="1:32" x14ac:dyDescent="0.3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  <c r="AE82" t="s">
        <v>124</v>
      </c>
      <c r="AF82" t="str">
        <f t="shared" si="1"/>
        <v>2015-03</v>
      </c>
    </row>
    <row r="83" spans="1:32" x14ac:dyDescent="0.3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>
        <v>139.26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  <c r="AE83" t="s">
        <v>125</v>
      </c>
      <c r="AF83" t="str">
        <f t="shared" si="1"/>
        <v>2015-04</v>
      </c>
    </row>
    <row r="84" spans="1:32" x14ac:dyDescent="0.3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  <c r="AE84" t="s">
        <v>125</v>
      </c>
      <c r="AF84" t="str">
        <f t="shared" si="1"/>
        <v>2015-04</v>
      </c>
    </row>
    <row r="85" spans="1:32" x14ac:dyDescent="0.3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  <c r="AE85" t="s">
        <v>125</v>
      </c>
      <c r="AF85" t="str">
        <f t="shared" si="1"/>
        <v>2015-04</v>
      </c>
    </row>
    <row r="86" spans="1:32" x14ac:dyDescent="0.3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>
        <v>139.26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  <c r="AE86" t="s">
        <v>126</v>
      </c>
      <c r="AF86" t="str">
        <f t="shared" si="1"/>
        <v>2015-05</v>
      </c>
    </row>
    <row r="87" spans="1:32" x14ac:dyDescent="0.3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  <c r="AE87" t="s">
        <v>126</v>
      </c>
      <c r="AF87" t="str">
        <f t="shared" si="1"/>
        <v>2015-05</v>
      </c>
    </row>
    <row r="88" spans="1:32" x14ac:dyDescent="0.3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  <c r="AE88" t="s">
        <v>126</v>
      </c>
      <c r="AF88" t="str">
        <f t="shared" si="1"/>
        <v>2015-05</v>
      </c>
    </row>
    <row r="89" spans="1:32" x14ac:dyDescent="0.3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>
        <v>139.26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  <c r="AE89" t="s">
        <v>127</v>
      </c>
      <c r="AF89" t="str">
        <f t="shared" si="1"/>
        <v>2015-06</v>
      </c>
    </row>
    <row r="90" spans="1:32" x14ac:dyDescent="0.3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  <c r="AE90" t="s">
        <v>127</v>
      </c>
      <c r="AF90" t="str">
        <f t="shared" si="1"/>
        <v>2015-06</v>
      </c>
    </row>
    <row r="91" spans="1:32" x14ac:dyDescent="0.3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  <c r="AE91" t="s">
        <v>127</v>
      </c>
      <c r="AF91" t="str">
        <f t="shared" si="1"/>
        <v>2015-06</v>
      </c>
    </row>
    <row r="92" spans="1:32" x14ac:dyDescent="0.3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>
        <v>139.26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  <c r="AE92" t="s">
        <v>128</v>
      </c>
      <c r="AF92" t="str">
        <f t="shared" si="1"/>
        <v>2015-07</v>
      </c>
    </row>
    <row r="93" spans="1:32" x14ac:dyDescent="0.3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  <c r="AE93" t="s">
        <v>128</v>
      </c>
      <c r="AF93" t="str">
        <f t="shared" si="1"/>
        <v>2015-07</v>
      </c>
    </row>
    <row r="94" spans="1:32" x14ac:dyDescent="0.3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  <c r="AE94" t="s">
        <v>128</v>
      </c>
      <c r="AF94" t="str">
        <f t="shared" si="1"/>
        <v>2015-07</v>
      </c>
    </row>
    <row r="95" spans="1:32" x14ac:dyDescent="0.3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>
        <v>139.26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  <c r="AE95" t="s">
        <v>129</v>
      </c>
      <c r="AF95" t="str">
        <f t="shared" si="1"/>
        <v>2015-08</v>
      </c>
    </row>
    <row r="96" spans="1:32" x14ac:dyDescent="0.3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  <c r="AE96" t="s">
        <v>129</v>
      </c>
      <c r="AF96" t="str">
        <f t="shared" si="1"/>
        <v>2015-08</v>
      </c>
    </row>
    <row r="97" spans="1:32" x14ac:dyDescent="0.3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  <c r="AE97" t="s">
        <v>129</v>
      </c>
      <c r="AF97" t="str">
        <f t="shared" si="1"/>
        <v>2015-08</v>
      </c>
    </row>
    <row r="98" spans="1:32" x14ac:dyDescent="0.3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>
        <v>139.26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  <c r="AE98" t="s">
        <v>130</v>
      </c>
      <c r="AF98" t="str">
        <f t="shared" si="1"/>
        <v>2015-09</v>
      </c>
    </row>
    <row r="99" spans="1:32" x14ac:dyDescent="0.3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  <c r="AE99" t="s">
        <v>130</v>
      </c>
      <c r="AF99" t="str">
        <f t="shared" si="1"/>
        <v>2015-09</v>
      </c>
    </row>
    <row r="100" spans="1:32" x14ac:dyDescent="0.3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  <c r="AE100" t="s">
        <v>130</v>
      </c>
      <c r="AF100" t="str">
        <f t="shared" si="1"/>
        <v>2015-09</v>
      </c>
    </row>
    <row r="101" spans="1:32" x14ac:dyDescent="0.3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>
        <v>139.26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  <c r="AE101" t="s">
        <v>131</v>
      </c>
      <c r="AF101" t="str">
        <f t="shared" si="1"/>
        <v>2015-10</v>
      </c>
    </row>
    <row r="102" spans="1:32" x14ac:dyDescent="0.3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  <c r="AE102" t="s">
        <v>131</v>
      </c>
      <c r="AF102" t="str">
        <f t="shared" si="1"/>
        <v>2015-10</v>
      </c>
    </row>
    <row r="103" spans="1:32" x14ac:dyDescent="0.3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  <c r="AE103" t="s">
        <v>131</v>
      </c>
      <c r="AF103" t="str">
        <f t="shared" si="1"/>
        <v>2015-10</v>
      </c>
    </row>
    <row r="104" spans="1:32" x14ac:dyDescent="0.3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>
        <v>139.26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  <c r="AE104" t="s">
        <v>132</v>
      </c>
      <c r="AF104" t="str">
        <f t="shared" si="1"/>
        <v>2015-11</v>
      </c>
    </row>
    <row r="105" spans="1:32" x14ac:dyDescent="0.3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  <c r="AE105" t="s">
        <v>132</v>
      </c>
      <c r="AF105" t="str">
        <f t="shared" si="1"/>
        <v>2015-11</v>
      </c>
    </row>
    <row r="106" spans="1:32" x14ac:dyDescent="0.3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  <c r="AE106" t="s">
        <v>132</v>
      </c>
      <c r="AF106" t="str">
        <f t="shared" si="1"/>
        <v>2015-11</v>
      </c>
    </row>
    <row r="107" spans="1:32" x14ac:dyDescent="0.3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>
        <v>139.26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  <c r="AE107" t="s">
        <v>133</v>
      </c>
      <c r="AF107" t="str">
        <f t="shared" si="1"/>
        <v>2015-12</v>
      </c>
    </row>
    <row r="108" spans="1:32" x14ac:dyDescent="0.3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  <c r="AE108" t="s">
        <v>133</v>
      </c>
      <c r="AF108" t="str">
        <f t="shared" si="1"/>
        <v>2015-12</v>
      </c>
    </row>
    <row r="109" spans="1:32" x14ac:dyDescent="0.3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  <c r="AE109" t="s">
        <v>133</v>
      </c>
      <c r="AF109" t="str">
        <f t="shared" si="1"/>
        <v>2015-12</v>
      </c>
    </row>
    <row r="110" spans="1:32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>
        <v>139.26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  <c r="AE110" t="s">
        <v>134</v>
      </c>
      <c r="AF110" t="str">
        <f t="shared" si="1"/>
        <v>2016-01</v>
      </c>
    </row>
    <row r="111" spans="1:32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  <c r="AE111" t="s">
        <v>134</v>
      </c>
      <c r="AF111" t="str">
        <f t="shared" si="1"/>
        <v>2016-01</v>
      </c>
    </row>
    <row r="112" spans="1:32" x14ac:dyDescent="0.3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  <c r="AE112" t="s">
        <v>134</v>
      </c>
      <c r="AF112" t="str">
        <f t="shared" si="1"/>
        <v>2016-01</v>
      </c>
    </row>
    <row r="113" spans="1:32" x14ac:dyDescent="0.3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>
        <v>139.26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  <c r="AE113" t="s">
        <v>135</v>
      </c>
      <c r="AF113" t="str">
        <f t="shared" si="1"/>
        <v>2016-02</v>
      </c>
    </row>
    <row r="114" spans="1:32" x14ac:dyDescent="0.3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  <c r="AE114" t="s">
        <v>135</v>
      </c>
      <c r="AF114" t="str">
        <f t="shared" si="1"/>
        <v>2016-02</v>
      </c>
    </row>
    <row r="115" spans="1:32" x14ac:dyDescent="0.3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  <c r="AE115" t="s">
        <v>135</v>
      </c>
      <c r="AF115" t="str">
        <f t="shared" si="1"/>
        <v>2016-02</v>
      </c>
    </row>
    <row r="116" spans="1:32" x14ac:dyDescent="0.3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>
        <v>139.26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  <c r="AE116" t="s">
        <v>136</v>
      </c>
      <c r="AF116" t="str">
        <f t="shared" si="1"/>
        <v>2016-03</v>
      </c>
    </row>
    <row r="117" spans="1:32" x14ac:dyDescent="0.3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  <c r="AE117" t="s">
        <v>136</v>
      </c>
      <c r="AF117" t="str">
        <f t="shared" si="1"/>
        <v>2016-03</v>
      </c>
    </row>
    <row r="118" spans="1:32" x14ac:dyDescent="0.3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  <c r="AE118" t="s">
        <v>136</v>
      </c>
      <c r="AF118" t="str">
        <f t="shared" si="1"/>
        <v>2016-03</v>
      </c>
    </row>
    <row r="119" spans="1:32" x14ac:dyDescent="0.3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>
        <v>139.26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  <c r="AE119" t="s">
        <v>137</v>
      </c>
      <c r="AF119" t="str">
        <f t="shared" si="1"/>
        <v>2016-04</v>
      </c>
    </row>
    <row r="120" spans="1:32" x14ac:dyDescent="0.3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  <c r="AE120" t="s">
        <v>137</v>
      </c>
      <c r="AF120" t="str">
        <f t="shared" si="1"/>
        <v>2016-04</v>
      </c>
    </row>
    <row r="121" spans="1:32" x14ac:dyDescent="0.3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  <c r="AE121" t="s">
        <v>137</v>
      </c>
      <c r="AF121" t="str">
        <f t="shared" si="1"/>
        <v>2016-04</v>
      </c>
    </row>
    <row r="122" spans="1:32" x14ac:dyDescent="0.3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>
        <v>139.26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  <c r="AE122" t="s">
        <v>138</v>
      </c>
      <c r="AF122" t="str">
        <f t="shared" si="1"/>
        <v>2016-05</v>
      </c>
    </row>
    <row r="123" spans="1:32" x14ac:dyDescent="0.3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  <c r="AE123" t="s">
        <v>138</v>
      </c>
      <c r="AF123" t="str">
        <f t="shared" si="1"/>
        <v>2016-05</v>
      </c>
    </row>
    <row r="124" spans="1:32" x14ac:dyDescent="0.3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  <c r="AE124" t="s">
        <v>138</v>
      </c>
      <c r="AF124" t="str">
        <f t="shared" si="1"/>
        <v>2016-05</v>
      </c>
    </row>
    <row r="125" spans="1:32" x14ac:dyDescent="0.3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>
        <v>139.26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  <c r="AE125" t="s">
        <v>139</v>
      </c>
      <c r="AF125" t="str">
        <f t="shared" si="1"/>
        <v>2016-06</v>
      </c>
    </row>
    <row r="126" spans="1:32" x14ac:dyDescent="0.3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  <c r="AE126" t="s">
        <v>139</v>
      </c>
      <c r="AF126" t="str">
        <f t="shared" si="1"/>
        <v>2016-06</v>
      </c>
    </row>
    <row r="127" spans="1:32" x14ac:dyDescent="0.3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  <c r="AE127" t="s">
        <v>139</v>
      </c>
      <c r="AF127" t="str">
        <f t="shared" si="1"/>
        <v>2016-06</v>
      </c>
    </row>
    <row r="128" spans="1:32" x14ac:dyDescent="0.3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>
        <v>139.26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  <c r="AE128" t="s">
        <v>140</v>
      </c>
      <c r="AF128" t="str">
        <f t="shared" si="1"/>
        <v>2016-07</v>
      </c>
    </row>
    <row r="129" spans="1:32" x14ac:dyDescent="0.3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  <c r="AE129" t="s">
        <v>140</v>
      </c>
      <c r="AF129" t="str">
        <f t="shared" si="1"/>
        <v>2016-07</v>
      </c>
    </row>
    <row r="130" spans="1:32" x14ac:dyDescent="0.3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  <c r="AE130" t="s">
        <v>140</v>
      </c>
      <c r="AF130" t="str">
        <f t="shared" si="1"/>
        <v>2016-07</v>
      </c>
    </row>
    <row r="131" spans="1:32" x14ac:dyDescent="0.3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>
        <v>139.26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  <c r="AE131" t="s">
        <v>141</v>
      </c>
      <c r="AF131" t="str">
        <f t="shared" ref="AF131:AF194" si="2">TEXT(AE131, "YYYY-MM")</f>
        <v>2016-08</v>
      </c>
    </row>
    <row r="132" spans="1:32" x14ac:dyDescent="0.3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  <c r="AE132" t="s">
        <v>141</v>
      </c>
      <c r="AF132" t="str">
        <f t="shared" si="2"/>
        <v>2016-08</v>
      </c>
    </row>
    <row r="133" spans="1:32" x14ac:dyDescent="0.3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  <c r="AE133" t="s">
        <v>141</v>
      </c>
      <c r="AF133" t="str">
        <f t="shared" si="2"/>
        <v>2016-08</v>
      </c>
    </row>
    <row r="134" spans="1:32" x14ac:dyDescent="0.3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>
        <v>139.26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  <c r="AE134" t="s">
        <v>142</v>
      </c>
      <c r="AF134" t="str">
        <f t="shared" si="2"/>
        <v>2016-09</v>
      </c>
    </row>
    <row r="135" spans="1:32" x14ac:dyDescent="0.3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  <c r="AE135" t="s">
        <v>142</v>
      </c>
      <c r="AF135" t="str">
        <f t="shared" si="2"/>
        <v>2016-09</v>
      </c>
    </row>
    <row r="136" spans="1:32" x14ac:dyDescent="0.3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  <c r="AE136" t="s">
        <v>142</v>
      </c>
      <c r="AF136" t="str">
        <f t="shared" si="2"/>
        <v>2016-09</v>
      </c>
    </row>
    <row r="137" spans="1:32" x14ac:dyDescent="0.3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>
        <v>139.26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  <c r="AE137" t="s">
        <v>143</v>
      </c>
      <c r="AF137" t="str">
        <f t="shared" si="2"/>
        <v>2016-10</v>
      </c>
    </row>
    <row r="138" spans="1:32" x14ac:dyDescent="0.3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  <c r="AE138" t="s">
        <v>143</v>
      </c>
      <c r="AF138" t="str">
        <f t="shared" si="2"/>
        <v>2016-10</v>
      </c>
    </row>
    <row r="139" spans="1:32" x14ac:dyDescent="0.3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  <c r="AE139" t="s">
        <v>143</v>
      </c>
      <c r="AF139" t="str">
        <f t="shared" si="2"/>
        <v>2016-10</v>
      </c>
    </row>
    <row r="140" spans="1:32" x14ac:dyDescent="0.3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>
        <v>139.26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  <c r="AE140" t="s">
        <v>144</v>
      </c>
      <c r="AF140" t="str">
        <f t="shared" si="2"/>
        <v>2016-11</v>
      </c>
    </row>
    <row r="141" spans="1:32" x14ac:dyDescent="0.3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  <c r="AE141" t="s">
        <v>144</v>
      </c>
      <c r="AF141" t="str">
        <f t="shared" si="2"/>
        <v>2016-11</v>
      </c>
    </row>
    <row r="142" spans="1:32" x14ac:dyDescent="0.3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  <c r="AE142" t="s">
        <v>144</v>
      </c>
      <c r="AF142" t="str">
        <f t="shared" si="2"/>
        <v>2016-11</v>
      </c>
    </row>
    <row r="143" spans="1:32" x14ac:dyDescent="0.3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>
        <v>139.26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  <c r="AE143" t="s">
        <v>145</v>
      </c>
      <c r="AF143" t="str">
        <f t="shared" si="2"/>
        <v>2016-12</v>
      </c>
    </row>
    <row r="144" spans="1:32" x14ac:dyDescent="0.3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  <c r="AE144" t="s">
        <v>145</v>
      </c>
      <c r="AF144" t="str">
        <f t="shared" si="2"/>
        <v>2016-12</v>
      </c>
    </row>
    <row r="145" spans="1:32" x14ac:dyDescent="0.3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  <c r="AE145" t="s">
        <v>145</v>
      </c>
      <c r="AF145" t="str">
        <f t="shared" si="2"/>
        <v>2016-12</v>
      </c>
    </row>
    <row r="146" spans="1:32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>
        <v>139.26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  <c r="AE146" t="s">
        <v>146</v>
      </c>
      <c r="AF146" t="str">
        <f t="shared" si="2"/>
        <v>2017-01</v>
      </c>
    </row>
    <row r="147" spans="1:32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  <c r="AE147" t="s">
        <v>146</v>
      </c>
      <c r="AF147" t="str">
        <f t="shared" si="2"/>
        <v>2017-01</v>
      </c>
    </row>
    <row r="148" spans="1:32" x14ac:dyDescent="0.3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  <c r="AE148" t="s">
        <v>146</v>
      </c>
      <c r="AF148" t="str">
        <f t="shared" si="2"/>
        <v>2017-01</v>
      </c>
    </row>
    <row r="149" spans="1:32" x14ac:dyDescent="0.3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>
        <v>139.26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  <c r="AE149" t="s">
        <v>147</v>
      </c>
      <c r="AF149" t="str">
        <f t="shared" si="2"/>
        <v>2017-02</v>
      </c>
    </row>
    <row r="150" spans="1:32" x14ac:dyDescent="0.3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  <c r="AE150" t="s">
        <v>147</v>
      </c>
      <c r="AF150" t="str">
        <f t="shared" si="2"/>
        <v>2017-02</v>
      </c>
    </row>
    <row r="151" spans="1:32" x14ac:dyDescent="0.3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  <c r="AE151" t="s">
        <v>147</v>
      </c>
      <c r="AF151" t="str">
        <f t="shared" si="2"/>
        <v>2017-02</v>
      </c>
    </row>
    <row r="152" spans="1:32" x14ac:dyDescent="0.3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>
        <v>139.26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  <c r="AE152" t="s">
        <v>148</v>
      </c>
      <c r="AF152" t="str">
        <f t="shared" si="2"/>
        <v>2017-03</v>
      </c>
    </row>
    <row r="153" spans="1:32" x14ac:dyDescent="0.3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  <c r="AE153" t="s">
        <v>148</v>
      </c>
      <c r="AF153" t="str">
        <f t="shared" si="2"/>
        <v>2017-03</v>
      </c>
    </row>
    <row r="154" spans="1:32" x14ac:dyDescent="0.3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  <c r="AE154" t="s">
        <v>148</v>
      </c>
      <c r="AF154" t="str">
        <f t="shared" si="2"/>
        <v>2017-03</v>
      </c>
    </row>
    <row r="155" spans="1:32" x14ac:dyDescent="0.3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>
        <v>139.26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  <c r="AE155" t="s">
        <v>149</v>
      </c>
      <c r="AF155" t="str">
        <f t="shared" si="2"/>
        <v>2017-04</v>
      </c>
    </row>
    <row r="156" spans="1:32" x14ac:dyDescent="0.3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  <c r="AE156" t="s">
        <v>149</v>
      </c>
      <c r="AF156" t="str">
        <f t="shared" si="2"/>
        <v>2017-04</v>
      </c>
    </row>
    <row r="157" spans="1:32" x14ac:dyDescent="0.3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  <c r="AE157" t="s">
        <v>149</v>
      </c>
      <c r="AF157" t="str">
        <f t="shared" si="2"/>
        <v>2017-04</v>
      </c>
    </row>
    <row r="158" spans="1:32" x14ac:dyDescent="0.3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>
        <v>139.26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  <c r="AE158" t="s">
        <v>150</v>
      </c>
      <c r="AF158" t="str">
        <f t="shared" si="2"/>
        <v>2017-05</v>
      </c>
    </row>
    <row r="159" spans="1:32" x14ac:dyDescent="0.3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  <c r="AE159" t="s">
        <v>150</v>
      </c>
      <c r="AF159" t="str">
        <f t="shared" si="2"/>
        <v>2017-05</v>
      </c>
    </row>
    <row r="160" spans="1:32" x14ac:dyDescent="0.3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  <c r="AE160" t="s">
        <v>150</v>
      </c>
      <c r="AF160" t="str">
        <f t="shared" si="2"/>
        <v>2017-05</v>
      </c>
    </row>
    <row r="161" spans="1:32" x14ac:dyDescent="0.3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>
        <v>139.26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  <c r="AE161" t="s">
        <v>151</v>
      </c>
      <c r="AF161" t="str">
        <f t="shared" si="2"/>
        <v>2017-06</v>
      </c>
    </row>
    <row r="162" spans="1:32" x14ac:dyDescent="0.3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  <c r="AE162" t="s">
        <v>151</v>
      </c>
      <c r="AF162" t="str">
        <f t="shared" si="2"/>
        <v>2017-06</v>
      </c>
    </row>
    <row r="163" spans="1:32" x14ac:dyDescent="0.3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  <c r="AE163" t="s">
        <v>151</v>
      </c>
      <c r="AF163" t="str">
        <f t="shared" si="2"/>
        <v>2017-06</v>
      </c>
    </row>
    <row r="164" spans="1:32" x14ac:dyDescent="0.3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>
        <v>139.26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  <c r="AE164" t="s">
        <v>152</v>
      </c>
      <c r="AF164" t="str">
        <f t="shared" si="2"/>
        <v>2017-07</v>
      </c>
    </row>
    <row r="165" spans="1:32" x14ac:dyDescent="0.3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  <c r="AE165" t="s">
        <v>152</v>
      </c>
      <c r="AF165" t="str">
        <f t="shared" si="2"/>
        <v>2017-07</v>
      </c>
    </row>
    <row r="166" spans="1:32" x14ac:dyDescent="0.3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  <c r="AE166" t="s">
        <v>152</v>
      </c>
      <c r="AF166" t="str">
        <f t="shared" si="2"/>
        <v>2017-07</v>
      </c>
    </row>
    <row r="167" spans="1:32" x14ac:dyDescent="0.3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>
        <v>139.26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  <c r="AE167" t="s">
        <v>153</v>
      </c>
      <c r="AF167" t="str">
        <f t="shared" si="2"/>
        <v>2017-08</v>
      </c>
    </row>
    <row r="168" spans="1:32" x14ac:dyDescent="0.3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  <c r="AE168" t="s">
        <v>153</v>
      </c>
      <c r="AF168" t="str">
        <f t="shared" si="2"/>
        <v>2017-08</v>
      </c>
    </row>
    <row r="169" spans="1:32" x14ac:dyDescent="0.3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  <c r="AE169" t="s">
        <v>153</v>
      </c>
      <c r="AF169" t="str">
        <f t="shared" si="2"/>
        <v>2017-08</v>
      </c>
    </row>
    <row r="170" spans="1:32" x14ac:dyDescent="0.3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>
        <v>139.26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  <c r="AE170" t="s">
        <v>154</v>
      </c>
      <c r="AF170" t="str">
        <f t="shared" si="2"/>
        <v>2017-09</v>
      </c>
    </row>
    <row r="171" spans="1:32" x14ac:dyDescent="0.3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  <c r="AE171" t="s">
        <v>154</v>
      </c>
      <c r="AF171" t="str">
        <f t="shared" si="2"/>
        <v>2017-09</v>
      </c>
    </row>
    <row r="172" spans="1:32" x14ac:dyDescent="0.3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  <c r="AE172" t="s">
        <v>154</v>
      </c>
      <c r="AF172" t="str">
        <f t="shared" si="2"/>
        <v>2017-09</v>
      </c>
    </row>
    <row r="173" spans="1:32" x14ac:dyDescent="0.3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>
        <v>139.26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  <c r="AE173" t="s">
        <v>155</v>
      </c>
      <c r="AF173" t="str">
        <f t="shared" si="2"/>
        <v>2017-10</v>
      </c>
    </row>
    <row r="174" spans="1:32" x14ac:dyDescent="0.3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  <c r="AE174" t="s">
        <v>155</v>
      </c>
      <c r="AF174" t="str">
        <f t="shared" si="2"/>
        <v>2017-10</v>
      </c>
    </row>
    <row r="175" spans="1:32" x14ac:dyDescent="0.3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  <c r="AE175" t="s">
        <v>155</v>
      </c>
      <c r="AF175" t="str">
        <f t="shared" si="2"/>
        <v>2017-10</v>
      </c>
    </row>
    <row r="176" spans="1:32" x14ac:dyDescent="0.3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>
        <v>139.26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  <c r="AE176" t="s">
        <v>156</v>
      </c>
      <c r="AF176" t="str">
        <f t="shared" si="2"/>
        <v>2017-11</v>
      </c>
    </row>
    <row r="177" spans="1:32" x14ac:dyDescent="0.3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  <c r="AE177" t="s">
        <v>156</v>
      </c>
      <c r="AF177" t="str">
        <f t="shared" si="2"/>
        <v>2017-11</v>
      </c>
    </row>
    <row r="178" spans="1:32" x14ac:dyDescent="0.3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  <c r="AE178" t="s">
        <v>156</v>
      </c>
      <c r="AF178" t="str">
        <f t="shared" si="2"/>
        <v>2017-11</v>
      </c>
    </row>
    <row r="179" spans="1:32" x14ac:dyDescent="0.3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>
        <v>139.26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  <c r="AE179" t="s">
        <v>157</v>
      </c>
      <c r="AF179" t="str">
        <f t="shared" si="2"/>
        <v>2017-12</v>
      </c>
    </row>
    <row r="180" spans="1:32" x14ac:dyDescent="0.3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  <c r="AE180" t="s">
        <v>157</v>
      </c>
      <c r="AF180" t="str">
        <f t="shared" si="2"/>
        <v>2017-12</v>
      </c>
    </row>
    <row r="181" spans="1:32" x14ac:dyDescent="0.3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  <c r="AE181" t="s">
        <v>157</v>
      </c>
      <c r="AF181" t="str">
        <f t="shared" si="2"/>
        <v>2017-12</v>
      </c>
    </row>
    <row r="182" spans="1:32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>
        <v>139.26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  <c r="AE182" t="s">
        <v>158</v>
      </c>
      <c r="AF182" t="str">
        <f t="shared" si="2"/>
        <v>2018-01</v>
      </c>
    </row>
    <row r="183" spans="1:32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  <c r="AE183" t="s">
        <v>158</v>
      </c>
      <c r="AF183" t="str">
        <f t="shared" si="2"/>
        <v>2018-01</v>
      </c>
    </row>
    <row r="184" spans="1:32" x14ac:dyDescent="0.3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  <c r="AE184" t="s">
        <v>158</v>
      </c>
      <c r="AF184" t="str">
        <f t="shared" si="2"/>
        <v>2018-01</v>
      </c>
    </row>
    <row r="185" spans="1:32" x14ac:dyDescent="0.3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>
        <v>139.26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  <c r="AE185" t="s">
        <v>159</v>
      </c>
      <c r="AF185" t="str">
        <f t="shared" si="2"/>
        <v>2018-02</v>
      </c>
    </row>
    <row r="186" spans="1:32" x14ac:dyDescent="0.3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  <c r="AE186" t="s">
        <v>159</v>
      </c>
      <c r="AF186" t="str">
        <f t="shared" si="2"/>
        <v>2018-02</v>
      </c>
    </row>
    <row r="187" spans="1:32" x14ac:dyDescent="0.3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  <c r="AE187" t="s">
        <v>159</v>
      </c>
      <c r="AF187" t="str">
        <f t="shared" si="2"/>
        <v>2018-02</v>
      </c>
    </row>
    <row r="188" spans="1:32" x14ac:dyDescent="0.3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>
        <v>139.26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  <c r="AE188" t="s">
        <v>160</v>
      </c>
      <c r="AF188" t="str">
        <f t="shared" si="2"/>
        <v>2018-03</v>
      </c>
    </row>
    <row r="189" spans="1:32" x14ac:dyDescent="0.3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  <c r="AE189" t="s">
        <v>160</v>
      </c>
      <c r="AF189" t="str">
        <f t="shared" si="2"/>
        <v>2018-03</v>
      </c>
    </row>
    <row r="190" spans="1:32" x14ac:dyDescent="0.3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  <c r="AE190" t="s">
        <v>160</v>
      </c>
      <c r="AF190" t="str">
        <f t="shared" si="2"/>
        <v>2018-03</v>
      </c>
    </row>
    <row r="191" spans="1:32" x14ac:dyDescent="0.3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>
        <v>139.26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  <c r="AE191" t="s">
        <v>161</v>
      </c>
      <c r="AF191" t="str">
        <f t="shared" si="2"/>
        <v>2018-04</v>
      </c>
    </row>
    <row r="192" spans="1:32" x14ac:dyDescent="0.3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  <c r="AE192" t="s">
        <v>161</v>
      </c>
      <c r="AF192" t="str">
        <f t="shared" si="2"/>
        <v>2018-04</v>
      </c>
    </row>
    <row r="193" spans="1:32" x14ac:dyDescent="0.3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  <c r="AE193" t="s">
        <v>161</v>
      </c>
      <c r="AF193" t="str">
        <f t="shared" si="2"/>
        <v>2018-04</v>
      </c>
    </row>
    <row r="194" spans="1:32" x14ac:dyDescent="0.3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>
        <v>139.26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  <c r="AE194" t="s">
        <v>162</v>
      </c>
      <c r="AF194" t="str">
        <f t="shared" si="2"/>
        <v>2018-05</v>
      </c>
    </row>
    <row r="195" spans="1:32" x14ac:dyDescent="0.3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  <c r="AE195" t="s">
        <v>162</v>
      </c>
      <c r="AF195" t="str">
        <f t="shared" ref="AF195:AF258" si="3">TEXT(AE195, "YYYY-MM")</f>
        <v>2018-05</v>
      </c>
    </row>
    <row r="196" spans="1:32" x14ac:dyDescent="0.3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  <c r="AE196" t="s">
        <v>162</v>
      </c>
      <c r="AF196" t="str">
        <f t="shared" si="3"/>
        <v>2018-05</v>
      </c>
    </row>
    <row r="197" spans="1:32" x14ac:dyDescent="0.3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>
        <v>139.26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  <c r="AE197" t="s">
        <v>163</v>
      </c>
      <c r="AF197" t="str">
        <f t="shared" si="3"/>
        <v>2018-06</v>
      </c>
    </row>
    <row r="198" spans="1:32" x14ac:dyDescent="0.3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  <c r="AE198" t="s">
        <v>163</v>
      </c>
      <c r="AF198" t="str">
        <f t="shared" si="3"/>
        <v>2018-06</v>
      </c>
    </row>
    <row r="199" spans="1:32" x14ac:dyDescent="0.3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  <c r="AE199" t="s">
        <v>163</v>
      </c>
      <c r="AF199" t="str">
        <f t="shared" si="3"/>
        <v>2018-06</v>
      </c>
    </row>
    <row r="200" spans="1:32" x14ac:dyDescent="0.3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>
        <v>139.26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  <c r="AE200" t="s">
        <v>164</v>
      </c>
      <c r="AF200" t="str">
        <f t="shared" si="3"/>
        <v>2018-07</v>
      </c>
    </row>
    <row r="201" spans="1:32" x14ac:dyDescent="0.3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  <c r="AE201" t="s">
        <v>164</v>
      </c>
      <c r="AF201" t="str">
        <f t="shared" si="3"/>
        <v>2018-07</v>
      </c>
    </row>
    <row r="202" spans="1:32" x14ac:dyDescent="0.3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  <c r="AE202" t="s">
        <v>164</v>
      </c>
      <c r="AF202" t="str">
        <f t="shared" si="3"/>
        <v>2018-07</v>
      </c>
    </row>
    <row r="203" spans="1:32" x14ac:dyDescent="0.3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>
        <v>139.26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  <c r="AE203" t="s">
        <v>165</v>
      </c>
      <c r="AF203" t="str">
        <f t="shared" si="3"/>
        <v>2018-08</v>
      </c>
    </row>
    <row r="204" spans="1:32" x14ac:dyDescent="0.3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  <c r="AE204" t="s">
        <v>165</v>
      </c>
      <c r="AF204" t="str">
        <f t="shared" si="3"/>
        <v>2018-08</v>
      </c>
    </row>
    <row r="205" spans="1:32" x14ac:dyDescent="0.3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  <c r="AE205" t="s">
        <v>165</v>
      </c>
      <c r="AF205" t="str">
        <f t="shared" si="3"/>
        <v>2018-08</v>
      </c>
    </row>
    <row r="206" spans="1:32" x14ac:dyDescent="0.3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>
        <v>139.26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  <c r="AE206" t="s">
        <v>166</v>
      </c>
      <c r="AF206" t="str">
        <f t="shared" si="3"/>
        <v>2018-09</v>
      </c>
    </row>
    <row r="207" spans="1:32" x14ac:dyDescent="0.3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  <c r="AE207" t="s">
        <v>166</v>
      </c>
      <c r="AF207" t="str">
        <f t="shared" si="3"/>
        <v>2018-09</v>
      </c>
    </row>
    <row r="208" spans="1:32" x14ac:dyDescent="0.3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  <c r="AE208" t="s">
        <v>166</v>
      </c>
      <c r="AF208" t="str">
        <f t="shared" si="3"/>
        <v>2018-09</v>
      </c>
    </row>
    <row r="209" spans="1:32" x14ac:dyDescent="0.3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>
        <v>139.26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  <c r="AE209" t="s">
        <v>167</v>
      </c>
      <c r="AF209" t="str">
        <f t="shared" si="3"/>
        <v>2018-10</v>
      </c>
    </row>
    <row r="210" spans="1:32" x14ac:dyDescent="0.3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  <c r="AE210" t="s">
        <v>167</v>
      </c>
      <c r="AF210" t="str">
        <f t="shared" si="3"/>
        <v>2018-10</v>
      </c>
    </row>
    <row r="211" spans="1:32" x14ac:dyDescent="0.3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  <c r="AE211" t="s">
        <v>167</v>
      </c>
      <c r="AF211" t="str">
        <f t="shared" si="3"/>
        <v>2018-10</v>
      </c>
    </row>
    <row r="212" spans="1:32" x14ac:dyDescent="0.3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>
        <v>139.26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  <c r="AE212" t="s">
        <v>168</v>
      </c>
      <c r="AF212" t="str">
        <f t="shared" si="3"/>
        <v>2018-11</v>
      </c>
    </row>
    <row r="213" spans="1:32" x14ac:dyDescent="0.3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  <c r="AE213" t="s">
        <v>168</v>
      </c>
      <c r="AF213" t="str">
        <f t="shared" si="3"/>
        <v>2018-11</v>
      </c>
    </row>
    <row r="214" spans="1:32" x14ac:dyDescent="0.3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  <c r="AE214" t="s">
        <v>168</v>
      </c>
      <c r="AF214" t="str">
        <f t="shared" si="3"/>
        <v>2018-11</v>
      </c>
    </row>
    <row r="215" spans="1:32" x14ac:dyDescent="0.3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>
        <v>139.26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  <c r="AE215" t="s">
        <v>169</v>
      </c>
      <c r="AF215" t="str">
        <f t="shared" si="3"/>
        <v>2018-12</v>
      </c>
    </row>
    <row r="216" spans="1:32" x14ac:dyDescent="0.3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  <c r="AE216" t="s">
        <v>169</v>
      </c>
      <c r="AF216" t="str">
        <f t="shared" si="3"/>
        <v>2018-12</v>
      </c>
    </row>
    <row r="217" spans="1:32" x14ac:dyDescent="0.3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  <c r="AE217" t="s">
        <v>169</v>
      </c>
      <c r="AF217" t="str">
        <f t="shared" si="3"/>
        <v>2018-12</v>
      </c>
    </row>
    <row r="218" spans="1:32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>
        <v>139.26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  <c r="AE218" t="s">
        <v>170</v>
      </c>
      <c r="AF218" t="str">
        <f t="shared" si="3"/>
        <v>2019-01</v>
      </c>
    </row>
    <row r="219" spans="1:32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  <c r="AE219" t="s">
        <v>170</v>
      </c>
      <c r="AF219" t="str">
        <f t="shared" si="3"/>
        <v>2019-01</v>
      </c>
    </row>
    <row r="220" spans="1:32" x14ac:dyDescent="0.3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  <c r="AE220" t="s">
        <v>170</v>
      </c>
      <c r="AF220" t="str">
        <f t="shared" si="3"/>
        <v>2019-01</v>
      </c>
    </row>
    <row r="221" spans="1:32" x14ac:dyDescent="0.3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>
        <v>139.26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  <c r="AE221" t="s">
        <v>171</v>
      </c>
      <c r="AF221" t="str">
        <f t="shared" si="3"/>
        <v>2019-02</v>
      </c>
    </row>
    <row r="222" spans="1:32" x14ac:dyDescent="0.3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  <c r="AE222" t="s">
        <v>171</v>
      </c>
      <c r="AF222" t="str">
        <f t="shared" si="3"/>
        <v>2019-02</v>
      </c>
    </row>
    <row r="223" spans="1:32" x14ac:dyDescent="0.3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  <c r="AE223" t="s">
        <v>171</v>
      </c>
      <c r="AF223" t="str">
        <f t="shared" si="3"/>
        <v>2019-02</v>
      </c>
    </row>
    <row r="224" spans="1:32" x14ac:dyDescent="0.3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>
        <v>139.26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  <c r="AE224" t="s">
        <v>172</v>
      </c>
      <c r="AF224" t="str">
        <f t="shared" si="3"/>
        <v>2019-03</v>
      </c>
    </row>
    <row r="225" spans="1:32" x14ac:dyDescent="0.3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  <c r="AE225" t="s">
        <v>172</v>
      </c>
      <c r="AF225" t="str">
        <f t="shared" si="3"/>
        <v>2019-03</v>
      </c>
    </row>
    <row r="226" spans="1:32" x14ac:dyDescent="0.3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  <c r="AE226" t="s">
        <v>172</v>
      </c>
      <c r="AF226" t="str">
        <f t="shared" si="3"/>
        <v>2019-03</v>
      </c>
    </row>
    <row r="227" spans="1:32" x14ac:dyDescent="0.3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>
        <v>139.26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  <c r="AE227" t="s">
        <v>173</v>
      </c>
      <c r="AF227" t="str">
        <f t="shared" si="3"/>
        <v>2019-05</v>
      </c>
    </row>
    <row r="228" spans="1:32" x14ac:dyDescent="0.3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  <c r="AE228" t="s">
        <v>173</v>
      </c>
      <c r="AF228" t="str">
        <f t="shared" si="3"/>
        <v>2019-05</v>
      </c>
    </row>
    <row r="229" spans="1:32" x14ac:dyDescent="0.3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  <c r="AE229" t="s">
        <v>173</v>
      </c>
      <c r="AF229" t="str">
        <f t="shared" si="3"/>
        <v>2019-05</v>
      </c>
    </row>
    <row r="230" spans="1:32" x14ac:dyDescent="0.3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>
        <v>139.26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  <c r="AE230" t="s">
        <v>174</v>
      </c>
      <c r="AF230" t="str">
        <f t="shared" si="3"/>
        <v>2019-06</v>
      </c>
    </row>
    <row r="231" spans="1:32" x14ac:dyDescent="0.3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  <c r="AE231" t="s">
        <v>174</v>
      </c>
      <c r="AF231" t="str">
        <f t="shared" si="3"/>
        <v>2019-06</v>
      </c>
    </row>
    <row r="232" spans="1:32" x14ac:dyDescent="0.3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  <c r="AE232" t="s">
        <v>174</v>
      </c>
      <c r="AF232" t="str">
        <f t="shared" si="3"/>
        <v>2019-06</v>
      </c>
    </row>
    <row r="233" spans="1:32" x14ac:dyDescent="0.3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>
        <v>139.26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  <c r="AE233" t="s">
        <v>175</v>
      </c>
      <c r="AF233" t="str">
        <f t="shared" si="3"/>
        <v>2019-07</v>
      </c>
    </row>
    <row r="234" spans="1:32" x14ac:dyDescent="0.3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  <c r="AE234" t="s">
        <v>175</v>
      </c>
      <c r="AF234" t="str">
        <f t="shared" si="3"/>
        <v>2019-07</v>
      </c>
    </row>
    <row r="235" spans="1:32" x14ac:dyDescent="0.3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  <c r="AE235" t="s">
        <v>175</v>
      </c>
      <c r="AF235" t="str">
        <f t="shared" si="3"/>
        <v>2019-07</v>
      </c>
    </row>
    <row r="236" spans="1:32" x14ac:dyDescent="0.3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>
        <v>139.26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  <c r="AE236" t="s">
        <v>176</v>
      </c>
      <c r="AF236" t="str">
        <f t="shared" si="3"/>
        <v>2019-08</v>
      </c>
    </row>
    <row r="237" spans="1:32" x14ac:dyDescent="0.3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  <c r="AE237" t="s">
        <v>176</v>
      </c>
      <c r="AF237" t="str">
        <f t="shared" si="3"/>
        <v>2019-08</v>
      </c>
    </row>
    <row r="238" spans="1:32" x14ac:dyDescent="0.3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  <c r="AE238" t="s">
        <v>176</v>
      </c>
      <c r="AF238" t="str">
        <f t="shared" si="3"/>
        <v>2019-08</v>
      </c>
    </row>
    <row r="239" spans="1:32" x14ac:dyDescent="0.3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>
        <v>139.26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  <c r="AE239" t="s">
        <v>177</v>
      </c>
      <c r="AF239" t="str">
        <f t="shared" si="3"/>
        <v>2019-09</v>
      </c>
    </row>
    <row r="240" spans="1:32" x14ac:dyDescent="0.3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  <c r="AE240" t="s">
        <v>177</v>
      </c>
      <c r="AF240" t="str">
        <f t="shared" si="3"/>
        <v>2019-09</v>
      </c>
    </row>
    <row r="241" spans="1:32" x14ac:dyDescent="0.3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  <c r="AE241" t="s">
        <v>177</v>
      </c>
      <c r="AF241" t="str">
        <f t="shared" si="3"/>
        <v>2019-09</v>
      </c>
    </row>
    <row r="242" spans="1:32" x14ac:dyDescent="0.3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>
        <v>139.26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  <c r="AE242" t="s">
        <v>178</v>
      </c>
      <c r="AF242" t="str">
        <f t="shared" si="3"/>
        <v>2019-10</v>
      </c>
    </row>
    <row r="243" spans="1:32" x14ac:dyDescent="0.3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  <c r="AE243" t="s">
        <v>178</v>
      </c>
      <c r="AF243" t="str">
        <f t="shared" si="3"/>
        <v>2019-10</v>
      </c>
    </row>
    <row r="244" spans="1:32" x14ac:dyDescent="0.3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  <c r="AE244" t="s">
        <v>178</v>
      </c>
      <c r="AF244" t="str">
        <f t="shared" si="3"/>
        <v>2019-10</v>
      </c>
    </row>
    <row r="245" spans="1:32" x14ac:dyDescent="0.3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>
        <v>139.26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  <c r="AE245" t="s">
        <v>179</v>
      </c>
      <c r="AF245" t="str">
        <f t="shared" si="3"/>
        <v>2019-11</v>
      </c>
    </row>
    <row r="246" spans="1:32" x14ac:dyDescent="0.3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  <c r="AE246" t="s">
        <v>179</v>
      </c>
      <c r="AF246" t="str">
        <f t="shared" si="3"/>
        <v>2019-11</v>
      </c>
    </row>
    <row r="247" spans="1:32" x14ac:dyDescent="0.3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  <c r="AE247" t="s">
        <v>179</v>
      </c>
      <c r="AF247" t="str">
        <f t="shared" si="3"/>
        <v>2019-11</v>
      </c>
    </row>
    <row r="248" spans="1:32" x14ac:dyDescent="0.3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>
        <v>139.26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  <c r="AE248" t="s">
        <v>180</v>
      </c>
      <c r="AF248" t="str">
        <f t="shared" si="3"/>
        <v>2019-12</v>
      </c>
    </row>
    <row r="249" spans="1:32" x14ac:dyDescent="0.3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  <c r="AE249" t="s">
        <v>180</v>
      </c>
      <c r="AF249" t="str">
        <f t="shared" si="3"/>
        <v>2019-12</v>
      </c>
    </row>
    <row r="250" spans="1:32" x14ac:dyDescent="0.3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  <c r="AE250" t="s">
        <v>180</v>
      </c>
      <c r="AF250" t="str">
        <f t="shared" si="3"/>
        <v>2019-12</v>
      </c>
    </row>
    <row r="251" spans="1:32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>
        <v>139.26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  <c r="AE251" t="s">
        <v>181</v>
      </c>
      <c r="AF251" t="str">
        <f t="shared" si="3"/>
        <v>2020-01</v>
      </c>
    </row>
    <row r="252" spans="1:32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  <c r="AE252" t="s">
        <v>181</v>
      </c>
      <c r="AF252" t="str">
        <f t="shared" si="3"/>
        <v>2020-01</v>
      </c>
    </row>
    <row r="253" spans="1:32" x14ac:dyDescent="0.3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  <c r="AE253" t="s">
        <v>181</v>
      </c>
      <c r="AF253" t="str">
        <f t="shared" si="3"/>
        <v>2020-01</v>
      </c>
    </row>
    <row r="254" spans="1:32" x14ac:dyDescent="0.3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>
        <v>139.26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  <c r="AE254" t="s">
        <v>182</v>
      </c>
      <c r="AF254" t="str">
        <f t="shared" si="3"/>
        <v>2020-02</v>
      </c>
    </row>
    <row r="255" spans="1:32" x14ac:dyDescent="0.3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  <c r="AE255" t="s">
        <v>182</v>
      </c>
      <c r="AF255" t="str">
        <f t="shared" si="3"/>
        <v>2020-02</v>
      </c>
    </row>
    <row r="256" spans="1:32" x14ac:dyDescent="0.3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  <c r="AE256" t="s">
        <v>182</v>
      </c>
      <c r="AF256" t="str">
        <f t="shared" si="3"/>
        <v>2020-02</v>
      </c>
    </row>
    <row r="257" spans="1:32" x14ac:dyDescent="0.3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>
        <v>139.26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  <c r="AE257" t="s">
        <v>183</v>
      </c>
      <c r="AF257" t="str">
        <f t="shared" si="3"/>
        <v>2020-03</v>
      </c>
    </row>
    <row r="258" spans="1:32" x14ac:dyDescent="0.3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  <c r="AE258" t="s">
        <v>183</v>
      </c>
      <c r="AF258" t="str">
        <f t="shared" si="3"/>
        <v>2020-03</v>
      </c>
    </row>
    <row r="259" spans="1:32" x14ac:dyDescent="0.3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  <c r="AE259" t="s">
        <v>183</v>
      </c>
      <c r="AF259" t="str">
        <f t="shared" ref="AF259:AF322" si="4">TEXT(AE259, "YYYY-MM")</f>
        <v>2020-03</v>
      </c>
    </row>
    <row r="260" spans="1:32" x14ac:dyDescent="0.3">
      <c r="A260" t="s">
        <v>30</v>
      </c>
      <c r="B260">
        <v>2020</v>
      </c>
      <c r="C260" t="s">
        <v>37</v>
      </c>
      <c r="D260">
        <v>147.19999999999999</v>
      </c>
      <c r="E260">
        <v>156.26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>
        <v>149.08000000000001</v>
      </c>
      <c r="P260">
        <v>150.1</v>
      </c>
      <c r="Q260">
        <v>155.38</v>
      </c>
      <c r="R260">
        <v>142.66</v>
      </c>
      <c r="S260">
        <v>135.97</v>
      </c>
      <c r="T260">
        <v>141.66999999999999</v>
      </c>
      <c r="U260">
        <v>139.26</v>
      </c>
      <c r="V260">
        <v>148.4</v>
      </c>
      <c r="W260">
        <v>136.69</v>
      </c>
      <c r="X260">
        <v>154.30000000000001</v>
      </c>
      <c r="Y260">
        <v>121.17</v>
      </c>
      <c r="Z260">
        <v>133.88999999999999</v>
      </c>
      <c r="AA260">
        <v>141.13</v>
      </c>
      <c r="AB260">
        <v>133.35</v>
      </c>
      <c r="AC260">
        <v>134.22999999999999</v>
      </c>
      <c r="AD260">
        <v>139.56</v>
      </c>
      <c r="AE260" t="s">
        <v>184</v>
      </c>
      <c r="AF260" t="str">
        <f t="shared" si="4"/>
        <v>2020-04</v>
      </c>
    </row>
    <row r="261" spans="1:32" x14ac:dyDescent="0.3">
      <c r="A261" t="s">
        <v>33</v>
      </c>
      <c r="B261">
        <v>2020</v>
      </c>
      <c r="C261" t="s">
        <v>37</v>
      </c>
      <c r="D261">
        <v>151.80000000000001</v>
      </c>
      <c r="E261">
        <v>156.26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>
        <v>149.08000000000001</v>
      </c>
      <c r="P261">
        <v>153.5</v>
      </c>
      <c r="Q261">
        <v>155.38</v>
      </c>
      <c r="R261">
        <v>142.66</v>
      </c>
      <c r="S261">
        <v>135.97</v>
      </c>
      <c r="T261">
        <v>141.66999999999999</v>
      </c>
      <c r="U261">
        <v>155.6</v>
      </c>
      <c r="V261">
        <v>137.1</v>
      </c>
      <c r="W261">
        <v>136.69</v>
      </c>
      <c r="X261">
        <v>144.80000000000001</v>
      </c>
      <c r="Y261">
        <v>121.17</v>
      </c>
      <c r="Z261">
        <v>133.88999999999999</v>
      </c>
      <c r="AA261">
        <v>141.13</v>
      </c>
      <c r="AB261">
        <v>133.35</v>
      </c>
      <c r="AC261">
        <v>134.22999999999999</v>
      </c>
      <c r="AD261">
        <v>139.56</v>
      </c>
      <c r="AE261" t="s">
        <v>184</v>
      </c>
      <c r="AF261" t="str">
        <f t="shared" si="4"/>
        <v>2020-04</v>
      </c>
    </row>
    <row r="262" spans="1:32" x14ac:dyDescent="0.3">
      <c r="A262" t="s">
        <v>34</v>
      </c>
      <c r="B262">
        <v>2020</v>
      </c>
      <c r="C262" t="s">
        <v>37</v>
      </c>
      <c r="D262">
        <v>148.69999999999999</v>
      </c>
      <c r="E262">
        <v>156.26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>
        <v>149.08000000000001</v>
      </c>
      <c r="P262">
        <v>151.4</v>
      </c>
      <c r="Q262">
        <v>155.38</v>
      </c>
      <c r="R262">
        <v>142.66</v>
      </c>
      <c r="S262">
        <v>135.97</v>
      </c>
      <c r="T262">
        <v>141.66999999999999</v>
      </c>
      <c r="U262">
        <v>155.6</v>
      </c>
      <c r="V262">
        <v>144.1</v>
      </c>
      <c r="W262">
        <v>136.69</v>
      </c>
      <c r="X262">
        <v>150.69999999999999</v>
      </c>
      <c r="Y262">
        <v>121.17</v>
      </c>
      <c r="Z262">
        <v>133.88999999999999</v>
      </c>
      <c r="AA262">
        <v>141.13</v>
      </c>
      <c r="AB262">
        <v>133.35</v>
      </c>
      <c r="AC262">
        <v>134.22999999999999</v>
      </c>
      <c r="AD262">
        <v>139.56</v>
      </c>
      <c r="AE262" t="s">
        <v>184</v>
      </c>
      <c r="AF262" t="str">
        <f t="shared" si="4"/>
        <v>2020-04</v>
      </c>
    </row>
    <row r="263" spans="1:32" x14ac:dyDescent="0.3">
      <c r="A263" t="s">
        <v>30</v>
      </c>
      <c r="B263">
        <v>2020</v>
      </c>
      <c r="C263" t="s">
        <v>38</v>
      </c>
      <c r="D263">
        <v>136.68</v>
      </c>
      <c r="E263">
        <v>156.26</v>
      </c>
      <c r="F263">
        <v>140.797</v>
      </c>
      <c r="G263">
        <v>140.32499999999999</v>
      </c>
      <c r="H263">
        <v>132.12</v>
      </c>
      <c r="I263">
        <v>140.84</v>
      </c>
      <c r="J263">
        <v>155.75200000000001</v>
      </c>
      <c r="K263">
        <v>141.43</v>
      </c>
      <c r="L263">
        <v>110.92</v>
      </c>
      <c r="M263">
        <v>144.32</v>
      </c>
      <c r="N263">
        <v>134.07</v>
      </c>
      <c r="O263">
        <v>149.08000000000001</v>
      </c>
      <c r="P263">
        <v>142.51</v>
      </c>
      <c r="Q263">
        <v>155.38</v>
      </c>
      <c r="R263">
        <v>142.66</v>
      </c>
      <c r="S263">
        <v>135.97</v>
      </c>
      <c r="T263">
        <v>141.66999999999999</v>
      </c>
      <c r="U263">
        <v>139.26</v>
      </c>
      <c r="V263">
        <v>136.51</v>
      </c>
      <c r="W263">
        <v>136.69</v>
      </c>
      <c r="X263">
        <v>138.51</v>
      </c>
      <c r="Y263">
        <v>121.17</v>
      </c>
      <c r="Z263">
        <v>133.88999999999999</v>
      </c>
      <c r="AA263">
        <v>141.13</v>
      </c>
      <c r="AB263">
        <v>133.35</v>
      </c>
      <c r="AC263">
        <v>134.22999999999999</v>
      </c>
      <c r="AD263">
        <v>139.56</v>
      </c>
      <c r="AE263" t="s">
        <v>185</v>
      </c>
      <c r="AF263" t="str">
        <f t="shared" si="4"/>
        <v>2020-05</v>
      </c>
    </row>
    <row r="264" spans="1:32" x14ac:dyDescent="0.3">
      <c r="A264" t="s">
        <v>33</v>
      </c>
      <c r="B264">
        <v>2020</v>
      </c>
      <c r="C264" t="s">
        <v>38</v>
      </c>
      <c r="D264">
        <v>136.68</v>
      </c>
      <c r="E264">
        <v>156.26</v>
      </c>
      <c r="F264">
        <v>140.797</v>
      </c>
      <c r="G264">
        <v>140.32499999999999</v>
      </c>
      <c r="H264">
        <v>132.12</v>
      </c>
      <c r="I264">
        <v>140.84</v>
      </c>
      <c r="J264">
        <v>155.75200000000001</v>
      </c>
      <c r="K264">
        <v>141.43</v>
      </c>
      <c r="L264">
        <v>110.92</v>
      </c>
      <c r="M264">
        <v>144.32</v>
      </c>
      <c r="N264">
        <v>134.07</v>
      </c>
      <c r="O264">
        <v>149.08000000000001</v>
      </c>
      <c r="P264">
        <v>142.51</v>
      </c>
      <c r="Q264">
        <v>155.38</v>
      </c>
      <c r="R264">
        <v>142.66</v>
      </c>
      <c r="S264">
        <v>135.97</v>
      </c>
      <c r="T264">
        <v>141.66999999999999</v>
      </c>
      <c r="U264">
        <v>139.26</v>
      </c>
      <c r="V264">
        <v>136.51</v>
      </c>
      <c r="W264">
        <v>136.69</v>
      </c>
      <c r="X264">
        <v>138.51</v>
      </c>
      <c r="Y264">
        <v>121.17</v>
      </c>
      <c r="Z264">
        <v>133.88999999999999</v>
      </c>
      <c r="AA264">
        <v>141.13</v>
      </c>
      <c r="AB264">
        <v>133.35</v>
      </c>
      <c r="AC264">
        <v>134.22999999999999</v>
      </c>
      <c r="AD264">
        <v>139.56</v>
      </c>
      <c r="AE264" t="s">
        <v>185</v>
      </c>
      <c r="AF264" t="str">
        <f t="shared" si="4"/>
        <v>2020-05</v>
      </c>
    </row>
    <row r="265" spans="1:32" x14ac:dyDescent="0.3">
      <c r="A265" t="s">
        <v>34</v>
      </c>
      <c r="B265">
        <v>2020</v>
      </c>
      <c r="C265" t="s">
        <v>38</v>
      </c>
      <c r="D265">
        <v>136.68</v>
      </c>
      <c r="E265">
        <v>156.26</v>
      </c>
      <c r="F265">
        <v>140.797</v>
      </c>
      <c r="G265">
        <v>140.32499999999999</v>
      </c>
      <c r="H265">
        <v>132.12</v>
      </c>
      <c r="I265">
        <v>140.84</v>
      </c>
      <c r="J265">
        <v>155.75200000000001</v>
      </c>
      <c r="K265">
        <v>141.43</v>
      </c>
      <c r="L265">
        <v>110.92</v>
      </c>
      <c r="M265">
        <v>144.32</v>
      </c>
      <c r="N265">
        <v>134.07</v>
      </c>
      <c r="O265">
        <v>149.08000000000001</v>
      </c>
      <c r="P265">
        <v>142.51</v>
      </c>
      <c r="Q265">
        <v>155.38</v>
      </c>
      <c r="R265">
        <v>142.66</v>
      </c>
      <c r="S265">
        <v>135.97</v>
      </c>
      <c r="T265">
        <v>141.66999999999999</v>
      </c>
      <c r="U265">
        <v>139.26</v>
      </c>
      <c r="V265">
        <v>136.51</v>
      </c>
      <c r="W265">
        <v>136.69</v>
      </c>
      <c r="X265">
        <v>138.51</v>
      </c>
      <c r="Y265">
        <v>121.17</v>
      </c>
      <c r="Z265">
        <v>133.88999999999999</v>
      </c>
      <c r="AA265">
        <v>141.13</v>
      </c>
      <c r="AB265">
        <v>133.35</v>
      </c>
      <c r="AC265">
        <v>134.22999999999999</v>
      </c>
      <c r="AD265">
        <v>139.56</v>
      </c>
      <c r="AE265" t="s">
        <v>185</v>
      </c>
      <c r="AF265" t="str">
        <f t="shared" si="4"/>
        <v>2020-05</v>
      </c>
    </row>
    <row r="266" spans="1:32" x14ac:dyDescent="0.3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>
        <v>139.26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  <c r="AE266" t="s">
        <v>186</v>
      </c>
      <c r="AF266" t="str">
        <f t="shared" si="4"/>
        <v>2020-06</v>
      </c>
    </row>
    <row r="267" spans="1:32" x14ac:dyDescent="0.3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  <c r="AE267" t="s">
        <v>186</v>
      </c>
      <c r="AF267" t="str">
        <f t="shared" si="4"/>
        <v>2020-06</v>
      </c>
    </row>
    <row r="268" spans="1:32" x14ac:dyDescent="0.3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  <c r="AE268" t="s">
        <v>186</v>
      </c>
      <c r="AF268" t="str">
        <f t="shared" si="4"/>
        <v>2020-06</v>
      </c>
    </row>
    <row r="269" spans="1:32" x14ac:dyDescent="0.3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>
        <v>139.26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  <c r="AE269" t="s">
        <v>187</v>
      </c>
      <c r="AF269" t="str">
        <f t="shared" si="4"/>
        <v>2020-07</v>
      </c>
    </row>
    <row r="270" spans="1:32" x14ac:dyDescent="0.3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  <c r="AE270" t="s">
        <v>187</v>
      </c>
      <c r="AF270" t="str">
        <f t="shared" si="4"/>
        <v>2020-07</v>
      </c>
    </row>
    <row r="271" spans="1:32" x14ac:dyDescent="0.3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  <c r="AE271" t="s">
        <v>187</v>
      </c>
      <c r="AF271" t="str">
        <f t="shared" si="4"/>
        <v>2020-07</v>
      </c>
    </row>
    <row r="272" spans="1:32" x14ac:dyDescent="0.3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>
        <v>139.26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  <c r="AE272" t="s">
        <v>188</v>
      </c>
      <c r="AF272" t="str">
        <f t="shared" si="4"/>
        <v>2020-08</v>
      </c>
    </row>
    <row r="273" spans="1:32" x14ac:dyDescent="0.3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  <c r="AE273" t="s">
        <v>188</v>
      </c>
      <c r="AF273" t="str">
        <f t="shared" si="4"/>
        <v>2020-08</v>
      </c>
    </row>
    <row r="274" spans="1:32" x14ac:dyDescent="0.3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  <c r="AE274" t="s">
        <v>188</v>
      </c>
      <c r="AF274" t="str">
        <f t="shared" si="4"/>
        <v>2020-08</v>
      </c>
    </row>
    <row r="275" spans="1:32" x14ac:dyDescent="0.3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>
        <v>139.26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  <c r="AE275" t="s">
        <v>189</v>
      </c>
      <c r="AF275" t="str">
        <f t="shared" si="4"/>
        <v>2020-09</v>
      </c>
    </row>
    <row r="276" spans="1:32" x14ac:dyDescent="0.3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  <c r="AE276" t="s">
        <v>189</v>
      </c>
      <c r="AF276" t="str">
        <f t="shared" si="4"/>
        <v>2020-09</v>
      </c>
    </row>
    <row r="277" spans="1:32" x14ac:dyDescent="0.3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  <c r="AE277" t="s">
        <v>189</v>
      </c>
      <c r="AF277" t="str">
        <f t="shared" si="4"/>
        <v>2020-09</v>
      </c>
    </row>
    <row r="278" spans="1:32" x14ac:dyDescent="0.3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>
        <v>139.26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  <c r="AE278" t="s">
        <v>190</v>
      </c>
      <c r="AF278" t="str">
        <f t="shared" si="4"/>
        <v>2020-10</v>
      </c>
    </row>
    <row r="279" spans="1:32" x14ac:dyDescent="0.3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  <c r="AE279" t="s">
        <v>190</v>
      </c>
      <c r="AF279" t="str">
        <f t="shared" si="4"/>
        <v>2020-10</v>
      </c>
    </row>
    <row r="280" spans="1:32" x14ac:dyDescent="0.3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  <c r="AE280" t="s">
        <v>190</v>
      </c>
      <c r="AF280" t="str">
        <f t="shared" si="4"/>
        <v>2020-10</v>
      </c>
    </row>
    <row r="281" spans="1:32" x14ac:dyDescent="0.3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>
        <v>139.26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  <c r="AE281" t="s">
        <v>191</v>
      </c>
      <c r="AF281" t="str">
        <f t="shared" si="4"/>
        <v>2020-11</v>
      </c>
    </row>
    <row r="282" spans="1:32" x14ac:dyDescent="0.3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  <c r="AE282" t="s">
        <v>191</v>
      </c>
      <c r="AF282" t="str">
        <f t="shared" si="4"/>
        <v>2020-11</v>
      </c>
    </row>
    <row r="283" spans="1:32" x14ac:dyDescent="0.3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  <c r="AE283" t="s">
        <v>191</v>
      </c>
      <c r="AF283" t="str">
        <f t="shared" si="4"/>
        <v>2020-11</v>
      </c>
    </row>
    <row r="284" spans="1:32" x14ac:dyDescent="0.3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>
        <v>139.26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  <c r="AE284" t="s">
        <v>192</v>
      </c>
      <c r="AF284" t="str">
        <f t="shared" si="4"/>
        <v>2020-12</v>
      </c>
    </row>
    <row r="285" spans="1:32" x14ac:dyDescent="0.3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  <c r="AE285" t="s">
        <v>192</v>
      </c>
      <c r="AF285" t="str">
        <f t="shared" si="4"/>
        <v>2020-12</v>
      </c>
    </row>
    <row r="286" spans="1:32" x14ac:dyDescent="0.3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  <c r="AE286" t="s">
        <v>192</v>
      </c>
      <c r="AF286" t="str">
        <f t="shared" si="4"/>
        <v>2020-12</v>
      </c>
    </row>
    <row r="287" spans="1:32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>
        <v>139.26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  <c r="AE287" t="s">
        <v>193</v>
      </c>
      <c r="AF287" t="str">
        <f t="shared" si="4"/>
        <v>2021-01</v>
      </c>
    </row>
    <row r="288" spans="1:32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  <c r="AE288" t="s">
        <v>193</v>
      </c>
      <c r="AF288" t="str">
        <f t="shared" si="4"/>
        <v>2021-01</v>
      </c>
    </row>
    <row r="289" spans="1:32" x14ac:dyDescent="0.3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  <c r="AE289" t="s">
        <v>193</v>
      </c>
      <c r="AF289" t="str">
        <f t="shared" si="4"/>
        <v>2021-01</v>
      </c>
    </row>
    <row r="290" spans="1:32" x14ac:dyDescent="0.3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>
        <v>139.26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  <c r="AE290" t="s">
        <v>194</v>
      </c>
      <c r="AF290" t="str">
        <f t="shared" si="4"/>
        <v>2021-02</v>
      </c>
    </row>
    <row r="291" spans="1:32" x14ac:dyDescent="0.3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  <c r="AE291" t="s">
        <v>194</v>
      </c>
      <c r="AF291" t="str">
        <f t="shared" si="4"/>
        <v>2021-02</v>
      </c>
    </row>
    <row r="292" spans="1:32" x14ac:dyDescent="0.3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  <c r="AE292" t="s">
        <v>194</v>
      </c>
      <c r="AF292" t="str">
        <f t="shared" si="4"/>
        <v>2021-02</v>
      </c>
    </row>
    <row r="293" spans="1:32" x14ac:dyDescent="0.3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  <c r="AE293" t="s">
        <v>195</v>
      </c>
      <c r="AF293" t="str">
        <f t="shared" si="4"/>
        <v>2021-03</v>
      </c>
    </row>
    <row r="294" spans="1:32" x14ac:dyDescent="0.3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  <c r="AE294" t="s">
        <v>195</v>
      </c>
      <c r="AF294" t="str">
        <f t="shared" si="4"/>
        <v>2021-03</v>
      </c>
    </row>
    <row r="295" spans="1:32" x14ac:dyDescent="0.3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  <c r="AE295" t="s">
        <v>195</v>
      </c>
      <c r="AF295" t="str">
        <f t="shared" si="4"/>
        <v>2021-03</v>
      </c>
    </row>
    <row r="296" spans="1:32" x14ac:dyDescent="0.3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  <c r="AE296" t="s">
        <v>196</v>
      </c>
      <c r="AF296" t="str">
        <f t="shared" si="4"/>
        <v>2021-04</v>
      </c>
    </row>
    <row r="297" spans="1:32" x14ac:dyDescent="0.3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  <c r="AE297" t="s">
        <v>196</v>
      </c>
      <c r="AF297" t="str">
        <f t="shared" si="4"/>
        <v>2021-04</v>
      </c>
    </row>
    <row r="298" spans="1:32" x14ac:dyDescent="0.3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  <c r="AE298" t="s">
        <v>196</v>
      </c>
      <c r="AF298" t="str">
        <f t="shared" si="4"/>
        <v>2021-04</v>
      </c>
    </row>
    <row r="299" spans="1:32" x14ac:dyDescent="0.3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>
        <v>139.26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  <c r="AE299" t="s">
        <v>197</v>
      </c>
      <c r="AF299" t="str">
        <f t="shared" si="4"/>
        <v>2021-05</v>
      </c>
    </row>
    <row r="300" spans="1:32" x14ac:dyDescent="0.3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  <c r="AE300" t="s">
        <v>197</v>
      </c>
      <c r="AF300" t="str">
        <f t="shared" si="4"/>
        <v>2021-05</v>
      </c>
    </row>
    <row r="301" spans="1:32" x14ac:dyDescent="0.3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  <c r="AE301" t="s">
        <v>197</v>
      </c>
      <c r="AF301" t="str">
        <f t="shared" si="4"/>
        <v>2021-05</v>
      </c>
    </row>
    <row r="302" spans="1:32" x14ac:dyDescent="0.3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>
        <v>139.26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  <c r="AE302" t="s">
        <v>198</v>
      </c>
      <c r="AF302" t="str">
        <f t="shared" si="4"/>
        <v>2021-06</v>
      </c>
    </row>
    <row r="303" spans="1:32" x14ac:dyDescent="0.3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  <c r="AE303" t="s">
        <v>198</v>
      </c>
      <c r="AF303" t="str">
        <f t="shared" si="4"/>
        <v>2021-06</v>
      </c>
    </row>
    <row r="304" spans="1:32" x14ac:dyDescent="0.3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  <c r="AE304" t="s">
        <v>198</v>
      </c>
      <c r="AF304" t="str">
        <f t="shared" si="4"/>
        <v>2021-06</v>
      </c>
    </row>
    <row r="305" spans="1:32" x14ac:dyDescent="0.3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>
        <v>139.26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  <c r="AE305" t="s">
        <v>199</v>
      </c>
      <c r="AF305" t="str">
        <f t="shared" si="4"/>
        <v>2021-07</v>
      </c>
    </row>
    <row r="306" spans="1:32" x14ac:dyDescent="0.3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  <c r="AE306" t="s">
        <v>199</v>
      </c>
      <c r="AF306" t="str">
        <f t="shared" si="4"/>
        <v>2021-07</v>
      </c>
    </row>
    <row r="307" spans="1:32" x14ac:dyDescent="0.3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  <c r="AE307" t="s">
        <v>199</v>
      </c>
      <c r="AF307" t="str">
        <f t="shared" si="4"/>
        <v>2021-07</v>
      </c>
    </row>
    <row r="308" spans="1:32" x14ac:dyDescent="0.3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>
        <v>139.26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  <c r="AE308" t="s">
        <v>200</v>
      </c>
      <c r="AF308" t="str">
        <f t="shared" si="4"/>
        <v>2021-08</v>
      </c>
    </row>
    <row r="309" spans="1:32" x14ac:dyDescent="0.3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  <c r="AE309" t="s">
        <v>200</v>
      </c>
      <c r="AF309" t="str">
        <f t="shared" si="4"/>
        <v>2021-08</v>
      </c>
    </row>
    <row r="310" spans="1:32" x14ac:dyDescent="0.3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  <c r="AE310" t="s">
        <v>200</v>
      </c>
      <c r="AF310" t="str">
        <f t="shared" si="4"/>
        <v>2021-08</v>
      </c>
    </row>
    <row r="311" spans="1:32" x14ac:dyDescent="0.3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>
        <v>139.26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  <c r="AE311" t="s">
        <v>201</v>
      </c>
      <c r="AF311" t="str">
        <f t="shared" si="4"/>
        <v>2021-09</v>
      </c>
    </row>
    <row r="312" spans="1:32" x14ac:dyDescent="0.3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  <c r="AE312" t="s">
        <v>201</v>
      </c>
      <c r="AF312" t="str">
        <f t="shared" si="4"/>
        <v>2021-09</v>
      </c>
    </row>
    <row r="313" spans="1:32" x14ac:dyDescent="0.3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  <c r="AE313" t="s">
        <v>201</v>
      </c>
      <c r="AF313" t="str">
        <f t="shared" si="4"/>
        <v>2021-09</v>
      </c>
    </row>
    <row r="314" spans="1:32" x14ac:dyDescent="0.3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>
        <v>139.26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  <c r="AE314" t="s">
        <v>202</v>
      </c>
      <c r="AF314" t="str">
        <f t="shared" si="4"/>
        <v>2021-10</v>
      </c>
    </row>
    <row r="315" spans="1:32" x14ac:dyDescent="0.3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  <c r="AE315" t="s">
        <v>202</v>
      </c>
      <c r="AF315" t="str">
        <f t="shared" si="4"/>
        <v>2021-10</v>
      </c>
    </row>
    <row r="316" spans="1:32" x14ac:dyDescent="0.3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  <c r="AE316" t="s">
        <v>202</v>
      </c>
      <c r="AF316" t="str">
        <f t="shared" si="4"/>
        <v>2021-10</v>
      </c>
    </row>
    <row r="317" spans="1:32" x14ac:dyDescent="0.3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>
        <v>139.26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  <c r="AE317" t="s">
        <v>203</v>
      </c>
      <c r="AF317" t="str">
        <f t="shared" si="4"/>
        <v>2021-11</v>
      </c>
    </row>
    <row r="318" spans="1:32" x14ac:dyDescent="0.3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  <c r="AE318" t="s">
        <v>203</v>
      </c>
      <c r="AF318" t="str">
        <f t="shared" si="4"/>
        <v>2021-11</v>
      </c>
    </row>
    <row r="319" spans="1:32" x14ac:dyDescent="0.3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  <c r="AE319" t="s">
        <v>203</v>
      </c>
      <c r="AF319" t="str">
        <f t="shared" si="4"/>
        <v>2021-11</v>
      </c>
    </row>
    <row r="320" spans="1:32" x14ac:dyDescent="0.3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>
        <v>139.26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  <c r="AE320" t="s">
        <v>204</v>
      </c>
      <c r="AF320" t="str">
        <f t="shared" si="4"/>
        <v>2021-12</v>
      </c>
    </row>
    <row r="321" spans="1:32" x14ac:dyDescent="0.3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  <c r="AE321" t="s">
        <v>204</v>
      </c>
      <c r="AF321" t="str">
        <f t="shared" si="4"/>
        <v>2021-12</v>
      </c>
    </row>
    <row r="322" spans="1:32" x14ac:dyDescent="0.3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  <c r="AE322" t="s">
        <v>204</v>
      </c>
      <c r="AF322" t="str">
        <f t="shared" si="4"/>
        <v>2021-12</v>
      </c>
    </row>
    <row r="323" spans="1:32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>
        <v>139.26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  <c r="AE323" t="s">
        <v>205</v>
      </c>
      <c r="AF323" t="str">
        <f t="shared" ref="AF323:AF373" si="5">TEXT(AE323, "YYYY-MM")</f>
        <v>2022-01</v>
      </c>
    </row>
    <row r="324" spans="1:32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  <c r="AE324" t="s">
        <v>205</v>
      </c>
      <c r="AF324" t="str">
        <f t="shared" si="5"/>
        <v>2022-01</v>
      </c>
    </row>
    <row r="325" spans="1:32" x14ac:dyDescent="0.3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  <c r="AE325" t="s">
        <v>205</v>
      </c>
      <c r="AF325" t="str">
        <f t="shared" si="5"/>
        <v>2022-01</v>
      </c>
    </row>
    <row r="326" spans="1:32" x14ac:dyDescent="0.3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>
        <v>139.26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  <c r="AE326" t="s">
        <v>206</v>
      </c>
      <c r="AF326" t="str">
        <f t="shared" si="5"/>
        <v>2022-02</v>
      </c>
    </row>
    <row r="327" spans="1:32" x14ac:dyDescent="0.3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  <c r="AE327" t="s">
        <v>206</v>
      </c>
      <c r="AF327" t="str">
        <f t="shared" si="5"/>
        <v>2022-02</v>
      </c>
    </row>
    <row r="328" spans="1:32" x14ac:dyDescent="0.3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  <c r="AE328" t="s">
        <v>206</v>
      </c>
      <c r="AF328" t="str">
        <f t="shared" si="5"/>
        <v>2022-02</v>
      </c>
    </row>
    <row r="329" spans="1:32" x14ac:dyDescent="0.3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>
        <v>139.26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  <c r="AE329" t="s">
        <v>207</v>
      </c>
      <c r="AF329" t="str">
        <f t="shared" si="5"/>
        <v>2022-03</v>
      </c>
    </row>
    <row r="330" spans="1:32" x14ac:dyDescent="0.3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  <c r="AE330" t="s">
        <v>207</v>
      </c>
      <c r="AF330" t="str">
        <f t="shared" si="5"/>
        <v>2022-03</v>
      </c>
    </row>
    <row r="331" spans="1:32" x14ac:dyDescent="0.3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  <c r="AE331" t="s">
        <v>207</v>
      </c>
      <c r="AF331" t="str">
        <f t="shared" si="5"/>
        <v>2022-03</v>
      </c>
    </row>
    <row r="332" spans="1:32" x14ac:dyDescent="0.3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>
        <v>139.26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  <c r="AE332" t="s">
        <v>208</v>
      </c>
      <c r="AF332" t="str">
        <f t="shared" si="5"/>
        <v>2022-04</v>
      </c>
    </row>
    <row r="333" spans="1:32" x14ac:dyDescent="0.3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  <c r="AE333" t="s">
        <v>208</v>
      </c>
      <c r="AF333" t="str">
        <f t="shared" si="5"/>
        <v>2022-04</v>
      </c>
    </row>
    <row r="334" spans="1:32" x14ac:dyDescent="0.3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  <c r="AE334" t="s">
        <v>208</v>
      </c>
      <c r="AF334" t="str">
        <f t="shared" si="5"/>
        <v>2022-04</v>
      </c>
    </row>
    <row r="335" spans="1:32" x14ac:dyDescent="0.3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>
        <v>139.26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  <c r="AE335" t="s">
        <v>209</v>
      </c>
      <c r="AF335" t="str">
        <f t="shared" si="5"/>
        <v>2022-05</v>
      </c>
    </row>
    <row r="336" spans="1:32" x14ac:dyDescent="0.3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  <c r="AE336" t="s">
        <v>209</v>
      </c>
      <c r="AF336" t="str">
        <f t="shared" si="5"/>
        <v>2022-05</v>
      </c>
    </row>
    <row r="337" spans="1:32" x14ac:dyDescent="0.3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  <c r="AE337" t="s">
        <v>209</v>
      </c>
      <c r="AF337" t="str">
        <f t="shared" si="5"/>
        <v>2022-05</v>
      </c>
    </row>
    <row r="338" spans="1:32" x14ac:dyDescent="0.3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>
        <v>139.26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  <c r="AE338" t="s">
        <v>210</v>
      </c>
      <c r="AF338" t="str">
        <f t="shared" si="5"/>
        <v>2022-06</v>
      </c>
    </row>
    <row r="339" spans="1:32" x14ac:dyDescent="0.3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  <c r="AE339" t="s">
        <v>210</v>
      </c>
      <c r="AF339" t="str">
        <f t="shared" si="5"/>
        <v>2022-06</v>
      </c>
    </row>
    <row r="340" spans="1:32" x14ac:dyDescent="0.3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  <c r="AE340" t="s">
        <v>210</v>
      </c>
      <c r="AF340" t="str">
        <f t="shared" si="5"/>
        <v>2022-06</v>
      </c>
    </row>
    <row r="341" spans="1:32" x14ac:dyDescent="0.3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>
        <v>139.26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  <c r="AE341" t="s">
        <v>211</v>
      </c>
      <c r="AF341" t="str">
        <f t="shared" si="5"/>
        <v>2022-07</v>
      </c>
    </row>
    <row r="342" spans="1:32" x14ac:dyDescent="0.3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  <c r="AE342" t="s">
        <v>211</v>
      </c>
      <c r="AF342" t="str">
        <f t="shared" si="5"/>
        <v>2022-07</v>
      </c>
    </row>
    <row r="343" spans="1:32" x14ac:dyDescent="0.3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  <c r="AE343" t="s">
        <v>211</v>
      </c>
      <c r="AF343" t="str">
        <f t="shared" si="5"/>
        <v>2022-07</v>
      </c>
    </row>
    <row r="344" spans="1:32" x14ac:dyDescent="0.3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>
        <v>139.26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  <c r="AE344" t="s">
        <v>212</v>
      </c>
      <c r="AF344" t="str">
        <f t="shared" si="5"/>
        <v>2022-08</v>
      </c>
    </row>
    <row r="345" spans="1:32" x14ac:dyDescent="0.3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  <c r="AE345" t="s">
        <v>212</v>
      </c>
      <c r="AF345" t="str">
        <f t="shared" si="5"/>
        <v>2022-08</v>
      </c>
    </row>
    <row r="346" spans="1:32" x14ac:dyDescent="0.3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  <c r="AE346" t="s">
        <v>212</v>
      </c>
      <c r="AF346" t="str">
        <f t="shared" si="5"/>
        <v>2022-08</v>
      </c>
    </row>
    <row r="347" spans="1:32" x14ac:dyDescent="0.3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>
        <v>139.26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  <c r="AE347" t="s">
        <v>213</v>
      </c>
      <c r="AF347" t="str">
        <f t="shared" si="5"/>
        <v>2022-09</v>
      </c>
    </row>
    <row r="348" spans="1:32" x14ac:dyDescent="0.3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  <c r="AE348" t="s">
        <v>213</v>
      </c>
      <c r="AF348" t="str">
        <f t="shared" si="5"/>
        <v>2022-09</v>
      </c>
    </row>
    <row r="349" spans="1:32" x14ac:dyDescent="0.3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  <c r="AE349" t="s">
        <v>213</v>
      </c>
      <c r="AF349" t="str">
        <f t="shared" si="5"/>
        <v>2022-09</v>
      </c>
    </row>
    <row r="350" spans="1:32" x14ac:dyDescent="0.3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>
        <v>139.26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  <c r="AE350" t="s">
        <v>214</v>
      </c>
      <c r="AF350" t="str">
        <f t="shared" si="5"/>
        <v>2022-10</v>
      </c>
    </row>
    <row r="351" spans="1:32" x14ac:dyDescent="0.3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  <c r="AE351" t="s">
        <v>214</v>
      </c>
      <c r="AF351" t="str">
        <f t="shared" si="5"/>
        <v>2022-10</v>
      </c>
    </row>
    <row r="352" spans="1:32" x14ac:dyDescent="0.3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  <c r="AE352" t="s">
        <v>214</v>
      </c>
      <c r="AF352" t="str">
        <f t="shared" si="5"/>
        <v>2022-10</v>
      </c>
    </row>
    <row r="353" spans="1:32" x14ac:dyDescent="0.3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>
        <v>139.26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  <c r="AE353" t="s">
        <v>215</v>
      </c>
      <c r="AF353" t="str">
        <f t="shared" si="5"/>
        <v>2022-11</v>
      </c>
    </row>
    <row r="354" spans="1:32" x14ac:dyDescent="0.3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  <c r="AE354" t="s">
        <v>215</v>
      </c>
      <c r="AF354" t="str">
        <f t="shared" si="5"/>
        <v>2022-11</v>
      </c>
    </row>
    <row r="355" spans="1:32" x14ac:dyDescent="0.3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  <c r="AE355" t="s">
        <v>215</v>
      </c>
      <c r="AF355" t="str">
        <f t="shared" si="5"/>
        <v>2022-11</v>
      </c>
    </row>
    <row r="356" spans="1:32" x14ac:dyDescent="0.3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>
        <v>139.26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  <c r="AE356" t="s">
        <v>216</v>
      </c>
      <c r="AF356" t="str">
        <f t="shared" si="5"/>
        <v>2022-12</v>
      </c>
    </row>
    <row r="357" spans="1:32" x14ac:dyDescent="0.3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  <c r="AE357" t="s">
        <v>216</v>
      </c>
      <c r="AF357" t="str">
        <f t="shared" si="5"/>
        <v>2022-12</v>
      </c>
    </row>
    <row r="358" spans="1:32" x14ac:dyDescent="0.3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  <c r="AE358" t="s">
        <v>216</v>
      </c>
      <c r="AF358" t="str">
        <f t="shared" si="5"/>
        <v>2022-12</v>
      </c>
    </row>
    <row r="359" spans="1:32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>
        <v>139.26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  <c r="AE359" t="s">
        <v>217</v>
      </c>
      <c r="AF359" t="str">
        <f t="shared" si="5"/>
        <v>2023-01</v>
      </c>
    </row>
    <row r="360" spans="1:32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  <c r="AE360" t="s">
        <v>217</v>
      </c>
      <c r="AF360" t="str">
        <f t="shared" si="5"/>
        <v>2023-01</v>
      </c>
    </row>
    <row r="361" spans="1:32" x14ac:dyDescent="0.3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  <c r="AE361" t="s">
        <v>217</v>
      </c>
      <c r="AF361" t="str">
        <f t="shared" si="5"/>
        <v>2023-01</v>
      </c>
    </row>
    <row r="362" spans="1:32" x14ac:dyDescent="0.3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>
        <v>139.26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  <c r="AE362" t="s">
        <v>218</v>
      </c>
      <c r="AF362" t="str">
        <f t="shared" si="5"/>
        <v>2023-02</v>
      </c>
    </row>
    <row r="363" spans="1:32" x14ac:dyDescent="0.3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  <c r="AE363" t="s">
        <v>218</v>
      </c>
      <c r="AF363" t="str">
        <f t="shared" si="5"/>
        <v>2023-02</v>
      </c>
    </row>
    <row r="364" spans="1:32" x14ac:dyDescent="0.3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  <c r="AE364" t="s">
        <v>218</v>
      </c>
      <c r="AF364" t="str">
        <f t="shared" si="5"/>
        <v>2023-02</v>
      </c>
    </row>
    <row r="365" spans="1:32" x14ac:dyDescent="0.3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>
        <v>139.26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  <c r="AE365" t="s">
        <v>219</v>
      </c>
      <c r="AF365" t="str">
        <f t="shared" si="5"/>
        <v>2023-03</v>
      </c>
    </row>
    <row r="366" spans="1:32" x14ac:dyDescent="0.3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  <c r="AE366" t="s">
        <v>219</v>
      </c>
      <c r="AF366" t="str">
        <f t="shared" si="5"/>
        <v>2023-03</v>
      </c>
    </row>
    <row r="367" spans="1:32" x14ac:dyDescent="0.3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  <c r="AE367" t="s">
        <v>219</v>
      </c>
      <c r="AF367" t="str">
        <f t="shared" si="5"/>
        <v>2023-03</v>
      </c>
    </row>
    <row r="368" spans="1:32" x14ac:dyDescent="0.3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  <c r="AE368" t="s">
        <v>220</v>
      </c>
      <c r="AF368" t="str">
        <f t="shared" si="5"/>
        <v>2023-04</v>
      </c>
    </row>
    <row r="369" spans="1:32" x14ac:dyDescent="0.3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  <c r="AE369" t="s">
        <v>220</v>
      </c>
      <c r="AF369" t="str">
        <f t="shared" si="5"/>
        <v>2023-04</v>
      </c>
    </row>
    <row r="370" spans="1:32" x14ac:dyDescent="0.3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  <c r="AE370" t="s">
        <v>220</v>
      </c>
      <c r="AF370" t="str">
        <f t="shared" si="5"/>
        <v>2023-04</v>
      </c>
    </row>
    <row r="371" spans="1:32" x14ac:dyDescent="0.3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>
        <v>139.26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  <c r="AE371" t="s">
        <v>221</v>
      </c>
      <c r="AF371" t="str">
        <f t="shared" si="5"/>
        <v>2023-05</v>
      </c>
    </row>
    <row r="372" spans="1:32" x14ac:dyDescent="0.3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  <c r="AE372" t="s">
        <v>221</v>
      </c>
      <c r="AF372" t="str">
        <f t="shared" si="5"/>
        <v>2023-05</v>
      </c>
    </row>
    <row r="373" spans="1:32" x14ac:dyDescent="0.3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  <c r="AE373" t="s">
        <v>221</v>
      </c>
      <c r="AF373" t="str">
        <f t="shared" si="5"/>
        <v>2023-05</v>
      </c>
    </row>
  </sheetData>
  <autoFilter ref="A1:AD373" xr:uid="{D66B7195-3D03-48BF-9FA4-DB27CBB6988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8EFF-A033-4975-899F-443BBB4E6475}">
  <dimension ref="A1:M34"/>
  <sheetViews>
    <sheetView showGridLines="0" workbookViewId="0">
      <selection activeCell="B4" sqref="B4"/>
    </sheetView>
  </sheetViews>
  <sheetFormatPr defaultRowHeight="14.4" x14ac:dyDescent="0.3"/>
  <cols>
    <col min="1" max="1" width="31.88671875" customWidth="1"/>
    <col min="2" max="2" width="18.5546875" customWidth="1"/>
    <col min="3" max="3" width="18.6640625" customWidth="1"/>
    <col min="6" max="6" width="26" customWidth="1"/>
    <col min="7" max="7" width="19.21875" customWidth="1"/>
    <col min="8" max="8" width="23" customWidth="1"/>
    <col min="11" max="11" width="32.5546875" customWidth="1"/>
    <col min="12" max="12" width="17.77734375" customWidth="1"/>
    <col min="13" max="13" width="16.77734375" customWidth="1"/>
  </cols>
  <sheetData>
    <row r="1" spans="1:13" x14ac:dyDescent="0.3">
      <c r="A1" t="s">
        <v>237</v>
      </c>
    </row>
    <row r="3" spans="1:13" x14ac:dyDescent="0.3">
      <c r="A3" t="s">
        <v>52</v>
      </c>
      <c r="B3" t="s">
        <v>235</v>
      </c>
      <c r="C3" t="s">
        <v>58</v>
      </c>
      <c r="F3" t="s">
        <v>52</v>
      </c>
      <c r="G3" t="s">
        <v>235</v>
      </c>
      <c r="H3" t="s">
        <v>58</v>
      </c>
      <c r="K3" t="s">
        <v>52</v>
      </c>
      <c r="L3" t="s">
        <v>235</v>
      </c>
      <c r="M3" t="s">
        <v>58</v>
      </c>
    </row>
    <row r="4" spans="1:13" x14ac:dyDescent="0.3">
      <c r="A4" t="s">
        <v>95</v>
      </c>
      <c r="B4">
        <f>SUM(All_India_Index_Upto_April23!D371:P371)</f>
        <v>2290.7000000000007</v>
      </c>
      <c r="C4" s="2">
        <f>(B4/$B$13)*100%</f>
        <v>0.49389184271009862</v>
      </c>
      <c r="F4" t="s">
        <v>95</v>
      </c>
      <c r="G4">
        <f>SUM(All_India_Index_Upto_April23!D372:P372)</f>
        <v>2335.1</v>
      </c>
      <c r="H4" s="2">
        <f>(G4/$B$13)*100%</f>
        <v>0.50346481071827431</v>
      </c>
      <c r="K4" t="s">
        <v>95</v>
      </c>
      <c r="L4">
        <f>SUM(All_India_Index_Upto_April23!D373:P373)</f>
        <v>2306.9</v>
      </c>
      <c r="M4" s="2">
        <f>(L4/$B$13)*100%</f>
        <v>0.49738468238875727</v>
      </c>
    </row>
    <row r="5" spans="1:13" x14ac:dyDescent="0.3">
      <c r="A5" t="s">
        <v>53</v>
      </c>
      <c r="B5">
        <f>SUM(All_India_Index_Upto_April23!Q371:Q371)</f>
        <v>199.9</v>
      </c>
      <c r="C5" s="2">
        <f t="shared" ref="C5:C12" si="0">(B5/$B$13)*100%</f>
        <v>4.3099916775548384E-2</v>
      </c>
      <c r="F5" t="s">
        <v>53</v>
      </c>
      <c r="G5">
        <f>SUM(All_India_Index_Upto_April23!Q372:Q372)</f>
        <v>204.2</v>
      </c>
      <c r="H5" s="2">
        <f t="shared" ref="H5:H12" si="1">(G5/$B$13)*100%</f>
        <v>4.4027028542105953E-2</v>
      </c>
      <c r="K5" t="s">
        <v>53</v>
      </c>
      <c r="L5">
        <f>SUM(All_India_Index_Upto_April23!Q373)</f>
        <v>201</v>
      </c>
      <c r="M5" s="2">
        <f t="shared" ref="M5:M12" si="2">(L5/$B$13)*100%</f>
        <v>4.3337084901877064E-2</v>
      </c>
    </row>
    <row r="6" spans="1:13" x14ac:dyDescent="0.3">
      <c r="A6" t="s">
        <v>54</v>
      </c>
      <c r="B6">
        <f>SUM(All_India_Index_Upto_April23!R371:T371)</f>
        <v>569.90000000000009</v>
      </c>
      <c r="C6" s="2">
        <f t="shared" si="0"/>
        <v>0.12287465017701366</v>
      </c>
      <c r="F6" t="s">
        <v>54</v>
      </c>
      <c r="G6">
        <f>SUM(All_India_Index_Upto_April23!R372:T372)</f>
        <v>528.70000000000005</v>
      </c>
      <c r="H6" s="2">
        <f t="shared" si="1"/>
        <v>0.1139916258090667</v>
      </c>
      <c r="K6" t="s">
        <v>54</v>
      </c>
      <c r="L6">
        <f>SUM(All_India_Index_Upto_April23!R373:T373)</f>
        <v>553.20000000000005</v>
      </c>
      <c r="M6" s="2">
        <f t="shared" si="2"/>
        <v>0.11927400680456912</v>
      </c>
    </row>
    <row r="7" spans="1:13" x14ac:dyDescent="0.3">
      <c r="A7" t="s">
        <v>20</v>
      </c>
      <c r="B7">
        <f>SUM(All_India_Index_Upto_April23!U371:U371)</f>
        <v>139.26</v>
      </c>
      <c r="C7" s="2">
        <f t="shared" si="0"/>
        <v>3.0025484793210943E-2</v>
      </c>
      <c r="F7" t="s">
        <v>20</v>
      </c>
      <c r="G7">
        <f>SUM(All_India_Index_Upto_April23!U372)</f>
        <v>175.6</v>
      </c>
      <c r="H7" s="2">
        <f t="shared" si="1"/>
        <v>3.7860657257560264E-2</v>
      </c>
      <c r="K7" t="s">
        <v>20</v>
      </c>
      <c r="L7">
        <f>SUM(All_India_Index_Upto_April23!Z372)</f>
        <v>169.2</v>
      </c>
      <c r="M7" s="2">
        <f t="shared" si="2"/>
        <v>3.6480769977102485E-2</v>
      </c>
    </row>
    <row r="8" spans="1:13" x14ac:dyDescent="0.3">
      <c r="A8" t="s">
        <v>55</v>
      </c>
      <c r="B8">
        <f>SUM(All_India_Index_Upto_April23!V371:W371)</f>
        <v>362.3</v>
      </c>
      <c r="C8" s="2">
        <f t="shared" si="0"/>
        <v>7.811455651716448E-2</v>
      </c>
      <c r="F8" t="s">
        <v>55</v>
      </c>
      <c r="G8">
        <f>SUM(All_India_Index_Upto_April23!V372:W372)</f>
        <v>353.5</v>
      </c>
      <c r="H8" s="2">
        <f t="shared" si="1"/>
        <v>7.6217211506535043E-2</v>
      </c>
      <c r="K8" t="s">
        <v>55</v>
      </c>
      <c r="L8">
        <f>SUM(All_India_Index_Upto_April23!V373:W373)</f>
        <v>358</v>
      </c>
      <c r="M8" s="2">
        <f t="shared" si="2"/>
        <v>7.7187444750606918E-2</v>
      </c>
    </row>
    <row r="9" spans="1:13" x14ac:dyDescent="0.3">
      <c r="A9" t="s">
        <v>23</v>
      </c>
      <c r="B9">
        <f>SUM(All_India_Index_Upto_April23!X371:X371)</f>
        <v>187.8</v>
      </c>
      <c r="C9" s="2">
        <f t="shared" si="0"/>
        <v>4.0491067385932902E-2</v>
      </c>
      <c r="F9" t="s">
        <v>23</v>
      </c>
      <c r="G9">
        <f>SUM(All_India_Index_Upto_April23!X372:X372)</f>
        <v>182.2</v>
      </c>
      <c r="H9" s="2">
        <f t="shared" si="1"/>
        <v>3.9283666015532341E-2</v>
      </c>
      <c r="K9" t="s">
        <v>23</v>
      </c>
      <c r="L9">
        <f>SUM(All_India_Index_Upto_April23!X373)</f>
        <v>185.7</v>
      </c>
      <c r="M9" s="2">
        <f t="shared" si="2"/>
        <v>4.0038291872032693E-2</v>
      </c>
    </row>
    <row r="10" spans="1:13" x14ac:dyDescent="0.3">
      <c r="A10" t="s">
        <v>56</v>
      </c>
      <c r="B10">
        <f>SUM(All_India_Index_Upto_April23!Y371:Y371)</f>
        <v>169.7</v>
      </c>
      <c r="C10" s="2">
        <f t="shared" si="0"/>
        <v>3.6588573670888247E-2</v>
      </c>
      <c r="F10" t="s">
        <v>56</v>
      </c>
      <c r="G10">
        <f>SUM(All_India_Index_Upto_April23!Y372:Y372)</f>
        <v>160.4</v>
      </c>
      <c r="H10" s="2">
        <f t="shared" si="1"/>
        <v>3.4583424966473042E-2</v>
      </c>
      <c r="K10" t="s">
        <v>56</v>
      </c>
      <c r="L10">
        <f>SUM(All_India_Index_Upto_April23!Y373)</f>
        <v>164.8</v>
      </c>
      <c r="M10" s="2">
        <f t="shared" si="2"/>
        <v>3.5532097471787767E-2</v>
      </c>
    </row>
    <row r="11" spans="1:13" x14ac:dyDescent="0.3">
      <c r="A11" t="s">
        <v>26</v>
      </c>
      <c r="B11">
        <f>SUM(All_India_Index_Upto_April23!AA371:AA371)</f>
        <v>180.3</v>
      </c>
      <c r="C11" s="2">
        <f t="shared" si="0"/>
        <v>3.8874011979146444E-2</v>
      </c>
      <c r="F11" t="s">
        <v>26</v>
      </c>
      <c r="G11">
        <f>SUM(All_India_Index_Upto_April23!AA372:AA372)</f>
        <v>174.8</v>
      </c>
      <c r="H11" s="2">
        <f t="shared" si="1"/>
        <v>3.768817134750304E-2</v>
      </c>
      <c r="K11" t="s">
        <v>26</v>
      </c>
      <c r="L11">
        <f>SUM(All_India_Index_Upto_April23!AA373)</f>
        <v>177.1</v>
      </c>
      <c r="M11" s="2">
        <f t="shared" si="2"/>
        <v>3.8184068338917555E-2</v>
      </c>
    </row>
    <row r="12" spans="1:13" x14ac:dyDescent="0.3">
      <c r="A12" t="s">
        <v>57</v>
      </c>
      <c r="B12">
        <f>SUM(All_India_Index_Upto_April23!Z371:Z371, All_India_Index_Upto_April23!AB371:AC371)</f>
        <v>538.20000000000005</v>
      </c>
      <c r="C12" s="2">
        <f t="shared" si="0"/>
        <v>0.11603989599099621</v>
      </c>
      <c r="F12" t="s">
        <v>57</v>
      </c>
      <c r="G12">
        <f>SUM(All_India_Index_Upto_April23!Z372:Z372, All_India_Index_Upto_April23!AB372:AC372)</f>
        <v>526.4</v>
      </c>
      <c r="H12" s="2">
        <f t="shared" si="1"/>
        <v>0.11349572881765217</v>
      </c>
      <c r="K12" t="s">
        <v>57</v>
      </c>
      <c r="L12">
        <f>SUM(All_India_Index_Upto_April23!AB373:AC373,All_India_Index_Upto_April23!Z373)</f>
        <v>532.09999999999991</v>
      </c>
      <c r="M12" s="2">
        <f t="shared" si="2"/>
        <v>0.11472469092680987</v>
      </c>
    </row>
    <row r="13" spans="1:13" x14ac:dyDescent="0.3">
      <c r="A13" t="s">
        <v>51</v>
      </c>
      <c r="B13">
        <f>SUM(B4:B12)</f>
        <v>4638.0600000000013</v>
      </c>
      <c r="C13" s="9">
        <f>SUM(C4:C12)</f>
        <v>0.99999999999999989</v>
      </c>
      <c r="F13" t="s">
        <v>51</v>
      </c>
      <c r="G13">
        <f>SUM(G4:G12)</f>
        <v>4640.8999999999996</v>
      </c>
      <c r="H13" s="9">
        <f>SUM(H4:H12)</f>
        <v>1.0006123249807028</v>
      </c>
      <c r="K13" t="s">
        <v>51</v>
      </c>
      <c r="L13">
        <f>SUM(L4:L12)</f>
        <v>4648</v>
      </c>
      <c r="M13" s="9">
        <f>SUM(M4:M12)</f>
        <v>1.0021431374324608</v>
      </c>
    </row>
    <row r="34" spans="6:6" x14ac:dyDescent="0.3">
      <c r="F34" s="1" t="s">
        <v>239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3609-5685-4392-8C97-D427271F46E6}">
  <dimension ref="A1:XFD74"/>
  <sheetViews>
    <sheetView showGridLines="0" topLeftCell="A23" zoomScale="93" workbookViewId="0">
      <selection activeCell="A33" sqref="A33"/>
    </sheetView>
  </sheetViews>
  <sheetFormatPr defaultRowHeight="14.4" x14ac:dyDescent="0.3"/>
  <cols>
    <col min="1" max="1" width="13" bestFit="1" customWidth="1"/>
    <col min="2" max="2" width="24" customWidth="1"/>
    <col min="3" max="3" width="22.44140625" bestFit="1" customWidth="1"/>
    <col min="4" max="4" width="13.6640625" bestFit="1" customWidth="1"/>
    <col min="5" max="5" width="26.21875" bestFit="1" customWidth="1"/>
    <col min="6" max="6" width="21.21875" bestFit="1" customWidth="1"/>
    <col min="7" max="7" width="15.5546875" bestFit="1" customWidth="1"/>
    <col min="8" max="8" width="20.33203125" bestFit="1" customWidth="1"/>
    <col min="9" max="9" width="28" bestFit="1" customWidth="1"/>
    <col min="10" max="10" width="31.88671875" bestFit="1" customWidth="1"/>
    <col min="11" max="11" width="16" bestFit="1" customWidth="1"/>
    <col min="12" max="12" width="31.77734375" bestFit="1" customWidth="1"/>
    <col min="13" max="13" width="46" bestFit="1" customWidth="1"/>
    <col min="14" max="14" width="28.109375" bestFit="1" customWidth="1"/>
    <col min="15" max="15" width="35.44140625" bestFit="1" customWidth="1"/>
    <col min="16" max="16" width="17.77734375" bestFit="1" customWidth="1"/>
    <col min="17" max="17" width="19" bestFit="1" customWidth="1"/>
    <col min="18" max="18" width="29.88671875" bestFit="1" customWidth="1"/>
    <col min="19" max="19" width="22.21875" bestFit="1" customWidth="1"/>
    <col min="20" max="20" width="17.5546875" bestFit="1" customWidth="1"/>
    <col min="21" max="21" width="36.77734375" bestFit="1" customWidth="1"/>
    <col min="22" max="22" width="16.33203125" bestFit="1" customWidth="1"/>
    <col min="23" max="23" width="36.6640625" bestFit="1" customWidth="1"/>
    <col min="24" max="24" width="34.6640625" bestFit="1" customWidth="1"/>
    <col min="25" max="25" width="19.21875" bestFit="1" customWidth="1"/>
    <col min="26" max="26" width="36.44140625" bestFit="1" customWidth="1"/>
    <col min="27" max="27" width="23" bestFit="1" customWidth="1"/>
    <col min="28" max="28" width="22.6640625" bestFit="1" customWidth="1"/>
    <col min="29" max="29" width="11.44140625" customWidth="1"/>
    <col min="30" max="30" width="12.88671875" bestFit="1" customWidth="1"/>
    <col min="31" max="99" width="11.44140625" customWidth="1"/>
    <col min="100" max="999" width="12.5546875" customWidth="1"/>
    <col min="1000" max="9999" width="13.6640625" customWidth="1"/>
    <col min="10000" max="16384" width="14.6640625" customWidth="1"/>
  </cols>
  <sheetData>
    <row r="1" spans="1:30" x14ac:dyDescent="0.3">
      <c r="A1" s="4" t="s">
        <v>0</v>
      </c>
      <c r="B1" t="s">
        <v>34</v>
      </c>
    </row>
    <row r="3" spans="1:30" x14ac:dyDescent="0.3">
      <c r="A3" s="4" t="s">
        <v>66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78</v>
      </c>
      <c r="M3" t="s">
        <v>79</v>
      </c>
      <c r="N3" t="s">
        <v>80</v>
      </c>
      <c r="O3" t="s">
        <v>81</v>
      </c>
      <c r="P3" t="s">
        <v>82</v>
      </c>
      <c r="Q3" t="s">
        <v>83</v>
      </c>
      <c r="R3" t="s">
        <v>84</v>
      </c>
      <c r="S3" t="s">
        <v>85</v>
      </c>
      <c r="T3" t="s">
        <v>86</v>
      </c>
      <c r="U3" t="s">
        <v>87</v>
      </c>
      <c r="V3" t="s">
        <v>88</v>
      </c>
      <c r="W3" t="s">
        <v>89</v>
      </c>
      <c r="X3" t="s">
        <v>90</v>
      </c>
      <c r="Y3" t="s">
        <v>91</v>
      </c>
      <c r="Z3" t="s">
        <v>92</v>
      </c>
      <c r="AA3" t="s">
        <v>93</v>
      </c>
      <c r="AB3" t="s">
        <v>94</v>
      </c>
      <c r="AD3" t="s">
        <v>51</v>
      </c>
    </row>
    <row r="4" spans="1:30" x14ac:dyDescent="0.3">
      <c r="A4" s="5">
        <v>2013</v>
      </c>
      <c r="B4">
        <v>114.08333333333331</v>
      </c>
      <c r="C4">
        <v>113.60000000000001</v>
      </c>
      <c r="D4">
        <v>112.20833333333333</v>
      </c>
      <c r="E4">
        <v>108.40833333333335</v>
      </c>
      <c r="F4">
        <v>105.15833333333332</v>
      </c>
      <c r="G4">
        <v>108.875</v>
      </c>
      <c r="H4">
        <v>133.75833333333335</v>
      </c>
      <c r="I4">
        <v>106.49166666666667</v>
      </c>
      <c r="J4">
        <v>103.43333333333334</v>
      </c>
      <c r="K4">
        <v>106.075</v>
      </c>
      <c r="L4">
        <v>108.875</v>
      </c>
      <c r="M4">
        <v>112.17500000000001</v>
      </c>
      <c r="N4">
        <v>113.25</v>
      </c>
      <c r="O4">
        <v>109.675</v>
      </c>
      <c r="P4">
        <v>110.23333333333335</v>
      </c>
      <c r="Q4">
        <v>108.74166666666667</v>
      </c>
      <c r="R4">
        <v>110</v>
      </c>
      <c r="S4">
        <v>108.63333333333334</v>
      </c>
      <c r="T4">
        <v>105.60833333333333</v>
      </c>
      <c r="U4">
        <v>108.00000000000001</v>
      </c>
      <c r="V4">
        <v>106.76666666666667</v>
      </c>
      <c r="W4">
        <v>106.67500000000001</v>
      </c>
      <c r="X4">
        <v>105.89166666666665</v>
      </c>
      <c r="Y4">
        <v>107.71666666666668</v>
      </c>
      <c r="Z4">
        <v>104.97499999999998</v>
      </c>
      <c r="AA4">
        <v>106.75833333333333</v>
      </c>
      <c r="AB4">
        <v>110.03333333333332</v>
      </c>
      <c r="AD4">
        <f>SUM(B4:AB4)</f>
        <v>2956.1</v>
      </c>
    </row>
    <row r="5" spans="1:30" x14ac:dyDescent="0.3">
      <c r="A5" s="5">
        <v>2014</v>
      </c>
      <c r="B5">
        <v>121.78333333333335</v>
      </c>
      <c r="C5">
        <v>122.03333333333335</v>
      </c>
      <c r="D5">
        <v>119.20833333333331</v>
      </c>
      <c r="E5">
        <v>119.83333333333333</v>
      </c>
      <c r="F5">
        <v>107.51666666666665</v>
      </c>
      <c r="G5">
        <v>124.7916666666667</v>
      </c>
      <c r="H5">
        <v>139.04166666666666</v>
      </c>
      <c r="I5">
        <v>113.125</v>
      </c>
      <c r="J5">
        <v>102.04166666666664</v>
      </c>
      <c r="K5">
        <v>115.04999999999997</v>
      </c>
      <c r="L5">
        <v>114.48333333333333</v>
      </c>
      <c r="M5">
        <v>121.89999999999999</v>
      </c>
      <c r="N5">
        <v>121.27499999999999</v>
      </c>
      <c r="O5">
        <v>118.39166666666664</v>
      </c>
      <c r="P5">
        <v>119.14166666666665</v>
      </c>
      <c r="Q5">
        <v>115.91666666666664</v>
      </c>
      <c r="R5">
        <v>118.66666666666667</v>
      </c>
      <c r="S5">
        <v>113.61666666666667</v>
      </c>
      <c r="T5">
        <v>114.675</v>
      </c>
      <c r="U5">
        <v>114.91666666666667</v>
      </c>
      <c r="V5">
        <v>112.64166666666665</v>
      </c>
      <c r="W5">
        <v>111.50833333333333</v>
      </c>
      <c r="X5">
        <v>111.90000000000002</v>
      </c>
      <c r="Y5">
        <v>115.54999999999997</v>
      </c>
      <c r="Z5">
        <v>109.11666666666666</v>
      </c>
      <c r="AA5">
        <v>112.55</v>
      </c>
      <c r="AB5">
        <v>117.34999999999998</v>
      </c>
      <c r="AD5">
        <f t="shared" ref="AD5:AD14" si="0">SUM(B5:AB5)</f>
        <v>3148.0250000000005</v>
      </c>
    </row>
    <row r="6" spans="1:30" x14ac:dyDescent="0.3">
      <c r="A6" s="5">
        <v>2015</v>
      </c>
      <c r="B6">
        <v>124.18333333333335</v>
      </c>
      <c r="C6">
        <v>128.86666666666667</v>
      </c>
      <c r="D6">
        <v>119.81666666666666</v>
      </c>
      <c r="E6">
        <v>127.68333333333334</v>
      </c>
      <c r="F6">
        <v>111.21666666666665</v>
      </c>
      <c r="G6">
        <v>129.59166666666667</v>
      </c>
      <c r="H6">
        <v>143.38333333333335</v>
      </c>
      <c r="I6">
        <v>141.35</v>
      </c>
      <c r="J6">
        <v>94.308333333333323</v>
      </c>
      <c r="K6">
        <v>125.8</v>
      </c>
      <c r="L6">
        <v>119.72499999999998</v>
      </c>
      <c r="M6">
        <v>130.85</v>
      </c>
      <c r="N6">
        <v>127.64999999999999</v>
      </c>
      <c r="O6">
        <v>129.43333333333331</v>
      </c>
      <c r="P6">
        <v>126.41666666666667</v>
      </c>
      <c r="Q6">
        <v>122.13333333333333</v>
      </c>
      <c r="R6">
        <v>125.77499999999999</v>
      </c>
      <c r="S6">
        <v>119.64166666666665</v>
      </c>
      <c r="T6">
        <v>120.15833333333335</v>
      </c>
      <c r="U6">
        <v>121.07499999999999</v>
      </c>
      <c r="V6">
        <v>118.55833333333335</v>
      </c>
      <c r="W6">
        <v>111.09166666666668</v>
      </c>
      <c r="X6">
        <v>117.04166666666667</v>
      </c>
      <c r="Y6">
        <v>123.21666666666668</v>
      </c>
      <c r="Z6">
        <v>112.425</v>
      </c>
      <c r="AA6">
        <v>116.43333333333334</v>
      </c>
      <c r="AB6">
        <v>123.10833333333331</v>
      </c>
      <c r="AD6">
        <f t="shared" si="0"/>
        <v>3310.9333333333329</v>
      </c>
    </row>
    <row r="7" spans="1:30" x14ac:dyDescent="0.3">
      <c r="A7" s="5">
        <v>2016</v>
      </c>
      <c r="B7">
        <v>128.5</v>
      </c>
      <c r="C7">
        <v>137.63333333333333</v>
      </c>
      <c r="D7">
        <v>128.92499999999998</v>
      </c>
      <c r="E7">
        <v>132.70833333333331</v>
      </c>
      <c r="F7">
        <v>116.25</v>
      </c>
      <c r="G7">
        <v>133.13333333333333</v>
      </c>
      <c r="H7">
        <v>144.58333333333334</v>
      </c>
      <c r="I7">
        <v>171.07500000000002</v>
      </c>
      <c r="J7">
        <v>108.55833333333334</v>
      </c>
      <c r="K7">
        <v>136.66666666666666</v>
      </c>
      <c r="L7">
        <v>124.7</v>
      </c>
      <c r="M7">
        <v>138.60833333333332</v>
      </c>
      <c r="N7">
        <v>134.4666666666667</v>
      </c>
      <c r="O7">
        <v>139.04166666666666</v>
      </c>
      <c r="P7">
        <v>133.26666666666668</v>
      </c>
      <c r="Q7">
        <v>127.5</v>
      </c>
      <c r="R7">
        <v>132.43333333333337</v>
      </c>
      <c r="S7">
        <v>123.625</v>
      </c>
      <c r="T7">
        <v>126.47500000000001</v>
      </c>
      <c r="U7">
        <v>126.68333333333335</v>
      </c>
      <c r="V7">
        <v>124.375</v>
      </c>
      <c r="W7">
        <v>113.39166666666667</v>
      </c>
      <c r="X7">
        <v>122.05833333333334</v>
      </c>
      <c r="Y7">
        <v>129.85833333333332</v>
      </c>
      <c r="Z7">
        <v>119.58333333333336</v>
      </c>
      <c r="AA7">
        <v>121.41666666666667</v>
      </c>
      <c r="AB7">
        <v>129.19999999999996</v>
      </c>
      <c r="AD7">
        <f t="shared" si="0"/>
        <v>3504.7166666666667</v>
      </c>
    </row>
    <row r="8" spans="1:30" x14ac:dyDescent="0.3">
      <c r="A8" s="5">
        <v>2017</v>
      </c>
      <c r="B8">
        <v>133.98333333333332</v>
      </c>
      <c r="C8">
        <v>141.82500000000002</v>
      </c>
      <c r="D8">
        <v>131.58333333333331</v>
      </c>
      <c r="E8">
        <v>138.33333333333334</v>
      </c>
      <c r="F8">
        <v>118.75833333333334</v>
      </c>
      <c r="G8">
        <v>139.92500000000001</v>
      </c>
      <c r="H8">
        <v>143.70833333333334</v>
      </c>
      <c r="I8">
        <v>138.56666666666669</v>
      </c>
      <c r="J8">
        <v>119.82499999999999</v>
      </c>
      <c r="K8">
        <v>136.71666666666667</v>
      </c>
      <c r="L8">
        <v>128.01666666666668</v>
      </c>
      <c r="M8">
        <v>145.79166666666666</v>
      </c>
      <c r="N8">
        <v>136.90833333333333</v>
      </c>
      <c r="O8">
        <v>148.26666666666668</v>
      </c>
      <c r="P8">
        <v>139.51666666666665</v>
      </c>
      <c r="Q8">
        <v>132.31666666666666</v>
      </c>
      <c r="R8">
        <v>138.48333333333335</v>
      </c>
      <c r="S8">
        <v>130.50833333333333</v>
      </c>
      <c r="T8">
        <v>133.67499999999998</v>
      </c>
      <c r="U8">
        <v>131.86666666666667</v>
      </c>
      <c r="V8">
        <v>129.54166666666666</v>
      </c>
      <c r="W8">
        <v>117.33333333333333</v>
      </c>
      <c r="X8">
        <v>126.55</v>
      </c>
      <c r="Y8">
        <v>136</v>
      </c>
      <c r="Z8">
        <v>124.14166666666665</v>
      </c>
      <c r="AA8">
        <v>126.25833333333333</v>
      </c>
      <c r="AB8">
        <v>133.49999999999997</v>
      </c>
      <c r="AD8">
        <f t="shared" si="0"/>
        <v>3601.9000000000005</v>
      </c>
    </row>
    <row r="9" spans="1:30" x14ac:dyDescent="0.3">
      <c r="A9" s="5">
        <v>2018</v>
      </c>
      <c r="B9">
        <v>137.05833333333337</v>
      </c>
      <c r="C9">
        <v>146.92499999999998</v>
      </c>
      <c r="D9">
        <v>137.58333333333334</v>
      </c>
      <c r="E9">
        <v>141.91666666666666</v>
      </c>
      <c r="F9">
        <v>121.25</v>
      </c>
      <c r="G9">
        <v>147</v>
      </c>
      <c r="H9">
        <v>144.14166666666662</v>
      </c>
      <c r="I9">
        <v>122.36666666666663</v>
      </c>
      <c r="J9">
        <v>113.53333333333332</v>
      </c>
      <c r="K9">
        <v>138.96666666666667</v>
      </c>
      <c r="L9">
        <v>130.79999999999998</v>
      </c>
      <c r="M9">
        <v>152.24166666666667</v>
      </c>
      <c r="N9">
        <v>139.17499999999998</v>
      </c>
      <c r="O9">
        <v>158.48333333333338</v>
      </c>
      <c r="P9">
        <v>146.26666666666665</v>
      </c>
      <c r="Q9">
        <v>137.79166666666666</v>
      </c>
      <c r="R9">
        <v>145.03333333333333</v>
      </c>
      <c r="S9">
        <v>139.77500000000001</v>
      </c>
      <c r="T9">
        <v>143.84166666666667</v>
      </c>
      <c r="U9">
        <v>138.57499999999999</v>
      </c>
      <c r="V9">
        <v>137.58333333333334</v>
      </c>
      <c r="W9">
        <v>123.125</v>
      </c>
      <c r="X9">
        <v>133.05833333333337</v>
      </c>
      <c r="Y9">
        <v>143.89166666666665</v>
      </c>
      <c r="Z9">
        <v>129.97500000000002</v>
      </c>
      <c r="AA9">
        <v>133.01666666666665</v>
      </c>
      <c r="AB9">
        <v>138.77500000000001</v>
      </c>
      <c r="AD9">
        <f t="shared" si="0"/>
        <v>3722.15</v>
      </c>
    </row>
    <row r="10" spans="1:30" x14ac:dyDescent="0.3">
      <c r="A10" s="5">
        <v>2019</v>
      </c>
      <c r="B10">
        <v>139.78181818181818</v>
      </c>
      <c r="C10">
        <v>159.11818181818182</v>
      </c>
      <c r="D10">
        <v>141.20000000000002</v>
      </c>
      <c r="E10">
        <v>144.33636363636361</v>
      </c>
      <c r="F10">
        <v>122.98181818181818</v>
      </c>
      <c r="G10">
        <v>144.55454545454546</v>
      </c>
      <c r="H10">
        <v>163</v>
      </c>
      <c r="I10">
        <v>128.66363636363636</v>
      </c>
      <c r="J10">
        <v>111.5</v>
      </c>
      <c r="K10">
        <v>142.60000000000002</v>
      </c>
      <c r="L10">
        <v>134.5090909090909</v>
      </c>
      <c r="M10">
        <v>156.20909090909092</v>
      </c>
      <c r="N10">
        <v>144.60909090909092</v>
      </c>
      <c r="O10">
        <v>165.46363636363637</v>
      </c>
      <c r="P10">
        <v>148.81818181818181</v>
      </c>
      <c r="Q10">
        <v>140.3818181818182</v>
      </c>
      <c r="R10">
        <v>147.59090909090912</v>
      </c>
      <c r="S10">
        <v>140.24545454545455</v>
      </c>
      <c r="T10">
        <v>150.76363636363638</v>
      </c>
      <c r="U10">
        <v>144.36363636363637</v>
      </c>
      <c r="V10">
        <v>147.84545454545454</v>
      </c>
      <c r="W10">
        <v>125.59090909090909</v>
      </c>
      <c r="X10">
        <v>139.91818181818181</v>
      </c>
      <c r="Y10">
        <v>153.23636363636362</v>
      </c>
      <c r="Z10">
        <v>136.59090909090909</v>
      </c>
      <c r="AA10">
        <v>139.45454545454547</v>
      </c>
      <c r="AB10">
        <v>144.18181818181822</v>
      </c>
      <c r="AD10">
        <f t="shared" si="0"/>
        <v>3857.5090909090914</v>
      </c>
    </row>
    <row r="11" spans="1:30" x14ac:dyDescent="0.3">
      <c r="A11" s="5">
        <v>2020</v>
      </c>
      <c r="B11">
        <v>146.36499999999998</v>
      </c>
      <c r="C11">
        <v>179.05999999999997</v>
      </c>
      <c r="D11">
        <v>155.06641666666664</v>
      </c>
      <c r="E11">
        <v>151.94374999999999</v>
      </c>
      <c r="F11">
        <v>136.44333333333333</v>
      </c>
      <c r="G11">
        <v>146.77000000000001</v>
      </c>
      <c r="H11">
        <v>183.071</v>
      </c>
      <c r="I11">
        <v>148.69416666666669</v>
      </c>
      <c r="J11">
        <v>114.935</v>
      </c>
      <c r="K11">
        <v>156.88499999999999</v>
      </c>
      <c r="L11">
        <v>140.12249999999997</v>
      </c>
      <c r="M11">
        <v>159.67166666666662</v>
      </c>
      <c r="N11">
        <v>155.10916666666668</v>
      </c>
      <c r="O11">
        <v>175.81333333333336</v>
      </c>
      <c r="P11">
        <v>151.02666666666667</v>
      </c>
      <c r="Q11">
        <v>142.37</v>
      </c>
      <c r="R11">
        <v>149.75333333333336</v>
      </c>
      <c r="S11">
        <v>143.52583333333331</v>
      </c>
      <c r="T11">
        <v>154.34666666666666</v>
      </c>
      <c r="U11">
        <v>145.82333333333335</v>
      </c>
      <c r="V11">
        <v>152.9675</v>
      </c>
      <c r="W11">
        <v>133.60333333333335</v>
      </c>
      <c r="X11">
        <v>144.17333333333332</v>
      </c>
      <c r="Y11">
        <v>154.66333333333333</v>
      </c>
      <c r="Z11">
        <v>148.70833333333334</v>
      </c>
      <c r="AA11">
        <v>145.38</v>
      </c>
      <c r="AB11">
        <v>151.07666666666665</v>
      </c>
      <c r="AD11">
        <f t="shared" si="0"/>
        <v>4067.3686666666672</v>
      </c>
    </row>
    <row r="12" spans="1:30" x14ac:dyDescent="0.3">
      <c r="A12" s="5">
        <v>2021</v>
      </c>
      <c r="B12">
        <v>146.20833333333331</v>
      </c>
      <c r="C12">
        <v>199.09166666666667</v>
      </c>
      <c r="D12">
        <v>172.77499999999998</v>
      </c>
      <c r="E12">
        <v>156.96666666666667</v>
      </c>
      <c r="F12">
        <v>177.70000000000002</v>
      </c>
      <c r="G12">
        <v>157.88333333333333</v>
      </c>
      <c r="H12">
        <v>167.71666666666667</v>
      </c>
      <c r="I12">
        <v>163.26666666666668</v>
      </c>
      <c r="J12">
        <v>116.84999999999998</v>
      </c>
      <c r="K12">
        <v>167.3</v>
      </c>
      <c r="L12">
        <v>159.84166666666667</v>
      </c>
      <c r="M12">
        <v>171.64166666666668</v>
      </c>
      <c r="N12">
        <v>162.79166666666666</v>
      </c>
      <c r="O12">
        <v>190.65</v>
      </c>
      <c r="P12">
        <v>162.21666666666667</v>
      </c>
      <c r="Q12">
        <v>152.49166666666667</v>
      </c>
      <c r="R12">
        <v>160.81666666666669</v>
      </c>
      <c r="S12">
        <v>159.05833333333334</v>
      </c>
      <c r="T12">
        <v>161.48333333333335</v>
      </c>
      <c r="U12">
        <v>155.17500000000001</v>
      </c>
      <c r="V12">
        <v>165.84166666666667</v>
      </c>
      <c r="W12">
        <v>150.55833333333334</v>
      </c>
      <c r="X12">
        <v>155.6</v>
      </c>
      <c r="Y12">
        <v>162.11666666666667</v>
      </c>
      <c r="Z12">
        <v>158.74166666666665</v>
      </c>
      <c r="AA12">
        <v>157.60833333333335</v>
      </c>
      <c r="AB12">
        <v>161.45833333333331</v>
      </c>
      <c r="AD12">
        <f t="shared" si="0"/>
        <v>4373.8500000000004</v>
      </c>
    </row>
    <row r="13" spans="1:30" x14ac:dyDescent="0.3">
      <c r="A13" s="5">
        <v>2022</v>
      </c>
      <c r="B13">
        <v>157.90833333333333</v>
      </c>
      <c r="C13">
        <v>209.68333333333331</v>
      </c>
      <c r="D13">
        <v>173.05833333333337</v>
      </c>
      <c r="E13">
        <v>166.60000000000002</v>
      </c>
      <c r="F13">
        <v>192.31666666666663</v>
      </c>
      <c r="G13">
        <v>164.46666666666667</v>
      </c>
      <c r="H13">
        <v>178.13333333333335</v>
      </c>
      <c r="I13">
        <v>166.40833333333336</v>
      </c>
      <c r="J13">
        <v>120.38333333333334</v>
      </c>
      <c r="K13">
        <v>188.82500000000002</v>
      </c>
      <c r="L13">
        <v>167.78333333333333</v>
      </c>
      <c r="M13">
        <v>184.07500000000002</v>
      </c>
      <c r="N13">
        <v>173.57500000000002</v>
      </c>
      <c r="O13">
        <v>194.75</v>
      </c>
      <c r="P13">
        <v>177.25833333333333</v>
      </c>
      <c r="Q13">
        <v>169.94166666666669</v>
      </c>
      <c r="R13">
        <v>176.19999999999996</v>
      </c>
      <c r="S13">
        <v>175.13333333333333</v>
      </c>
      <c r="T13">
        <v>168.04999999999998</v>
      </c>
      <c r="U13">
        <v>166.71666666666667</v>
      </c>
      <c r="V13">
        <v>175.92499999999998</v>
      </c>
      <c r="W13">
        <v>161.09166666666667</v>
      </c>
      <c r="X13">
        <v>165.69166666666663</v>
      </c>
      <c r="Y13">
        <v>169.82500000000002</v>
      </c>
      <c r="Z13">
        <v>169.54166666666669</v>
      </c>
      <c r="AA13">
        <v>167.78333333333333</v>
      </c>
      <c r="AB13">
        <v>172.14999999999998</v>
      </c>
      <c r="AD13">
        <f t="shared" si="0"/>
        <v>4653.2750000000005</v>
      </c>
    </row>
    <row r="14" spans="1:30" x14ac:dyDescent="0.3">
      <c r="A14" s="5">
        <v>2023</v>
      </c>
      <c r="B14">
        <v>174.01999999999998</v>
      </c>
      <c r="C14">
        <v>209.94</v>
      </c>
      <c r="D14">
        <v>177.54000000000002</v>
      </c>
      <c r="E14">
        <v>177.42000000000002</v>
      </c>
      <c r="F14">
        <v>178.11999999999998</v>
      </c>
      <c r="G14">
        <v>169.16</v>
      </c>
      <c r="H14">
        <v>155.16</v>
      </c>
      <c r="I14">
        <v>172.4</v>
      </c>
      <c r="J14">
        <v>121.02000000000001</v>
      </c>
      <c r="K14">
        <v>211.74</v>
      </c>
      <c r="L14">
        <v>172.46</v>
      </c>
      <c r="M14">
        <v>192.98000000000002</v>
      </c>
      <c r="N14">
        <v>177.54000000000002</v>
      </c>
      <c r="O14">
        <v>199.76</v>
      </c>
      <c r="P14">
        <v>186.28</v>
      </c>
      <c r="Q14">
        <v>178.78</v>
      </c>
      <c r="R14">
        <v>185.18</v>
      </c>
      <c r="S14">
        <v>182.1</v>
      </c>
      <c r="T14">
        <v>173.98</v>
      </c>
      <c r="U14">
        <v>174.22</v>
      </c>
      <c r="V14">
        <v>184.35999999999999</v>
      </c>
      <c r="W14">
        <v>164.26000000000002</v>
      </c>
      <c r="X14">
        <v>170.4</v>
      </c>
      <c r="Y14">
        <v>175.56</v>
      </c>
      <c r="Z14">
        <v>181.96</v>
      </c>
      <c r="AA14">
        <v>174.34</v>
      </c>
      <c r="AB14">
        <v>177.61999999999998</v>
      </c>
      <c r="AD14">
        <f t="shared" si="0"/>
        <v>4798.3000000000011</v>
      </c>
    </row>
    <row r="15" spans="1:30" x14ac:dyDescent="0.3">
      <c r="A15" s="5" t="s">
        <v>67</v>
      </c>
      <c r="B15">
        <v>136.52080645161291</v>
      </c>
      <c r="C15">
        <v>156.00500000000005</v>
      </c>
      <c r="D15">
        <v>140.67416935483868</v>
      </c>
      <c r="E15">
        <v>140.38326612903228</v>
      </c>
      <c r="F15">
        <v>132.92516129032259</v>
      </c>
      <c r="G15">
        <v>140.8479032258065</v>
      </c>
      <c r="H15">
        <v>154.02622580645169</v>
      </c>
      <c r="I15">
        <v>141.39862903225801</v>
      </c>
      <c r="J15">
        <v>110.95177419354842</v>
      </c>
      <c r="K15">
        <v>144.31225806451613</v>
      </c>
      <c r="L15">
        <v>134.46830645161293</v>
      </c>
      <c r="M15">
        <v>149.08596774193549</v>
      </c>
      <c r="N15">
        <v>142.32911290322585</v>
      </c>
      <c r="O15">
        <v>154.78193548387094</v>
      </c>
      <c r="P15">
        <v>143.16548387096773</v>
      </c>
      <c r="Q15">
        <v>136.68177419354836</v>
      </c>
      <c r="R15">
        <v>142.22048387096768</v>
      </c>
      <c r="S15">
        <v>137.22104838709683</v>
      </c>
      <c r="T15">
        <v>139.25854838709679</v>
      </c>
      <c r="U15">
        <v>136.81516129032258</v>
      </c>
      <c r="V15">
        <v>139.02024193548382</v>
      </c>
      <c r="W15">
        <v>126.96241935483872</v>
      </c>
      <c r="X15">
        <v>133.66677419354838</v>
      </c>
      <c r="Y15">
        <v>140.94725806451612</v>
      </c>
      <c r="Z15">
        <v>133.37741935483871</v>
      </c>
      <c r="AA15">
        <v>134.2916129032258</v>
      </c>
      <c r="AB15">
        <v>139.62838709677419</v>
      </c>
      <c r="AD15" t="s">
        <v>222</v>
      </c>
    </row>
    <row r="18" spans="1:16384" x14ac:dyDescent="0.3">
      <c r="A18" t="s">
        <v>238</v>
      </c>
      <c r="B18" t="s">
        <v>240</v>
      </c>
      <c r="C18" t="s">
        <v>241</v>
      </c>
      <c r="D18" t="s">
        <v>242</v>
      </c>
      <c r="E18" t="s">
        <v>243</v>
      </c>
      <c r="F18" t="s">
        <v>244</v>
      </c>
      <c r="G18" t="s">
        <v>245</v>
      </c>
      <c r="H18" t="s">
        <v>246</v>
      </c>
      <c r="I18" t="s">
        <v>247</v>
      </c>
      <c r="J18" t="s">
        <v>248</v>
      </c>
      <c r="K18" t="s">
        <v>249</v>
      </c>
      <c r="L18" t="s">
        <v>250</v>
      </c>
      <c r="M18" t="s">
        <v>251</v>
      </c>
      <c r="N18" t="s">
        <v>252</v>
      </c>
      <c r="O18" t="s">
        <v>253</v>
      </c>
      <c r="P18" t="s">
        <v>254</v>
      </c>
      <c r="Q18" t="s">
        <v>255</v>
      </c>
      <c r="R18" t="s">
        <v>256</v>
      </c>
      <c r="S18" t="s">
        <v>257</v>
      </c>
      <c r="T18" t="s">
        <v>258</v>
      </c>
      <c r="U18" t="s">
        <v>259</v>
      </c>
      <c r="V18" t="s">
        <v>260</v>
      </c>
      <c r="W18" t="s">
        <v>261</v>
      </c>
      <c r="X18" t="s">
        <v>262</v>
      </c>
      <c r="Y18" t="s">
        <v>263</v>
      </c>
      <c r="Z18" t="s">
        <v>264</v>
      </c>
      <c r="AA18" t="s">
        <v>265</v>
      </c>
      <c r="AB18" t="s">
        <v>266</v>
      </c>
      <c r="AC18" t="s">
        <v>267</v>
      </c>
      <c r="AD18" t="s">
        <v>268</v>
      </c>
      <c r="AE18" t="s">
        <v>269</v>
      </c>
      <c r="AF18" t="s">
        <v>270</v>
      </c>
      <c r="AG18" t="s">
        <v>271</v>
      </c>
      <c r="AH18" t="s">
        <v>272</v>
      </c>
      <c r="AI18" t="s">
        <v>273</v>
      </c>
      <c r="AJ18" t="s">
        <v>274</v>
      </c>
      <c r="AK18" t="s">
        <v>275</v>
      </c>
      <c r="AL18" t="s">
        <v>276</v>
      </c>
      <c r="AM18" t="s">
        <v>277</v>
      </c>
      <c r="AN18" t="s">
        <v>278</v>
      </c>
      <c r="AO18" t="s">
        <v>279</v>
      </c>
      <c r="AP18" t="s">
        <v>280</v>
      </c>
      <c r="AQ18" t="s">
        <v>281</v>
      </c>
      <c r="AR18" t="s">
        <v>282</v>
      </c>
      <c r="AS18" t="s">
        <v>283</v>
      </c>
      <c r="AT18" t="s">
        <v>284</v>
      </c>
      <c r="AU18" t="s">
        <v>285</v>
      </c>
      <c r="AV18" t="s">
        <v>286</v>
      </c>
      <c r="AW18" t="s">
        <v>287</v>
      </c>
      <c r="AX18" t="s">
        <v>288</v>
      </c>
      <c r="AY18" t="s">
        <v>289</v>
      </c>
      <c r="AZ18" t="s">
        <v>290</v>
      </c>
      <c r="BA18" t="s">
        <v>291</v>
      </c>
      <c r="BB18" t="s">
        <v>292</v>
      </c>
      <c r="BC18" t="s">
        <v>293</v>
      </c>
      <c r="BD18" t="s">
        <v>294</v>
      </c>
      <c r="BE18" t="s">
        <v>295</v>
      </c>
      <c r="BF18" t="s">
        <v>296</v>
      </c>
      <c r="BG18" t="s">
        <v>297</v>
      </c>
      <c r="BH18" t="s">
        <v>298</v>
      </c>
      <c r="BI18" t="s">
        <v>299</v>
      </c>
      <c r="BJ18" t="s">
        <v>300</v>
      </c>
      <c r="BK18" t="s">
        <v>301</v>
      </c>
      <c r="BL18" t="s">
        <v>302</v>
      </c>
      <c r="BM18" t="s">
        <v>303</v>
      </c>
      <c r="BN18" t="s">
        <v>304</v>
      </c>
      <c r="BO18" t="s">
        <v>305</v>
      </c>
      <c r="BP18" t="s">
        <v>306</v>
      </c>
      <c r="BQ18" t="s">
        <v>307</v>
      </c>
      <c r="BR18" t="s">
        <v>308</v>
      </c>
      <c r="BS18" t="s">
        <v>309</v>
      </c>
      <c r="BT18" t="s">
        <v>310</v>
      </c>
      <c r="BU18" t="s">
        <v>311</v>
      </c>
      <c r="BV18" t="s">
        <v>312</v>
      </c>
      <c r="BW18" t="s">
        <v>313</v>
      </c>
      <c r="BX18" t="s">
        <v>314</v>
      </c>
      <c r="BY18" t="s">
        <v>315</v>
      </c>
      <c r="BZ18" t="s">
        <v>316</v>
      </c>
      <c r="CA18" t="s">
        <v>317</v>
      </c>
      <c r="CB18" t="s">
        <v>318</v>
      </c>
      <c r="CC18" t="s">
        <v>319</v>
      </c>
      <c r="CD18" t="s">
        <v>320</v>
      </c>
      <c r="CE18" t="s">
        <v>321</v>
      </c>
      <c r="CF18" t="s">
        <v>322</v>
      </c>
      <c r="CG18" t="s">
        <v>323</v>
      </c>
      <c r="CH18" t="s">
        <v>324</v>
      </c>
      <c r="CI18" t="s">
        <v>325</v>
      </c>
      <c r="CJ18" t="s">
        <v>326</v>
      </c>
      <c r="CK18" t="s">
        <v>327</v>
      </c>
      <c r="CL18" t="s">
        <v>328</v>
      </c>
      <c r="CM18" t="s">
        <v>329</v>
      </c>
      <c r="CN18" t="s">
        <v>330</v>
      </c>
      <c r="CO18" t="s">
        <v>331</v>
      </c>
      <c r="CP18" t="s">
        <v>332</v>
      </c>
      <c r="CQ18" t="s">
        <v>333</v>
      </c>
      <c r="CR18" t="s">
        <v>334</v>
      </c>
      <c r="CS18" t="s">
        <v>335</v>
      </c>
      <c r="CT18" t="s">
        <v>336</v>
      </c>
      <c r="CU18" t="s">
        <v>337</v>
      </c>
      <c r="CV18" t="s">
        <v>338</v>
      </c>
      <c r="CW18" t="s">
        <v>339</v>
      </c>
      <c r="CX18" t="s">
        <v>340</v>
      </c>
      <c r="CY18" t="s">
        <v>341</v>
      </c>
      <c r="CZ18" t="s">
        <v>342</v>
      </c>
      <c r="DA18" t="s">
        <v>343</v>
      </c>
      <c r="DB18" t="s">
        <v>344</v>
      </c>
      <c r="DC18" t="s">
        <v>345</v>
      </c>
      <c r="DD18" t="s">
        <v>346</v>
      </c>
      <c r="DE18" t="s">
        <v>347</v>
      </c>
      <c r="DF18" t="s">
        <v>348</v>
      </c>
      <c r="DG18" t="s">
        <v>349</v>
      </c>
      <c r="DH18" t="s">
        <v>350</v>
      </c>
      <c r="DI18" t="s">
        <v>351</v>
      </c>
      <c r="DJ18" t="s">
        <v>352</v>
      </c>
      <c r="DK18" t="s">
        <v>353</v>
      </c>
      <c r="DL18" t="s">
        <v>354</v>
      </c>
      <c r="DM18" t="s">
        <v>355</v>
      </c>
      <c r="DN18" t="s">
        <v>356</v>
      </c>
      <c r="DO18" t="s">
        <v>357</v>
      </c>
      <c r="DP18" t="s">
        <v>358</v>
      </c>
      <c r="DQ18" t="s">
        <v>359</v>
      </c>
      <c r="DR18" t="s">
        <v>360</v>
      </c>
      <c r="DS18" t="s">
        <v>361</v>
      </c>
      <c r="DT18" t="s">
        <v>362</v>
      </c>
      <c r="DU18" t="s">
        <v>363</v>
      </c>
      <c r="DV18" t="s">
        <v>364</v>
      </c>
      <c r="DW18" t="s">
        <v>365</v>
      </c>
      <c r="DX18" t="s">
        <v>366</v>
      </c>
      <c r="DY18" t="s">
        <v>367</v>
      </c>
      <c r="DZ18" t="s">
        <v>368</v>
      </c>
      <c r="EA18" t="s">
        <v>369</v>
      </c>
      <c r="EB18" t="s">
        <v>370</v>
      </c>
      <c r="EC18" t="s">
        <v>371</v>
      </c>
      <c r="ED18" t="s">
        <v>372</v>
      </c>
      <c r="EE18" t="s">
        <v>373</v>
      </c>
      <c r="EF18" t="s">
        <v>374</v>
      </c>
      <c r="EG18" t="s">
        <v>375</v>
      </c>
      <c r="EH18" t="s">
        <v>376</v>
      </c>
      <c r="EI18" t="s">
        <v>377</v>
      </c>
      <c r="EJ18" t="s">
        <v>378</v>
      </c>
      <c r="EK18" t="s">
        <v>379</v>
      </c>
      <c r="EL18" t="s">
        <v>380</v>
      </c>
      <c r="EM18" t="s">
        <v>381</v>
      </c>
      <c r="EN18" t="s">
        <v>382</v>
      </c>
      <c r="EO18" t="s">
        <v>383</v>
      </c>
      <c r="EP18" t="s">
        <v>384</v>
      </c>
      <c r="EQ18" t="s">
        <v>385</v>
      </c>
      <c r="ER18" t="s">
        <v>386</v>
      </c>
      <c r="ES18" t="s">
        <v>387</v>
      </c>
      <c r="ET18" t="s">
        <v>388</v>
      </c>
      <c r="EU18" t="s">
        <v>389</v>
      </c>
      <c r="EV18" t="s">
        <v>390</v>
      </c>
      <c r="EW18" t="s">
        <v>391</v>
      </c>
      <c r="EX18" t="s">
        <v>392</v>
      </c>
      <c r="EY18" t="s">
        <v>393</v>
      </c>
      <c r="EZ18" t="s">
        <v>394</v>
      </c>
      <c r="FA18" t="s">
        <v>395</v>
      </c>
      <c r="FB18" t="s">
        <v>396</v>
      </c>
      <c r="FC18" t="s">
        <v>397</v>
      </c>
      <c r="FD18" t="s">
        <v>398</v>
      </c>
      <c r="FE18" t="s">
        <v>399</v>
      </c>
      <c r="FF18" t="s">
        <v>400</v>
      </c>
      <c r="FG18" t="s">
        <v>401</v>
      </c>
      <c r="FH18" t="s">
        <v>402</v>
      </c>
      <c r="FI18" t="s">
        <v>403</v>
      </c>
      <c r="FJ18" t="s">
        <v>404</v>
      </c>
      <c r="FK18" t="s">
        <v>405</v>
      </c>
      <c r="FL18" t="s">
        <v>406</v>
      </c>
      <c r="FM18" t="s">
        <v>407</v>
      </c>
      <c r="FN18" t="s">
        <v>408</v>
      </c>
      <c r="FO18" t="s">
        <v>409</v>
      </c>
      <c r="FP18" t="s">
        <v>410</v>
      </c>
      <c r="FQ18" t="s">
        <v>411</v>
      </c>
      <c r="FR18" t="s">
        <v>412</v>
      </c>
      <c r="FS18" t="s">
        <v>413</v>
      </c>
      <c r="FT18" t="s">
        <v>414</v>
      </c>
      <c r="FU18" t="s">
        <v>415</v>
      </c>
      <c r="FV18" t="s">
        <v>416</v>
      </c>
      <c r="FW18" t="s">
        <v>417</v>
      </c>
      <c r="FX18" t="s">
        <v>418</v>
      </c>
      <c r="FY18" t="s">
        <v>419</v>
      </c>
      <c r="FZ18" t="s">
        <v>420</v>
      </c>
      <c r="GA18" t="s">
        <v>421</v>
      </c>
      <c r="GB18" t="s">
        <v>422</v>
      </c>
      <c r="GC18" t="s">
        <v>423</v>
      </c>
      <c r="GD18" t="s">
        <v>424</v>
      </c>
      <c r="GE18" t="s">
        <v>425</v>
      </c>
      <c r="GF18" t="s">
        <v>426</v>
      </c>
      <c r="GG18" t="s">
        <v>427</v>
      </c>
      <c r="GH18" t="s">
        <v>428</v>
      </c>
      <c r="GI18" t="s">
        <v>429</v>
      </c>
      <c r="GJ18" t="s">
        <v>430</v>
      </c>
      <c r="GK18" t="s">
        <v>431</v>
      </c>
      <c r="GL18" t="s">
        <v>432</v>
      </c>
      <c r="GM18" t="s">
        <v>433</v>
      </c>
      <c r="GN18" t="s">
        <v>434</v>
      </c>
      <c r="GO18" t="s">
        <v>435</v>
      </c>
      <c r="GP18" t="s">
        <v>436</v>
      </c>
      <c r="GQ18" t="s">
        <v>437</v>
      </c>
      <c r="GR18" t="s">
        <v>438</v>
      </c>
      <c r="GS18" t="s">
        <v>439</v>
      </c>
      <c r="GT18" t="s">
        <v>440</v>
      </c>
      <c r="GU18" t="s">
        <v>441</v>
      </c>
      <c r="GV18" t="s">
        <v>442</v>
      </c>
      <c r="GW18" t="s">
        <v>443</v>
      </c>
      <c r="GX18" t="s">
        <v>444</v>
      </c>
      <c r="GY18" t="s">
        <v>445</v>
      </c>
      <c r="GZ18" t="s">
        <v>446</v>
      </c>
      <c r="HA18" t="s">
        <v>447</v>
      </c>
      <c r="HB18" t="s">
        <v>448</v>
      </c>
      <c r="HC18" t="s">
        <v>449</v>
      </c>
      <c r="HD18" t="s">
        <v>450</v>
      </c>
      <c r="HE18" t="s">
        <v>451</v>
      </c>
      <c r="HF18" t="s">
        <v>452</v>
      </c>
      <c r="HG18" t="s">
        <v>453</v>
      </c>
      <c r="HH18" t="s">
        <v>454</v>
      </c>
      <c r="HI18" t="s">
        <v>455</v>
      </c>
      <c r="HJ18" t="s">
        <v>456</v>
      </c>
      <c r="HK18" t="s">
        <v>457</v>
      </c>
      <c r="HL18" t="s">
        <v>458</v>
      </c>
      <c r="HM18" t="s">
        <v>459</v>
      </c>
      <c r="HN18" t="s">
        <v>460</v>
      </c>
      <c r="HO18" t="s">
        <v>461</v>
      </c>
      <c r="HP18" t="s">
        <v>462</v>
      </c>
      <c r="HQ18" t="s">
        <v>463</v>
      </c>
      <c r="HR18" t="s">
        <v>464</v>
      </c>
      <c r="HS18" t="s">
        <v>465</v>
      </c>
      <c r="HT18" t="s">
        <v>466</v>
      </c>
      <c r="HU18" t="s">
        <v>467</v>
      </c>
      <c r="HV18" t="s">
        <v>468</v>
      </c>
      <c r="HW18" t="s">
        <v>469</v>
      </c>
      <c r="HX18" t="s">
        <v>470</v>
      </c>
      <c r="HY18" t="s">
        <v>471</v>
      </c>
      <c r="HZ18" t="s">
        <v>472</v>
      </c>
      <c r="IA18" t="s">
        <v>473</v>
      </c>
      <c r="IB18" t="s">
        <v>474</v>
      </c>
      <c r="IC18" t="s">
        <v>475</v>
      </c>
      <c r="ID18" t="s">
        <v>476</v>
      </c>
      <c r="IE18" t="s">
        <v>477</v>
      </c>
      <c r="IF18" t="s">
        <v>478</v>
      </c>
      <c r="IG18" t="s">
        <v>479</v>
      </c>
      <c r="IH18" t="s">
        <v>480</v>
      </c>
      <c r="II18" t="s">
        <v>481</v>
      </c>
      <c r="IJ18" t="s">
        <v>482</v>
      </c>
      <c r="IK18" t="s">
        <v>483</v>
      </c>
      <c r="IL18" t="s">
        <v>484</v>
      </c>
      <c r="IM18" t="s">
        <v>485</v>
      </c>
      <c r="IN18" t="s">
        <v>486</v>
      </c>
      <c r="IO18" t="s">
        <v>487</v>
      </c>
      <c r="IP18" t="s">
        <v>488</v>
      </c>
      <c r="IQ18" t="s">
        <v>489</v>
      </c>
      <c r="IR18" t="s">
        <v>490</v>
      </c>
      <c r="IS18" t="s">
        <v>491</v>
      </c>
      <c r="IT18" t="s">
        <v>492</v>
      </c>
      <c r="IU18" t="s">
        <v>493</v>
      </c>
      <c r="IV18" t="s">
        <v>494</v>
      </c>
      <c r="IW18" t="s">
        <v>495</v>
      </c>
      <c r="IX18" t="s">
        <v>496</v>
      </c>
      <c r="IY18" t="s">
        <v>497</v>
      </c>
      <c r="IZ18" t="s">
        <v>498</v>
      </c>
      <c r="JA18" t="s">
        <v>499</v>
      </c>
      <c r="JB18" t="s">
        <v>500</v>
      </c>
      <c r="JC18" t="s">
        <v>501</v>
      </c>
      <c r="JD18" t="s">
        <v>502</v>
      </c>
      <c r="JE18" t="s">
        <v>503</v>
      </c>
      <c r="JF18" t="s">
        <v>504</v>
      </c>
      <c r="JG18" t="s">
        <v>505</v>
      </c>
      <c r="JH18" t="s">
        <v>506</v>
      </c>
      <c r="JI18" t="s">
        <v>507</v>
      </c>
      <c r="JJ18" t="s">
        <v>508</v>
      </c>
      <c r="JK18" t="s">
        <v>509</v>
      </c>
      <c r="JL18" t="s">
        <v>510</v>
      </c>
      <c r="JM18" t="s">
        <v>511</v>
      </c>
      <c r="JN18" t="s">
        <v>512</v>
      </c>
      <c r="JO18" t="s">
        <v>513</v>
      </c>
      <c r="JP18" t="s">
        <v>514</v>
      </c>
      <c r="JQ18" t="s">
        <v>515</v>
      </c>
      <c r="JR18" t="s">
        <v>516</v>
      </c>
      <c r="JS18" t="s">
        <v>517</v>
      </c>
      <c r="JT18" t="s">
        <v>518</v>
      </c>
      <c r="JU18" t="s">
        <v>519</v>
      </c>
      <c r="JV18" t="s">
        <v>520</v>
      </c>
      <c r="JW18" t="s">
        <v>521</v>
      </c>
      <c r="JX18" t="s">
        <v>522</v>
      </c>
      <c r="JY18" t="s">
        <v>523</v>
      </c>
      <c r="JZ18" t="s">
        <v>524</v>
      </c>
      <c r="KA18" t="s">
        <v>525</v>
      </c>
      <c r="KB18" t="s">
        <v>526</v>
      </c>
      <c r="KC18" t="s">
        <v>527</v>
      </c>
      <c r="KD18" t="s">
        <v>528</v>
      </c>
      <c r="KE18" t="s">
        <v>529</v>
      </c>
      <c r="KF18" t="s">
        <v>530</v>
      </c>
      <c r="KG18" t="s">
        <v>531</v>
      </c>
      <c r="KH18" t="s">
        <v>532</v>
      </c>
      <c r="KI18" t="s">
        <v>533</v>
      </c>
      <c r="KJ18" t="s">
        <v>534</v>
      </c>
      <c r="KK18" t="s">
        <v>535</v>
      </c>
      <c r="KL18" t="s">
        <v>536</v>
      </c>
      <c r="KM18" t="s">
        <v>537</v>
      </c>
      <c r="KN18" t="s">
        <v>538</v>
      </c>
      <c r="KO18" t="s">
        <v>539</v>
      </c>
      <c r="KP18" t="s">
        <v>540</v>
      </c>
      <c r="KQ18" t="s">
        <v>541</v>
      </c>
      <c r="KR18" t="s">
        <v>542</v>
      </c>
      <c r="KS18" t="s">
        <v>543</v>
      </c>
      <c r="KT18" t="s">
        <v>544</v>
      </c>
      <c r="KU18" t="s">
        <v>545</v>
      </c>
      <c r="KV18" t="s">
        <v>546</v>
      </c>
      <c r="KW18" t="s">
        <v>547</v>
      </c>
      <c r="KX18" t="s">
        <v>548</v>
      </c>
      <c r="KY18" t="s">
        <v>549</v>
      </c>
      <c r="KZ18" t="s">
        <v>550</v>
      </c>
      <c r="LA18" t="s">
        <v>551</v>
      </c>
      <c r="LB18" t="s">
        <v>552</v>
      </c>
      <c r="LC18" t="s">
        <v>553</v>
      </c>
      <c r="LD18" t="s">
        <v>554</v>
      </c>
      <c r="LE18" t="s">
        <v>555</v>
      </c>
      <c r="LF18" t="s">
        <v>556</v>
      </c>
      <c r="LG18" t="s">
        <v>557</v>
      </c>
      <c r="LH18" t="s">
        <v>558</v>
      </c>
      <c r="LI18" t="s">
        <v>559</v>
      </c>
      <c r="LJ18" t="s">
        <v>560</v>
      </c>
      <c r="LK18" t="s">
        <v>561</v>
      </c>
      <c r="LL18" t="s">
        <v>562</v>
      </c>
      <c r="LM18" t="s">
        <v>563</v>
      </c>
      <c r="LN18" t="s">
        <v>564</v>
      </c>
      <c r="LO18" t="s">
        <v>565</v>
      </c>
      <c r="LP18" t="s">
        <v>566</v>
      </c>
      <c r="LQ18" t="s">
        <v>567</v>
      </c>
      <c r="LR18" t="s">
        <v>568</v>
      </c>
      <c r="LS18" t="s">
        <v>569</v>
      </c>
      <c r="LT18" t="s">
        <v>570</v>
      </c>
      <c r="LU18" t="s">
        <v>571</v>
      </c>
      <c r="LV18" t="s">
        <v>572</v>
      </c>
      <c r="LW18" t="s">
        <v>573</v>
      </c>
      <c r="LX18" t="s">
        <v>574</v>
      </c>
      <c r="LY18" t="s">
        <v>575</v>
      </c>
      <c r="LZ18" t="s">
        <v>576</v>
      </c>
      <c r="MA18" t="s">
        <v>577</v>
      </c>
      <c r="MB18" t="s">
        <v>578</v>
      </c>
      <c r="MC18" t="s">
        <v>579</v>
      </c>
      <c r="MD18" t="s">
        <v>580</v>
      </c>
      <c r="ME18" t="s">
        <v>581</v>
      </c>
      <c r="MF18" t="s">
        <v>582</v>
      </c>
      <c r="MG18" t="s">
        <v>583</v>
      </c>
      <c r="MH18" t="s">
        <v>584</v>
      </c>
      <c r="MI18" t="s">
        <v>585</v>
      </c>
      <c r="MJ18" t="s">
        <v>586</v>
      </c>
      <c r="MK18" t="s">
        <v>587</v>
      </c>
      <c r="ML18" t="s">
        <v>588</v>
      </c>
      <c r="MM18" t="s">
        <v>589</v>
      </c>
      <c r="MN18" t="s">
        <v>590</v>
      </c>
      <c r="MO18" t="s">
        <v>591</v>
      </c>
      <c r="MP18" t="s">
        <v>592</v>
      </c>
      <c r="MQ18" t="s">
        <v>593</v>
      </c>
      <c r="MR18" t="s">
        <v>594</v>
      </c>
      <c r="MS18" t="s">
        <v>595</v>
      </c>
      <c r="MT18" t="s">
        <v>596</v>
      </c>
      <c r="MU18" t="s">
        <v>597</v>
      </c>
      <c r="MV18" t="s">
        <v>598</v>
      </c>
      <c r="MW18" t="s">
        <v>599</v>
      </c>
      <c r="MX18" t="s">
        <v>600</v>
      </c>
      <c r="MY18" t="s">
        <v>601</v>
      </c>
      <c r="MZ18" t="s">
        <v>602</v>
      </c>
      <c r="NA18" t="s">
        <v>603</v>
      </c>
      <c r="NB18" t="s">
        <v>604</v>
      </c>
      <c r="NC18" t="s">
        <v>605</v>
      </c>
      <c r="ND18" t="s">
        <v>606</v>
      </c>
      <c r="NE18" t="s">
        <v>607</v>
      </c>
      <c r="NF18" t="s">
        <v>608</v>
      </c>
      <c r="NG18" t="s">
        <v>609</v>
      </c>
      <c r="NH18" t="s">
        <v>610</v>
      </c>
      <c r="NI18" t="s">
        <v>611</v>
      </c>
      <c r="NJ18" t="s">
        <v>612</v>
      </c>
      <c r="NK18" t="s">
        <v>613</v>
      </c>
      <c r="NL18" t="s">
        <v>614</v>
      </c>
      <c r="NM18" t="s">
        <v>615</v>
      </c>
      <c r="NN18" t="s">
        <v>616</v>
      </c>
      <c r="NO18" t="s">
        <v>617</v>
      </c>
      <c r="NP18" t="s">
        <v>618</v>
      </c>
      <c r="NQ18" t="s">
        <v>619</v>
      </c>
      <c r="NR18" t="s">
        <v>620</v>
      </c>
      <c r="NS18" t="s">
        <v>621</v>
      </c>
      <c r="NT18" t="s">
        <v>622</v>
      </c>
      <c r="NU18" t="s">
        <v>623</v>
      </c>
      <c r="NV18" t="s">
        <v>624</v>
      </c>
      <c r="NW18" t="s">
        <v>625</v>
      </c>
      <c r="NX18" t="s">
        <v>626</v>
      </c>
      <c r="NY18" t="s">
        <v>627</v>
      </c>
      <c r="NZ18" t="s">
        <v>628</v>
      </c>
      <c r="OA18" t="s">
        <v>629</v>
      </c>
      <c r="OB18" t="s">
        <v>630</v>
      </c>
      <c r="OC18" t="s">
        <v>631</v>
      </c>
      <c r="OD18" t="s">
        <v>632</v>
      </c>
      <c r="OE18" t="s">
        <v>633</v>
      </c>
      <c r="OF18" t="s">
        <v>634</v>
      </c>
      <c r="OG18" t="s">
        <v>635</v>
      </c>
      <c r="OH18" t="s">
        <v>636</v>
      </c>
      <c r="OI18" t="s">
        <v>637</v>
      </c>
      <c r="OJ18" t="s">
        <v>638</v>
      </c>
      <c r="OK18" t="s">
        <v>639</v>
      </c>
      <c r="OL18" t="s">
        <v>640</v>
      </c>
      <c r="OM18" t="s">
        <v>641</v>
      </c>
      <c r="ON18" t="s">
        <v>642</v>
      </c>
      <c r="OO18" t="s">
        <v>643</v>
      </c>
      <c r="OP18" t="s">
        <v>644</v>
      </c>
      <c r="OQ18" t="s">
        <v>645</v>
      </c>
      <c r="OR18" t="s">
        <v>646</v>
      </c>
      <c r="OS18" t="s">
        <v>647</v>
      </c>
      <c r="OT18" t="s">
        <v>648</v>
      </c>
      <c r="OU18" t="s">
        <v>649</v>
      </c>
      <c r="OV18" t="s">
        <v>650</v>
      </c>
      <c r="OW18" t="s">
        <v>651</v>
      </c>
      <c r="OX18" t="s">
        <v>652</v>
      </c>
      <c r="OY18" t="s">
        <v>653</v>
      </c>
      <c r="OZ18" t="s">
        <v>654</v>
      </c>
      <c r="PA18" t="s">
        <v>655</v>
      </c>
      <c r="PB18" t="s">
        <v>656</v>
      </c>
      <c r="PC18" t="s">
        <v>657</v>
      </c>
      <c r="PD18" t="s">
        <v>658</v>
      </c>
      <c r="PE18" t="s">
        <v>659</v>
      </c>
      <c r="PF18" t="s">
        <v>660</v>
      </c>
      <c r="PG18" t="s">
        <v>661</v>
      </c>
      <c r="PH18" t="s">
        <v>662</v>
      </c>
      <c r="PI18" t="s">
        <v>663</v>
      </c>
      <c r="PJ18" t="s">
        <v>664</v>
      </c>
      <c r="PK18" t="s">
        <v>665</v>
      </c>
      <c r="PL18" t="s">
        <v>666</v>
      </c>
      <c r="PM18" t="s">
        <v>667</v>
      </c>
      <c r="PN18" t="s">
        <v>668</v>
      </c>
      <c r="PO18" t="s">
        <v>669</v>
      </c>
      <c r="PP18" t="s">
        <v>670</v>
      </c>
      <c r="PQ18" t="s">
        <v>671</v>
      </c>
      <c r="PR18" t="s">
        <v>672</v>
      </c>
      <c r="PS18" t="s">
        <v>673</v>
      </c>
      <c r="PT18" t="s">
        <v>674</v>
      </c>
      <c r="PU18" t="s">
        <v>675</v>
      </c>
      <c r="PV18" t="s">
        <v>676</v>
      </c>
      <c r="PW18" t="s">
        <v>677</v>
      </c>
      <c r="PX18" t="s">
        <v>678</v>
      </c>
      <c r="PY18" t="s">
        <v>679</v>
      </c>
      <c r="PZ18" t="s">
        <v>680</v>
      </c>
      <c r="QA18" t="s">
        <v>681</v>
      </c>
      <c r="QB18" t="s">
        <v>682</v>
      </c>
      <c r="QC18" t="s">
        <v>683</v>
      </c>
      <c r="QD18" t="s">
        <v>684</v>
      </c>
      <c r="QE18" t="s">
        <v>685</v>
      </c>
      <c r="QF18" t="s">
        <v>686</v>
      </c>
      <c r="QG18" t="s">
        <v>687</v>
      </c>
      <c r="QH18" t="s">
        <v>688</v>
      </c>
      <c r="QI18" t="s">
        <v>689</v>
      </c>
      <c r="QJ18" t="s">
        <v>690</v>
      </c>
      <c r="QK18" t="s">
        <v>691</v>
      </c>
      <c r="QL18" t="s">
        <v>692</v>
      </c>
      <c r="QM18" t="s">
        <v>693</v>
      </c>
      <c r="QN18" t="s">
        <v>694</v>
      </c>
      <c r="QO18" t="s">
        <v>695</v>
      </c>
      <c r="QP18" t="s">
        <v>696</v>
      </c>
      <c r="QQ18" t="s">
        <v>697</v>
      </c>
      <c r="QR18" t="s">
        <v>698</v>
      </c>
      <c r="QS18" t="s">
        <v>699</v>
      </c>
      <c r="QT18" t="s">
        <v>700</v>
      </c>
      <c r="QU18" t="s">
        <v>701</v>
      </c>
      <c r="QV18" t="s">
        <v>702</v>
      </c>
      <c r="QW18" t="s">
        <v>703</v>
      </c>
      <c r="QX18" t="s">
        <v>704</v>
      </c>
      <c r="QY18" t="s">
        <v>705</v>
      </c>
      <c r="QZ18" t="s">
        <v>706</v>
      </c>
      <c r="RA18" t="s">
        <v>707</v>
      </c>
      <c r="RB18" t="s">
        <v>708</v>
      </c>
      <c r="RC18" t="s">
        <v>709</v>
      </c>
      <c r="RD18" t="s">
        <v>710</v>
      </c>
      <c r="RE18" t="s">
        <v>711</v>
      </c>
      <c r="RF18" t="s">
        <v>712</v>
      </c>
      <c r="RG18" t="s">
        <v>713</v>
      </c>
      <c r="RH18" t="s">
        <v>714</v>
      </c>
      <c r="RI18" t="s">
        <v>715</v>
      </c>
      <c r="RJ18" t="s">
        <v>716</v>
      </c>
      <c r="RK18" t="s">
        <v>717</v>
      </c>
      <c r="RL18" t="s">
        <v>718</v>
      </c>
      <c r="RM18" t="s">
        <v>719</v>
      </c>
      <c r="RN18" t="s">
        <v>720</v>
      </c>
      <c r="RO18" t="s">
        <v>721</v>
      </c>
      <c r="RP18" t="s">
        <v>722</v>
      </c>
      <c r="RQ18" t="s">
        <v>723</v>
      </c>
      <c r="RR18" t="s">
        <v>724</v>
      </c>
      <c r="RS18" t="s">
        <v>725</v>
      </c>
      <c r="RT18" t="s">
        <v>726</v>
      </c>
      <c r="RU18" t="s">
        <v>727</v>
      </c>
      <c r="RV18" t="s">
        <v>728</v>
      </c>
      <c r="RW18" t="s">
        <v>729</v>
      </c>
      <c r="RX18" t="s">
        <v>730</v>
      </c>
      <c r="RY18" t="s">
        <v>731</v>
      </c>
      <c r="RZ18" t="s">
        <v>732</v>
      </c>
      <c r="SA18" t="s">
        <v>733</v>
      </c>
      <c r="SB18" t="s">
        <v>734</v>
      </c>
      <c r="SC18" t="s">
        <v>735</v>
      </c>
      <c r="SD18" t="s">
        <v>736</v>
      </c>
      <c r="SE18" t="s">
        <v>737</v>
      </c>
      <c r="SF18" t="s">
        <v>738</v>
      </c>
      <c r="SG18" t="s">
        <v>739</v>
      </c>
      <c r="SH18" t="s">
        <v>740</v>
      </c>
      <c r="SI18" t="s">
        <v>741</v>
      </c>
      <c r="SJ18" t="s">
        <v>742</v>
      </c>
      <c r="SK18" t="s">
        <v>743</v>
      </c>
      <c r="SL18" t="s">
        <v>744</v>
      </c>
      <c r="SM18" t="s">
        <v>745</v>
      </c>
      <c r="SN18" t="s">
        <v>746</v>
      </c>
      <c r="SO18" t="s">
        <v>747</v>
      </c>
      <c r="SP18" t="s">
        <v>748</v>
      </c>
      <c r="SQ18" t="s">
        <v>749</v>
      </c>
      <c r="SR18" t="s">
        <v>750</v>
      </c>
      <c r="SS18" t="s">
        <v>751</v>
      </c>
      <c r="ST18" t="s">
        <v>752</v>
      </c>
      <c r="SU18" t="s">
        <v>753</v>
      </c>
      <c r="SV18" t="s">
        <v>754</v>
      </c>
      <c r="SW18" t="s">
        <v>755</v>
      </c>
      <c r="SX18" t="s">
        <v>756</v>
      </c>
      <c r="SY18" t="s">
        <v>757</v>
      </c>
      <c r="SZ18" t="s">
        <v>758</v>
      </c>
      <c r="TA18" t="s">
        <v>759</v>
      </c>
      <c r="TB18" t="s">
        <v>760</v>
      </c>
      <c r="TC18" t="s">
        <v>761</v>
      </c>
      <c r="TD18" t="s">
        <v>762</v>
      </c>
      <c r="TE18" t="s">
        <v>763</v>
      </c>
      <c r="TF18" t="s">
        <v>764</v>
      </c>
      <c r="TG18" t="s">
        <v>765</v>
      </c>
      <c r="TH18" t="s">
        <v>766</v>
      </c>
      <c r="TI18" t="s">
        <v>767</v>
      </c>
      <c r="TJ18" t="s">
        <v>768</v>
      </c>
      <c r="TK18" t="s">
        <v>769</v>
      </c>
      <c r="TL18" t="s">
        <v>770</v>
      </c>
      <c r="TM18" t="s">
        <v>771</v>
      </c>
      <c r="TN18" t="s">
        <v>772</v>
      </c>
      <c r="TO18" t="s">
        <v>773</v>
      </c>
      <c r="TP18" t="s">
        <v>774</v>
      </c>
      <c r="TQ18" t="s">
        <v>775</v>
      </c>
      <c r="TR18" t="s">
        <v>776</v>
      </c>
      <c r="TS18" t="s">
        <v>777</v>
      </c>
      <c r="TT18" t="s">
        <v>778</v>
      </c>
      <c r="TU18" t="s">
        <v>779</v>
      </c>
      <c r="TV18" t="s">
        <v>780</v>
      </c>
      <c r="TW18" t="s">
        <v>781</v>
      </c>
      <c r="TX18" t="s">
        <v>782</v>
      </c>
      <c r="TY18" t="s">
        <v>783</v>
      </c>
      <c r="TZ18" t="s">
        <v>784</v>
      </c>
      <c r="UA18" t="s">
        <v>785</v>
      </c>
      <c r="UB18" t="s">
        <v>786</v>
      </c>
      <c r="UC18" t="s">
        <v>787</v>
      </c>
      <c r="UD18" t="s">
        <v>788</v>
      </c>
      <c r="UE18" t="s">
        <v>789</v>
      </c>
      <c r="UF18" t="s">
        <v>790</v>
      </c>
      <c r="UG18" t="s">
        <v>791</v>
      </c>
      <c r="UH18" t="s">
        <v>792</v>
      </c>
      <c r="UI18" t="s">
        <v>793</v>
      </c>
      <c r="UJ18" t="s">
        <v>794</v>
      </c>
      <c r="UK18" t="s">
        <v>795</v>
      </c>
      <c r="UL18" t="s">
        <v>796</v>
      </c>
      <c r="UM18" t="s">
        <v>797</v>
      </c>
      <c r="UN18" t="s">
        <v>798</v>
      </c>
      <c r="UO18" t="s">
        <v>799</v>
      </c>
      <c r="UP18" t="s">
        <v>800</v>
      </c>
      <c r="UQ18" t="s">
        <v>801</v>
      </c>
      <c r="UR18" t="s">
        <v>802</v>
      </c>
      <c r="US18" t="s">
        <v>803</v>
      </c>
      <c r="UT18" t="s">
        <v>804</v>
      </c>
      <c r="UU18" t="s">
        <v>805</v>
      </c>
      <c r="UV18" t="s">
        <v>806</v>
      </c>
      <c r="UW18" t="s">
        <v>807</v>
      </c>
      <c r="UX18" t="s">
        <v>808</v>
      </c>
      <c r="UY18" t="s">
        <v>809</v>
      </c>
      <c r="UZ18" t="s">
        <v>810</v>
      </c>
      <c r="VA18" t="s">
        <v>811</v>
      </c>
      <c r="VB18" t="s">
        <v>812</v>
      </c>
      <c r="VC18" t="s">
        <v>813</v>
      </c>
      <c r="VD18" t="s">
        <v>814</v>
      </c>
      <c r="VE18" t="s">
        <v>815</v>
      </c>
      <c r="VF18" t="s">
        <v>816</v>
      </c>
      <c r="VG18" t="s">
        <v>817</v>
      </c>
      <c r="VH18" t="s">
        <v>818</v>
      </c>
      <c r="VI18" t="s">
        <v>819</v>
      </c>
      <c r="VJ18" t="s">
        <v>820</v>
      </c>
      <c r="VK18" t="s">
        <v>821</v>
      </c>
      <c r="VL18" t="s">
        <v>822</v>
      </c>
      <c r="VM18" t="s">
        <v>823</v>
      </c>
      <c r="VN18" t="s">
        <v>824</v>
      </c>
      <c r="VO18" t="s">
        <v>825</v>
      </c>
      <c r="VP18" t="s">
        <v>826</v>
      </c>
      <c r="VQ18" t="s">
        <v>827</v>
      </c>
      <c r="VR18" t="s">
        <v>828</v>
      </c>
      <c r="VS18" t="s">
        <v>829</v>
      </c>
      <c r="VT18" t="s">
        <v>830</v>
      </c>
      <c r="VU18" t="s">
        <v>831</v>
      </c>
      <c r="VV18" t="s">
        <v>832</v>
      </c>
      <c r="VW18" t="s">
        <v>833</v>
      </c>
      <c r="VX18" t="s">
        <v>834</v>
      </c>
      <c r="VY18" t="s">
        <v>835</v>
      </c>
      <c r="VZ18" t="s">
        <v>836</v>
      </c>
      <c r="WA18" t="s">
        <v>837</v>
      </c>
      <c r="WB18" t="s">
        <v>838</v>
      </c>
      <c r="WC18" t="s">
        <v>839</v>
      </c>
      <c r="WD18" t="s">
        <v>840</v>
      </c>
      <c r="WE18" t="s">
        <v>841</v>
      </c>
      <c r="WF18" t="s">
        <v>842</v>
      </c>
      <c r="WG18" t="s">
        <v>843</v>
      </c>
      <c r="WH18" t="s">
        <v>844</v>
      </c>
      <c r="WI18" t="s">
        <v>845</v>
      </c>
      <c r="WJ18" t="s">
        <v>846</v>
      </c>
      <c r="WK18" t="s">
        <v>847</v>
      </c>
      <c r="WL18" t="s">
        <v>848</v>
      </c>
      <c r="WM18" t="s">
        <v>849</v>
      </c>
      <c r="WN18" t="s">
        <v>850</v>
      </c>
      <c r="WO18" t="s">
        <v>851</v>
      </c>
      <c r="WP18" t="s">
        <v>852</v>
      </c>
      <c r="WQ18" t="s">
        <v>853</v>
      </c>
      <c r="WR18" t="s">
        <v>854</v>
      </c>
      <c r="WS18" t="s">
        <v>855</v>
      </c>
      <c r="WT18" t="s">
        <v>856</v>
      </c>
      <c r="WU18" t="s">
        <v>857</v>
      </c>
      <c r="WV18" t="s">
        <v>858</v>
      </c>
      <c r="WW18" t="s">
        <v>859</v>
      </c>
      <c r="WX18" t="s">
        <v>860</v>
      </c>
      <c r="WY18" t="s">
        <v>861</v>
      </c>
      <c r="WZ18" t="s">
        <v>862</v>
      </c>
      <c r="XA18" t="s">
        <v>863</v>
      </c>
      <c r="XB18" t="s">
        <v>864</v>
      </c>
      <c r="XC18" t="s">
        <v>865</v>
      </c>
      <c r="XD18" t="s">
        <v>866</v>
      </c>
      <c r="XE18" t="s">
        <v>867</v>
      </c>
      <c r="XF18" t="s">
        <v>868</v>
      </c>
      <c r="XG18" t="s">
        <v>869</v>
      </c>
      <c r="XH18" t="s">
        <v>870</v>
      </c>
      <c r="XI18" t="s">
        <v>871</v>
      </c>
      <c r="XJ18" t="s">
        <v>872</v>
      </c>
      <c r="XK18" t="s">
        <v>873</v>
      </c>
      <c r="XL18" t="s">
        <v>874</v>
      </c>
      <c r="XM18" t="s">
        <v>875</v>
      </c>
      <c r="XN18" t="s">
        <v>876</v>
      </c>
      <c r="XO18" t="s">
        <v>877</v>
      </c>
      <c r="XP18" t="s">
        <v>878</v>
      </c>
      <c r="XQ18" t="s">
        <v>879</v>
      </c>
      <c r="XR18" t="s">
        <v>880</v>
      </c>
      <c r="XS18" t="s">
        <v>881</v>
      </c>
      <c r="XT18" t="s">
        <v>882</v>
      </c>
      <c r="XU18" t="s">
        <v>883</v>
      </c>
      <c r="XV18" t="s">
        <v>884</v>
      </c>
      <c r="XW18" t="s">
        <v>885</v>
      </c>
      <c r="XX18" t="s">
        <v>886</v>
      </c>
      <c r="XY18" t="s">
        <v>887</v>
      </c>
      <c r="XZ18" t="s">
        <v>888</v>
      </c>
      <c r="YA18" t="s">
        <v>889</v>
      </c>
      <c r="YB18" t="s">
        <v>890</v>
      </c>
      <c r="YC18" t="s">
        <v>891</v>
      </c>
      <c r="YD18" t="s">
        <v>892</v>
      </c>
      <c r="YE18" t="s">
        <v>893</v>
      </c>
      <c r="YF18" t="s">
        <v>894</v>
      </c>
      <c r="YG18" t="s">
        <v>895</v>
      </c>
      <c r="YH18" t="s">
        <v>896</v>
      </c>
      <c r="YI18" t="s">
        <v>897</v>
      </c>
      <c r="YJ18" t="s">
        <v>898</v>
      </c>
      <c r="YK18" t="s">
        <v>899</v>
      </c>
      <c r="YL18" t="s">
        <v>900</v>
      </c>
      <c r="YM18" t="s">
        <v>901</v>
      </c>
      <c r="YN18" t="s">
        <v>902</v>
      </c>
      <c r="YO18" t="s">
        <v>903</v>
      </c>
      <c r="YP18" t="s">
        <v>904</v>
      </c>
      <c r="YQ18" t="s">
        <v>905</v>
      </c>
      <c r="YR18" t="s">
        <v>906</v>
      </c>
      <c r="YS18" t="s">
        <v>907</v>
      </c>
      <c r="YT18" t="s">
        <v>908</v>
      </c>
      <c r="YU18" t="s">
        <v>909</v>
      </c>
      <c r="YV18" t="s">
        <v>910</v>
      </c>
      <c r="YW18" t="s">
        <v>911</v>
      </c>
      <c r="YX18" t="s">
        <v>912</v>
      </c>
      <c r="YY18" t="s">
        <v>913</v>
      </c>
      <c r="YZ18" t="s">
        <v>914</v>
      </c>
      <c r="ZA18" t="s">
        <v>915</v>
      </c>
      <c r="ZB18" t="s">
        <v>916</v>
      </c>
      <c r="ZC18" t="s">
        <v>917</v>
      </c>
      <c r="ZD18" t="s">
        <v>918</v>
      </c>
      <c r="ZE18" t="s">
        <v>919</v>
      </c>
      <c r="ZF18" t="s">
        <v>920</v>
      </c>
      <c r="ZG18" t="s">
        <v>921</v>
      </c>
      <c r="ZH18" t="s">
        <v>922</v>
      </c>
      <c r="ZI18" t="s">
        <v>923</v>
      </c>
      <c r="ZJ18" t="s">
        <v>924</v>
      </c>
      <c r="ZK18" t="s">
        <v>925</v>
      </c>
      <c r="ZL18" t="s">
        <v>926</v>
      </c>
      <c r="ZM18" t="s">
        <v>927</v>
      </c>
      <c r="ZN18" t="s">
        <v>928</v>
      </c>
      <c r="ZO18" t="s">
        <v>929</v>
      </c>
      <c r="ZP18" t="s">
        <v>930</v>
      </c>
      <c r="ZQ18" t="s">
        <v>931</v>
      </c>
      <c r="ZR18" t="s">
        <v>932</v>
      </c>
      <c r="ZS18" t="s">
        <v>933</v>
      </c>
      <c r="ZT18" t="s">
        <v>934</v>
      </c>
      <c r="ZU18" t="s">
        <v>935</v>
      </c>
      <c r="ZV18" t="s">
        <v>936</v>
      </c>
      <c r="ZW18" t="s">
        <v>937</v>
      </c>
      <c r="ZX18" t="s">
        <v>938</v>
      </c>
      <c r="ZY18" t="s">
        <v>939</v>
      </c>
      <c r="ZZ18" t="s">
        <v>940</v>
      </c>
      <c r="AAA18" t="s">
        <v>941</v>
      </c>
      <c r="AAB18" t="s">
        <v>942</v>
      </c>
      <c r="AAC18" t="s">
        <v>943</v>
      </c>
      <c r="AAD18" t="s">
        <v>944</v>
      </c>
      <c r="AAE18" t="s">
        <v>945</v>
      </c>
      <c r="AAF18" t="s">
        <v>946</v>
      </c>
      <c r="AAG18" t="s">
        <v>947</v>
      </c>
      <c r="AAH18" t="s">
        <v>948</v>
      </c>
      <c r="AAI18" t="s">
        <v>949</v>
      </c>
      <c r="AAJ18" t="s">
        <v>950</v>
      </c>
      <c r="AAK18" t="s">
        <v>951</v>
      </c>
      <c r="AAL18" t="s">
        <v>952</v>
      </c>
      <c r="AAM18" t="s">
        <v>953</v>
      </c>
      <c r="AAN18" t="s">
        <v>954</v>
      </c>
      <c r="AAO18" t="s">
        <v>955</v>
      </c>
      <c r="AAP18" t="s">
        <v>956</v>
      </c>
      <c r="AAQ18" t="s">
        <v>957</v>
      </c>
      <c r="AAR18" t="s">
        <v>958</v>
      </c>
      <c r="AAS18" t="s">
        <v>959</v>
      </c>
      <c r="AAT18" t="s">
        <v>960</v>
      </c>
      <c r="AAU18" t="s">
        <v>961</v>
      </c>
      <c r="AAV18" t="s">
        <v>962</v>
      </c>
      <c r="AAW18" t="s">
        <v>963</v>
      </c>
      <c r="AAX18" t="s">
        <v>964</v>
      </c>
      <c r="AAY18" t="s">
        <v>965</v>
      </c>
      <c r="AAZ18" t="s">
        <v>966</v>
      </c>
      <c r="ABA18" t="s">
        <v>967</v>
      </c>
      <c r="ABB18" t="s">
        <v>968</v>
      </c>
      <c r="ABC18" t="s">
        <v>969</v>
      </c>
      <c r="ABD18" t="s">
        <v>970</v>
      </c>
      <c r="ABE18" t="s">
        <v>971</v>
      </c>
      <c r="ABF18" t="s">
        <v>972</v>
      </c>
      <c r="ABG18" t="s">
        <v>973</v>
      </c>
      <c r="ABH18" t="s">
        <v>974</v>
      </c>
      <c r="ABI18" t="s">
        <v>975</v>
      </c>
      <c r="ABJ18" t="s">
        <v>976</v>
      </c>
      <c r="ABK18" t="s">
        <v>977</v>
      </c>
      <c r="ABL18" t="s">
        <v>978</v>
      </c>
      <c r="ABM18" t="s">
        <v>979</v>
      </c>
      <c r="ABN18" t="s">
        <v>980</v>
      </c>
      <c r="ABO18" t="s">
        <v>981</v>
      </c>
      <c r="ABP18" t="s">
        <v>982</v>
      </c>
      <c r="ABQ18" t="s">
        <v>983</v>
      </c>
      <c r="ABR18" t="s">
        <v>984</v>
      </c>
      <c r="ABS18" t="s">
        <v>985</v>
      </c>
      <c r="ABT18" t="s">
        <v>986</v>
      </c>
      <c r="ABU18" t="s">
        <v>987</v>
      </c>
      <c r="ABV18" t="s">
        <v>988</v>
      </c>
      <c r="ABW18" t="s">
        <v>989</v>
      </c>
      <c r="ABX18" t="s">
        <v>990</v>
      </c>
      <c r="ABY18" t="s">
        <v>991</v>
      </c>
      <c r="ABZ18" t="s">
        <v>992</v>
      </c>
      <c r="ACA18" t="s">
        <v>993</v>
      </c>
      <c r="ACB18" t="s">
        <v>994</v>
      </c>
      <c r="ACC18" t="s">
        <v>995</v>
      </c>
      <c r="ACD18" t="s">
        <v>996</v>
      </c>
      <c r="ACE18" t="s">
        <v>997</v>
      </c>
      <c r="ACF18" t="s">
        <v>998</v>
      </c>
      <c r="ACG18" t="s">
        <v>999</v>
      </c>
      <c r="ACH18" t="s">
        <v>1000</v>
      </c>
      <c r="ACI18" t="s">
        <v>1001</v>
      </c>
      <c r="ACJ18" t="s">
        <v>1002</v>
      </c>
      <c r="ACK18" t="s">
        <v>1003</v>
      </c>
      <c r="ACL18" t="s">
        <v>1004</v>
      </c>
      <c r="ACM18" t="s">
        <v>1005</v>
      </c>
      <c r="ACN18" t="s">
        <v>1006</v>
      </c>
      <c r="ACO18" t="s">
        <v>1007</v>
      </c>
      <c r="ACP18" t="s">
        <v>1008</v>
      </c>
      <c r="ACQ18" t="s">
        <v>1009</v>
      </c>
      <c r="ACR18" t="s">
        <v>1010</v>
      </c>
      <c r="ACS18" t="s">
        <v>1011</v>
      </c>
      <c r="ACT18" t="s">
        <v>1012</v>
      </c>
      <c r="ACU18" t="s">
        <v>1013</v>
      </c>
      <c r="ACV18" t="s">
        <v>1014</v>
      </c>
      <c r="ACW18" t="s">
        <v>1015</v>
      </c>
      <c r="ACX18" t="s">
        <v>1016</v>
      </c>
      <c r="ACY18" t="s">
        <v>1017</v>
      </c>
      <c r="ACZ18" t="s">
        <v>1018</v>
      </c>
      <c r="ADA18" t="s">
        <v>1019</v>
      </c>
      <c r="ADB18" t="s">
        <v>1020</v>
      </c>
      <c r="ADC18" t="s">
        <v>1021</v>
      </c>
      <c r="ADD18" t="s">
        <v>1022</v>
      </c>
      <c r="ADE18" t="s">
        <v>1023</v>
      </c>
      <c r="ADF18" t="s">
        <v>1024</v>
      </c>
      <c r="ADG18" t="s">
        <v>1025</v>
      </c>
      <c r="ADH18" t="s">
        <v>1026</v>
      </c>
      <c r="ADI18" t="s">
        <v>1027</v>
      </c>
      <c r="ADJ18" t="s">
        <v>1028</v>
      </c>
      <c r="ADK18" t="s">
        <v>1029</v>
      </c>
      <c r="ADL18" t="s">
        <v>1030</v>
      </c>
      <c r="ADM18" t="s">
        <v>1031</v>
      </c>
      <c r="ADN18" t="s">
        <v>1032</v>
      </c>
      <c r="ADO18" t="s">
        <v>1033</v>
      </c>
      <c r="ADP18" t="s">
        <v>1034</v>
      </c>
      <c r="ADQ18" t="s">
        <v>1035</v>
      </c>
      <c r="ADR18" t="s">
        <v>1036</v>
      </c>
      <c r="ADS18" t="s">
        <v>1037</v>
      </c>
      <c r="ADT18" t="s">
        <v>1038</v>
      </c>
      <c r="ADU18" t="s">
        <v>1039</v>
      </c>
      <c r="ADV18" t="s">
        <v>1040</v>
      </c>
      <c r="ADW18" t="s">
        <v>1041</v>
      </c>
      <c r="ADX18" t="s">
        <v>1042</v>
      </c>
      <c r="ADY18" t="s">
        <v>1043</v>
      </c>
      <c r="ADZ18" t="s">
        <v>1044</v>
      </c>
      <c r="AEA18" t="s">
        <v>1045</v>
      </c>
      <c r="AEB18" t="s">
        <v>1046</v>
      </c>
      <c r="AEC18" t="s">
        <v>1047</v>
      </c>
      <c r="AED18" t="s">
        <v>1048</v>
      </c>
      <c r="AEE18" t="s">
        <v>1049</v>
      </c>
      <c r="AEF18" t="s">
        <v>1050</v>
      </c>
      <c r="AEG18" t="s">
        <v>1051</v>
      </c>
      <c r="AEH18" t="s">
        <v>1052</v>
      </c>
      <c r="AEI18" t="s">
        <v>1053</v>
      </c>
      <c r="AEJ18" t="s">
        <v>1054</v>
      </c>
      <c r="AEK18" t="s">
        <v>1055</v>
      </c>
      <c r="AEL18" t="s">
        <v>1056</v>
      </c>
      <c r="AEM18" t="s">
        <v>1057</v>
      </c>
      <c r="AEN18" t="s">
        <v>1058</v>
      </c>
      <c r="AEO18" t="s">
        <v>1059</v>
      </c>
      <c r="AEP18" t="s">
        <v>1060</v>
      </c>
      <c r="AEQ18" t="s">
        <v>1061</v>
      </c>
      <c r="AER18" t="s">
        <v>1062</v>
      </c>
      <c r="AES18" t="s">
        <v>1063</v>
      </c>
      <c r="AET18" t="s">
        <v>1064</v>
      </c>
      <c r="AEU18" t="s">
        <v>1065</v>
      </c>
      <c r="AEV18" t="s">
        <v>1066</v>
      </c>
      <c r="AEW18" t="s">
        <v>1067</v>
      </c>
      <c r="AEX18" t="s">
        <v>1068</v>
      </c>
      <c r="AEY18" t="s">
        <v>1069</v>
      </c>
      <c r="AEZ18" t="s">
        <v>1070</v>
      </c>
      <c r="AFA18" t="s">
        <v>1071</v>
      </c>
      <c r="AFB18" t="s">
        <v>1072</v>
      </c>
      <c r="AFC18" t="s">
        <v>1073</v>
      </c>
      <c r="AFD18" t="s">
        <v>1074</v>
      </c>
      <c r="AFE18" t="s">
        <v>1075</v>
      </c>
      <c r="AFF18" t="s">
        <v>1076</v>
      </c>
      <c r="AFG18" t="s">
        <v>1077</v>
      </c>
      <c r="AFH18" t="s">
        <v>1078</v>
      </c>
      <c r="AFI18" t="s">
        <v>1079</v>
      </c>
      <c r="AFJ18" t="s">
        <v>1080</v>
      </c>
      <c r="AFK18" t="s">
        <v>1081</v>
      </c>
      <c r="AFL18" t="s">
        <v>1082</v>
      </c>
      <c r="AFM18" t="s">
        <v>1083</v>
      </c>
      <c r="AFN18" t="s">
        <v>1084</v>
      </c>
      <c r="AFO18" t="s">
        <v>1085</v>
      </c>
      <c r="AFP18" t="s">
        <v>1086</v>
      </c>
      <c r="AFQ18" t="s">
        <v>1087</v>
      </c>
      <c r="AFR18" t="s">
        <v>1088</v>
      </c>
      <c r="AFS18" t="s">
        <v>1089</v>
      </c>
      <c r="AFT18" t="s">
        <v>1090</v>
      </c>
      <c r="AFU18" t="s">
        <v>1091</v>
      </c>
      <c r="AFV18" t="s">
        <v>1092</v>
      </c>
      <c r="AFW18" t="s">
        <v>1093</v>
      </c>
      <c r="AFX18" t="s">
        <v>1094</v>
      </c>
      <c r="AFY18" t="s">
        <v>1095</v>
      </c>
      <c r="AFZ18" t="s">
        <v>1096</v>
      </c>
      <c r="AGA18" t="s">
        <v>1097</v>
      </c>
      <c r="AGB18" t="s">
        <v>1098</v>
      </c>
      <c r="AGC18" t="s">
        <v>1099</v>
      </c>
      <c r="AGD18" t="s">
        <v>1100</v>
      </c>
      <c r="AGE18" t="s">
        <v>1101</v>
      </c>
      <c r="AGF18" t="s">
        <v>1102</v>
      </c>
      <c r="AGG18" t="s">
        <v>1103</v>
      </c>
      <c r="AGH18" t="s">
        <v>1104</v>
      </c>
      <c r="AGI18" t="s">
        <v>1105</v>
      </c>
      <c r="AGJ18" t="s">
        <v>1106</v>
      </c>
      <c r="AGK18" t="s">
        <v>1107</v>
      </c>
      <c r="AGL18" t="s">
        <v>1108</v>
      </c>
      <c r="AGM18" t="s">
        <v>1109</v>
      </c>
      <c r="AGN18" t="s">
        <v>1110</v>
      </c>
      <c r="AGO18" t="s">
        <v>1111</v>
      </c>
      <c r="AGP18" t="s">
        <v>1112</v>
      </c>
      <c r="AGQ18" t="s">
        <v>1113</v>
      </c>
      <c r="AGR18" t="s">
        <v>1114</v>
      </c>
      <c r="AGS18" t="s">
        <v>1115</v>
      </c>
      <c r="AGT18" t="s">
        <v>1116</v>
      </c>
      <c r="AGU18" t="s">
        <v>1117</v>
      </c>
      <c r="AGV18" t="s">
        <v>1118</v>
      </c>
      <c r="AGW18" t="s">
        <v>1119</v>
      </c>
      <c r="AGX18" t="s">
        <v>1120</v>
      </c>
      <c r="AGY18" t="s">
        <v>1121</v>
      </c>
      <c r="AGZ18" t="s">
        <v>1122</v>
      </c>
      <c r="AHA18" t="s">
        <v>1123</v>
      </c>
      <c r="AHB18" t="s">
        <v>1124</v>
      </c>
      <c r="AHC18" t="s">
        <v>1125</v>
      </c>
      <c r="AHD18" t="s">
        <v>1126</v>
      </c>
      <c r="AHE18" t="s">
        <v>1127</v>
      </c>
      <c r="AHF18" t="s">
        <v>1128</v>
      </c>
      <c r="AHG18" t="s">
        <v>1129</v>
      </c>
      <c r="AHH18" t="s">
        <v>1130</v>
      </c>
      <c r="AHI18" t="s">
        <v>1131</v>
      </c>
      <c r="AHJ18" t="s">
        <v>1132</v>
      </c>
      <c r="AHK18" t="s">
        <v>1133</v>
      </c>
      <c r="AHL18" t="s">
        <v>1134</v>
      </c>
      <c r="AHM18" t="s">
        <v>1135</v>
      </c>
      <c r="AHN18" t="s">
        <v>1136</v>
      </c>
      <c r="AHO18" t="s">
        <v>1137</v>
      </c>
      <c r="AHP18" t="s">
        <v>1138</v>
      </c>
      <c r="AHQ18" t="s">
        <v>1139</v>
      </c>
      <c r="AHR18" t="s">
        <v>1140</v>
      </c>
      <c r="AHS18" t="s">
        <v>1141</v>
      </c>
      <c r="AHT18" t="s">
        <v>1142</v>
      </c>
      <c r="AHU18" t="s">
        <v>1143</v>
      </c>
      <c r="AHV18" t="s">
        <v>1144</v>
      </c>
      <c r="AHW18" t="s">
        <v>1145</v>
      </c>
      <c r="AHX18" t="s">
        <v>1146</v>
      </c>
      <c r="AHY18" t="s">
        <v>1147</v>
      </c>
      <c r="AHZ18" t="s">
        <v>1148</v>
      </c>
      <c r="AIA18" t="s">
        <v>1149</v>
      </c>
      <c r="AIB18" t="s">
        <v>1150</v>
      </c>
      <c r="AIC18" t="s">
        <v>1151</v>
      </c>
      <c r="AID18" t="s">
        <v>1152</v>
      </c>
      <c r="AIE18" t="s">
        <v>1153</v>
      </c>
      <c r="AIF18" t="s">
        <v>1154</v>
      </c>
      <c r="AIG18" t="s">
        <v>1155</v>
      </c>
      <c r="AIH18" t="s">
        <v>1156</v>
      </c>
      <c r="AII18" t="s">
        <v>1157</v>
      </c>
      <c r="AIJ18" t="s">
        <v>1158</v>
      </c>
      <c r="AIK18" t="s">
        <v>1159</v>
      </c>
      <c r="AIL18" t="s">
        <v>1160</v>
      </c>
      <c r="AIM18" t="s">
        <v>1161</v>
      </c>
      <c r="AIN18" t="s">
        <v>1162</v>
      </c>
      <c r="AIO18" t="s">
        <v>1163</v>
      </c>
      <c r="AIP18" t="s">
        <v>1164</v>
      </c>
      <c r="AIQ18" t="s">
        <v>1165</v>
      </c>
      <c r="AIR18" t="s">
        <v>1166</v>
      </c>
      <c r="AIS18" t="s">
        <v>1167</v>
      </c>
      <c r="AIT18" t="s">
        <v>1168</v>
      </c>
      <c r="AIU18" t="s">
        <v>1169</v>
      </c>
      <c r="AIV18" t="s">
        <v>1170</v>
      </c>
      <c r="AIW18" t="s">
        <v>1171</v>
      </c>
      <c r="AIX18" t="s">
        <v>1172</v>
      </c>
      <c r="AIY18" t="s">
        <v>1173</v>
      </c>
      <c r="AIZ18" t="s">
        <v>1174</v>
      </c>
      <c r="AJA18" t="s">
        <v>1175</v>
      </c>
      <c r="AJB18" t="s">
        <v>1176</v>
      </c>
      <c r="AJC18" t="s">
        <v>1177</v>
      </c>
      <c r="AJD18" t="s">
        <v>1178</v>
      </c>
      <c r="AJE18" t="s">
        <v>1179</v>
      </c>
      <c r="AJF18" t="s">
        <v>1180</v>
      </c>
      <c r="AJG18" t="s">
        <v>1181</v>
      </c>
      <c r="AJH18" t="s">
        <v>1182</v>
      </c>
      <c r="AJI18" t="s">
        <v>1183</v>
      </c>
      <c r="AJJ18" t="s">
        <v>1184</v>
      </c>
      <c r="AJK18" t="s">
        <v>1185</v>
      </c>
      <c r="AJL18" t="s">
        <v>1186</v>
      </c>
      <c r="AJM18" t="s">
        <v>1187</v>
      </c>
      <c r="AJN18" t="s">
        <v>1188</v>
      </c>
      <c r="AJO18" t="s">
        <v>1189</v>
      </c>
      <c r="AJP18" t="s">
        <v>1190</v>
      </c>
      <c r="AJQ18" t="s">
        <v>1191</v>
      </c>
      <c r="AJR18" t="s">
        <v>1192</v>
      </c>
      <c r="AJS18" t="s">
        <v>1193</v>
      </c>
      <c r="AJT18" t="s">
        <v>1194</v>
      </c>
      <c r="AJU18" t="s">
        <v>1195</v>
      </c>
      <c r="AJV18" t="s">
        <v>1196</v>
      </c>
      <c r="AJW18" t="s">
        <v>1197</v>
      </c>
      <c r="AJX18" t="s">
        <v>1198</v>
      </c>
      <c r="AJY18" t="s">
        <v>1199</v>
      </c>
      <c r="AJZ18" t="s">
        <v>1200</v>
      </c>
      <c r="AKA18" t="s">
        <v>1201</v>
      </c>
      <c r="AKB18" t="s">
        <v>1202</v>
      </c>
      <c r="AKC18" t="s">
        <v>1203</v>
      </c>
      <c r="AKD18" t="s">
        <v>1204</v>
      </c>
      <c r="AKE18" t="s">
        <v>1205</v>
      </c>
      <c r="AKF18" t="s">
        <v>1206</v>
      </c>
      <c r="AKG18" t="s">
        <v>1207</v>
      </c>
      <c r="AKH18" t="s">
        <v>1208</v>
      </c>
      <c r="AKI18" t="s">
        <v>1209</v>
      </c>
      <c r="AKJ18" t="s">
        <v>1210</v>
      </c>
      <c r="AKK18" t="s">
        <v>1211</v>
      </c>
      <c r="AKL18" t="s">
        <v>1212</v>
      </c>
      <c r="AKM18" t="s">
        <v>1213</v>
      </c>
      <c r="AKN18" t="s">
        <v>1214</v>
      </c>
      <c r="AKO18" t="s">
        <v>1215</v>
      </c>
      <c r="AKP18" t="s">
        <v>1216</v>
      </c>
      <c r="AKQ18" t="s">
        <v>1217</v>
      </c>
      <c r="AKR18" t="s">
        <v>1218</v>
      </c>
      <c r="AKS18" t="s">
        <v>1219</v>
      </c>
      <c r="AKT18" t="s">
        <v>1220</v>
      </c>
      <c r="AKU18" t="s">
        <v>1221</v>
      </c>
      <c r="AKV18" t="s">
        <v>1222</v>
      </c>
      <c r="AKW18" t="s">
        <v>1223</v>
      </c>
      <c r="AKX18" t="s">
        <v>1224</v>
      </c>
      <c r="AKY18" t="s">
        <v>1225</v>
      </c>
      <c r="AKZ18" t="s">
        <v>1226</v>
      </c>
      <c r="ALA18" t="s">
        <v>1227</v>
      </c>
      <c r="ALB18" t="s">
        <v>1228</v>
      </c>
      <c r="ALC18" t="s">
        <v>1229</v>
      </c>
      <c r="ALD18" t="s">
        <v>1230</v>
      </c>
      <c r="ALE18" t="s">
        <v>1231</v>
      </c>
      <c r="ALF18" t="s">
        <v>1232</v>
      </c>
      <c r="ALG18" t="s">
        <v>1233</v>
      </c>
      <c r="ALH18" t="s">
        <v>1234</v>
      </c>
      <c r="ALI18" t="s">
        <v>1235</v>
      </c>
      <c r="ALJ18" t="s">
        <v>1236</v>
      </c>
      <c r="ALK18" t="s">
        <v>1237</v>
      </c>
      <c r="ALL18" t="s">
        <v>1238</v>
      </c>
      <c r="ALM18" t="s">
        <v>1239</v>
      </c>
      <c r="ALN18" t="s">
        <v>1240</v>
      </c>
      <c r="ALO18" t="s">
        <v>1241</v>
      </c>
      <c r="ALP18" t="s">
        <v>1242</v>
      </c>
      <c r="ALQ18" t="s">
        <v>1243</v>
      </c>
      <c r="ALR18" t="s">
        <v>1244</v>
      </c>
      <c r="ALS18" t="s">
        <v>1245</v>
      </c>
      <c r="ALT18" t="s">
        <v>1246</v>
      </c>
      <c r="ALU18" t="s">
        <v>1247</v>
      </c>
      <c r="ALV18" t="s">
        <v>1248</v>
      </c>
      <c r="ALW18" t="s">
        <v>1249</v>
      </c>
      <c r="ALX18" t="s">
        <v>1250</v>
      </c>
      <c r="ALY18" t="s">
        <v>1251</v>
      </c>
      <c r="ALZ18" t="s">
        <v>1252</v>
      </c>
      <c r="AMA18" t="s">
        <v>1253</v>
      </c>
      <c r="AMB18" t="s">
        <v>1254</v>
      </c>
      <c r="AMC18" t="s">
        <v>1255</v>
      </c>
      <c r="AMD18" t="s">
        <v>1256</v>
      </c>
      <c r="AME18" t="s">
        <v>1257</v>
      </c>
      <c r="AMF18" t="s">
        <v>1258</v>
      </c>
      <c r="AMG18" t="s">
        <v>1259</v>
      </c>
      <c r="AMH18" t="s">
        <v>1260</v>
      </c>
      <c r="AMI18" t="s">
        <v>1261</v>
      </c>
      <c r="AMJ18" t="s">
        <v>1262</v>
      </c>
      <c r="AMK18" t="s">
        <v>1263</v>
      </c>
      <c r="AML18" t="s">
        <v>1264</v>
      </c>
      <c r="AMM18" t="s">
        <v>1265</v>
      </c>
      <c r="AMN18" t="s">
        <v>1266</v>
      </c>
      <c r="AMO18" t="s">
        <v>1267</v>
      </c>
      <c r="AMP18" t="s">
        <v>1268</v>
      </c>
      <c r="AMQ18" t="s">
        <v>1269</v>
      </c>
      <c r="AMR18" t="s">
        <v>1270</v>
      </c>
      <c r="AMS18" t="s">
        <v>1271</v>
      </c>
      <c r="AMT18" t="s">
        <v>1272</v>
      </c>
      <c r="AMU18" t="s">
        <v>1273</v>
      </c>
      <c r="AMV18" t="s">
        <v>1274</v>
      </c>
      <c r="AMW18" t="s">
        <v>1275</v>
      </c>
      <c r="AMX18" t="s">
        <v>1276</v>
      </c>
      <c r="AMY18" t="s">
        <v>1277</v>
      </c>
      <c r="AMZ18" t="s">
        <v>1278</v>
      </c>
      <c r="ANA18" t="s">
        <v>1279</v>
      </c>
      <c r="ANB18" t="s">
        <v>1280</v>
      </c>
      <c r="ANC18" t="s">
        <v>1281</v>
      </c>
      <c r="AND18" t="s">
        <v>1282</v>
      </c>
      <c r="ANE18" t="s">
        <v>1283</v>
      </c>
      <c r="ANF18" t="s">
        <v>1284</v>
      </c>
      <c r="ANG18" t="s">
        <v>1285</v>
      </c>
      <c r="ANH18" t="s">
        <v>1286</v>
      </c>
      <c r="ANI18" t="s">
        <v>1287</v>
      </c>
      <c r="ANJ18" t="s">
        <v>1288</v>
      </c>
      <c r="ANK18" t="s">
        <v>1289</v>
      </c>
      <c r="ANL18" t="s">
        <v>1290</v>
      </c>
      <c r="ANM18" t="s">
        <v>1291</v>
      </c>
      <c r="ANN18" t="s">
        <v>1292</v>
      </c>
      <c r="ANO18" t="s">
        <v>1293</v>
      </c>
      <c r="ANP18" t="s">
        <v>1294</v>
      </c>
      <c r="ANQ18" t="s">
        <v>1295</v>
      </c>
      <c r="ANR18" t="s">
        <v>1296</v>
      </c>
      <c r="ANS18" t="s">
        <v>1297</v>
      </c>
      <c r="ANT18" t="s">
        <v>1298</v>
      </c>
      <c r="ANU18" t="s">
        <v>1299</v>
      </c>
      <c r="ANV18" t="s">
        <v>1300</v>
      </c>
      <c r="ANW18" t="s">
        <v>1301</v>
      </c>
      <c r="ANX18" t="s">
        <v>1302</v>
      </c>
      <c r="ANY18" t="s">
        <v>1303</v>
      </c>
      <c r="ANZ18" t="s">
        <v>1304</v>
      </c>
      <c r="AOA18" t="s">
        <v>1305</v>
      </c>
      <c r="AOB18" t="s">
        <v>1306</v>
      </c>
      <c r="AOC18" t="s">
        <v>1307</v>
      </c>
      <c r="AOD18" t="s">
        <v>1308</v>
      </c>
      <c r="AOE18" t="s">
        <v>1309</v>
      </c>
      <c r="AOF18" t="s">
        <v>1310</v>
      </c>
      <c r="AOG18" t="s">
        <v>1311</v>
      </c>
      <c r="AOH18" t="s">
        <v>1312</v>
      </c>
      <c r="AOI18" t="s">
        <v>1313</v>
      </c>
      <c r="AOJ18" t="s">
        <v>1314</v>
      </c>
      <c r="AOK18" t="s">
        <v>1315</v>
      </c>
      <c r="AOL18" t="s">
        <v>1316</v>
      </c>
      <c r="AOM18" t="s">
        <v>1317</v>
      </c>
      <c r="AON18" t="s">
        <v>1318</v>
      </c>
      <c r="AOO18" t="s">
        <v>1319</v>
      </c>
      <c r="AOP18" t="s">
        <v>1320</v>
      </c>
      <c r="AOQ18" t="s">
        <v>1321</v>
      </c>
      <c r="AOR18" t="s">
        <v>1322</v>
      </c>
      <c r="AOS18" t="s">
        <v>1323</v>
      </c>
      <c r="AOT18" t="s">
        <v>1324</v>
      </c>
      <c r="AOU18" t="s">
        <v>1325</v>
      </c>
      <c r="AOV18" t="s">
        <v>1326</v>
      </c>
      <c r="AOW18" t="s">
        <v>1327</v>
      </c>
      <c r="AOX18" t="s">
        <v>1328</v>
      </c>
      <c r="AOY18" t="s">
        <v>1329</v>
      </c>
      <c r="AOZ18" t="s">
        <v>1330</v>
      </c>
      <c r="APA18" t="s">
        <v>1331</v>
      </c>
      <c r="APB18" t="s">
        <v>1332</v>
      </c>
      <c r="APC18" t="s">
        <v>1333</v>
      </c>
      <c r="APD18" t="s">
        <v>1334</v>
      </c>
      <c r="APE18" t="s">
        <v>1335</v>
      </c>
      <c r="APF18" t="s">
        <v>1336</v>
      </c>
      <c r="APG18" t="s">
        <v>1337</v>
      </c>
      <c r="APH18" t="s">
        <v>1338</v>
      </c>
      <c r="API18" t="s">
        <v>1339</v>
      </c>
      <c r="APJ18" t="s">
        <v>1340</v>
      </c>
      <c r="APK18" t="s">
        <v>1341</v>
      </c>
      <c r="APL18" t="s">
        <v>1342</v>
      </c>
      <c r="APM18" t="s">
        <v>1343</v>
      </c>
      <c r="APN18" t="s">
        <v>1344</v>
      </c>
      <c r="APO18" t="s">
        <v>1345</v>
      </c>
      <c r="APP18" t="s">
        <v>1346</v>
      </c>
      <c r="APQ18" t="s">
        <v>1347</v>
      </c>
      <c r="APR18" t="s">
        <v>1348</v>
      </c>
      <c r="APS18" t="s">
        <v>1349</v>
      </c>
      <c r="APT18" t="s">
        <v>1350</v>
      </c>
      <c r="APU18" t="s">
        <v>1351</v>
      </c>
      <c r="APV18" t="s">
        <v>1352</v>
      </c>
      <c r="APW18" t="s">
        <v>1353</v>
      </c>
      <c r="APX18" t="s">
        <v>1354</v>
      </c>
      <c r="APY18" t="s">
        <v>1355</v>
      </c>
      <c r="APZ18" t="s">
        <v>1356</v>
      </c>
      <c r="AQA18" t="s">
        <v>1357</v>
      </c>
      <c r="AQB18" t="s">
        <v>1358</v>
      </c>
      <c r="AQC18" t="s">
        <v>1359</v>
      </c>
      <c r="AQD18" t="s">
        <v>1360</v>
      </c>
      <c r="AQE18" t="s">
        <v>1361</v>
      </c>
      <c r="AQF18" t="s">
        <v>1362</v>
      </c>
      <c r="AQG18" t="s">
        <v>1363</v>
      </c>
      <c r="AQH18" t="s">
        <v>1364</v>
      </c>
      <c r="AQI18" t="s">
        <v>1365</v>
      </c>
      <c r="AQJ18" t="s">
        <v>1366</v>
      </c>
      <c r="AQK18" t="s">
        <v>1367</v>
      </c>
      <c r="AQL18" t="s">
        <v>1368</v>
      </c>
      <c r="AQM18" t="s">
        <v>1369</v>
      </c>
      <c r="AQN18" t="s">
        <v>1370</v>
      </c>
      <c r="AQO18" t="s">
        <v>1371</v>
      </c>
      <c r="AQP18" t="s">
        <v>1372</v>
      </c>
      <c r="AQQ18" t="s">
        <v>1373</v>
      </c>
      <c r="AQR18" t="s">
        <v>1374</v>
      </c>
      <c r="AQS18" t="s">
        <v>1375</v>
      </c>
      <c r="AQT18" t="s">
        <v>1376</v>
      </c>
      <c r="AQU18" t="s">
        <v>1377</v>
      </c>
      <c r="AQV18" t="s">
        <v>1378</v>
      </c>
      <c r="AQW18" t="s">
        <v>1379</v>
      </c>
      <c r="AQX18" t="s">
        <v>1380</v>
      </c>
      <c r="AQY18" t="s">
        <v>1381</v>
      </c>
      <c r="AQZ18" t="s">
        <v>1382</v>
      </c>
      <c r="ARA18" t="s">
        <v>1383</v>
      </c>
      <c r="ARB18" t="s">
        <v>1384</v>
      </c>
      <c r="ARC18" t="s">
        <v>1385</v>
      </c>
      <c r="ARD18" t="s">
        <v>1386</v>
      </c>
      <c r="ARE18" t="s">
        <v>1387</v>
      </c>
      <c r="ARF18" t="s">
        <v>1388</v>
      </c>
      <c r="ARG18" t="s">
        <v>1389</v>
      </c>
      <c r="ARH18" t="s">
        <v>1390</v>
      </c>
      <c r="ARI18" t="s">
        <v>1391</v>
      </c>
      <c r="ARJ18" t="s">
        <v>1392</v>
      </c>
      <c r="ARK18" t="s">
        <v>1393</v>
      </c>
      <c r="ARL18" t="s">
        <v>1394</v>
      </c>
      <c r="ARM18" t="s">
        <v>1395</v>
      </c>
      <c r="ARN18" t="s">
        <v>1396</v>
      </c>
      <c r="ARO18" t="s">
        <v>1397</v>
      </c>
      <c r="ARP18" t="s">
        <v>1398</v>
      </c>
      <c r="ARQ18" t="s">
        <v>1399</v>
      </c>
      <c r="ARR18" t="s">
        <v>1400</v>
      </c>
      <c r="ARS18" t="s">
        <v>1401</v>
      </c>
      <c r="ART18" t="s">
        <v>1402</v>
      </c>
      <c r="ARU18" t="s">
        <v>1403</v>
      </c>
      <c r="ARV18" t="s">
        <v>1404</v>
      </c>
      <c r="ARW18" t="s">
        <v>1405</v>
      </c>
      <c r="ARX18" t="s">
        <v>1406</v>
      </c>
      <c r="ARY18" t="s">
        <v>1407</v>
      </c>
      <c r="ARZ18" t="s">
        <v>1408</v>
      </c>
      <c r="ASA18" t="s">
        <v>1409</v>
      </c>
      <c r="ASB18" t="s">
        <v>1410</v>
      </c>
      <c r="ASC18" t="s">
        <v>1411</v>
      </c>
      <c r="ASD18" t="s">
        <v>1412</v>
      </c>
      <c r="ASE18" t="s">
        <v>1413</v>
      </c>
      <c r="ASF18" t="s">
        <v>1414</v>
      </c>
      <c r="ASG18" t="s">
        <v>1415</v>
      </c>
      <c r="ASH18" t="s">
        <v>1416</v>
      </c>
      <c r="ASI18" t="s">
        <v>1417</v>
      </c>
      <c r="ASJ18" t="s">
        <v>1418</v>
      </c>
      <c r="ASK18" t="s">
        <v>1419</v>
      </c>
      <c r="ASL18" t="s">
        <v>1420</v>
      </c>
      <c r="ASM18" t="s">
        <v>1421</v>
      </c>
      <c r="ASN18" t="s">
        <v>1422</v>
      </c>
      <c r="ASO18" t="s">
        <v>1423</v>
      </c>
      <c r="ASP18" t="s">
        <v>1424</v>
      </c>
      <c r="ASQ18" t="s">
        <v>1425</v>
      </c>
      <c r="ASR18" t="s">
        <v>1426</v>
      </c>
      <c r="ASS18" t="s">
        <v>1427</v>
      </c>
      <c r="AST18" t="s">
        <v>1428</v>
      </c>
      <c r="ASU18" t="s">
        <v>1429</v>
      </c>
      <c r="ASV18" t="s">
        <v>1430</v>
      </c>
      <c r="ASW18" t="s">
        <v>1431</v>
      </c>
      <c r="ASX18" t="s">
        <v>1432</v>
      </c>
      <c r="ASY18" t="s">
        <v>1433</v>
      </c>
      <c r="ASZ18" t="s">
        <v>1434</v>
      </c>
      <c r="ATA18" t="s">
        <v>1435</v>
      </c>
      <c r="ATB18" t="s">
        <v>1436</v>
      </c>
      <c r="ATC18" t="s">
        <v>1437</v>
      </c>
      <c r="ATD18" t="s">
        <v>1438</v>
      </c>
      <c r="ATE18" t="s">
        <v>1439</v>
      </c>
      <c r="ATF18" t="s">
        <v>1440</v>
      </c>
      <c r="ATG18" t="s">
        <v>1441</v>
      </c>
      <c r="ATH18" t="s">
        <v>1442</v>
      </c>
      <c r="ATI18" t="s">
        <v>1443</v>
      </c>
      <c r="ATJ18" t="s">
        <v>1444</v>
      </c>
      <c r="ATK18" t="s">
        <v>1445</v>
      </c>
      <c r="ATL18" t="s">
        <v>1446</v>
      </c>
      <c r="ATM18" t="s">
        <v>1447</v>
      </c>
      <c r="ATN18" t="s">
        <v>1448</v>
      </c>
      <c r="ATO18" t="s">
        <v>1449</v>
      </c>
      <c r="ATP18" t="s">
        <v>1450</v>
      </c>
      <c r="ATQ18" t="s">
        <v>1451</v>
      </c>
      <c r="ATR18" t="s">
        <v>1452</v>
      </c>
      <c r="ATS18" t="s">
        <v>1453</v>
      </c>
      <c r="ATT18" t="s">
        <v>1454</v>
      </c>
      <c r="ATU18" t="s">
        <v>1455</v>
      </c>
      <c r="ATV18" t="s">
        <v>1456</v>
      </c>
      <c r="ATW18" t="s">
        <v>1457</v>
      </c>
      <c r="ATX18" t="s">
        <v>1458</v>
      </c>
      <c r="ATY18" t="s">
        <v>1459</v>
      </c>
      <c r="ATZ18" t="s">
        <v>1460</v>
      </c>
      <c r="AUA18" t="s">
        <v>1461</v>
      </c>
      <c r="AUB18" t="s">
        <v>1462</v>
      </c>
      <c r="AUC18" t="s">
        <v>1463</v>
      </c>
      <c r="AUD18" t="s">
        <v>1464</v>
      </c>
      <c r="AUE18" t="s">
        <v>1465</v>
      </c>
      <c r="AUF18" t="s">
        <v>1466</v>
      </c>
      <c r="AUG18" t="s">
        <v>1467</v>
      </c>
      <c r="AUH18" t="s">
        <v>1468</v>
      </c>
      <c r="AUI18" t="s">
        <v>1469</v>
      </c>
      <c r="AUJ18" t="s">
        <v>1470</v>
      </c>
      <c r="AUK18" t="s">
        <v>1471</v>
      </c>
      <c r="AUL18" t="s">
        <v>1472</v>
      </c>
      <c r="AUM18" t="s">
        <v>1473</v>
      </c>
      <c r="AUN18" t="s">
        <v>1474</v>
      </c>
      <c r="AUO18" t="s">
        <v>1475</v>
      </c>
      <c r="AUP18" t="s">
        <v>1476</v>
      </c>
      <c r="AUQ18" t="s">
        <v>1477</v>
      </c>
      <c r="AUR18" t="s">
        <v>1478</v>
      </c>
      <c r="AUS18" t="s">
        <v>1479</v>
      </c>
      <c r="AUT18" t="s">
        <v>1480</v>
      </c>
      <c r="AUU18" t="s">
        <v>1481</v>
      </c>
      <c r="AUV18" t="s">
        <v>1482</v>
      </c>
      <c r="AUW18" t="s">
        <v>1483</v>
      </c>
      <c r="AUX18" t="s">
        <v>1484</v>
      </c>
      <c r="AUY18" t="s">
        <v>1485</v>
      </c>
      <c r="AUZ18" t="s">
        <v>1486</v>
      </c>
      <c r="AVA18" t="s">
        <v>1487</v>
      </c>
      <c r="AVB18" t="s">
        <v>1488</v>
      </c>
      <c r="AVC18" t="s">
        <v>1489</v>
      </c>
      <c r="AVD18" t="s">
        <v>1490</v>
      </c>
      <c r="AVE18" t="s">
        <v>1491</v>
      </c>
      <c r="AVF18" t="s">
        <v>1492</v>
      </c>
      <c r="AVG18" t="s">
        <v>1493</v>
      </c>
      <c r="AVH18" t="s">
        <v>1494</v>
      </c>
      <c r="AVI18" t="s">
        <v>1495</v>
      </c>
      <c r="AVJ18" t="s">
        <v>1496</v>
      </c>
      <c r="AVK18" t="s">
        <v>1497</v>
      </c>
      <c r="AVL18" t="s">
        <v>1498</v>
      </c>
      <c r="AVM18" t="s">
        <v>1499</v>
      </c>
      <c r="AVN18" t="s">
        <v>1500</v>
      </c>
      <c r="AVO18" t="s">
        <v>1501</v>
      </c>
      <c r="AVP18" t="s">
        <v>1502</v>
      </c>
      <c r="AVQ18" t="s">
        <v>1503</v>
      </c>
      <c r="AVR18" t="s">
        <v>1504</v>
      </c>
      <c r="AVS18" t="s">
        <v>1505</v>
      </c>
      <c r="AVT18" t="s">
        <v>1506</v>
      </c>
      <c r="AVU18" t="s">
        <v>1507</v>
      </c>
      <c r="AVV18" t="s">
        <v>1508</v>
      </c>
      <c r="AVW18" t="s">
        <v>1509</v>
      </c>
      <c r="AVX18" t="s">
        <v>1510</v>
      </c>
      <c r="AVY18" t="s">
        <v>1511</v>
      </c>
      <c r="AVZ18" t="s">
        <v>1512</v>
      </c>
      <c r="AWA18" t="s">
        <v>1513</v>
      </c>
      <c r="AWB18" t="s">
        <v>1514</v>
      </c>
      <c r="AWC18" t="s">
        <v>1515</v>
      </c>
      <c r="AWD18" t="s">
        <v>1516</v>
      </c>
      <c r="AWE18" t="s">
        <v>1517</v>
      </c>
      <c r="AWF18" t="s">
        <v>1518</v>
      </c>
      <c r="AWG18" t="s">
        <v>1519</v>
      </c>
      <c r="AWH18" t="s">
        <v>1520</v>
      </c>
      <c r="AWI18" t="s">
        <v>1521</v>
      </c>
      <c r="AWJ18" t="s">
        <v>1522</v>
      </c>
      <c r="AWK18" t="s">
        <v>1523</v>
      </c>
      <c r="AWL18" t="s">
        <v>1524</v>
      </c>
      <c r="AWM18" t="s">
        <v>1525</v>
      </c>
      <c r="AWN18" t="s">
        <v>1526</v>
      </c>
      <c r="AWO18" t="s">
        <v>1527</v>
      </c>
      <c r="AWP18" t="s">
        <v>1528</v>
      </c>
      <c r="AWQ18" t="s">
        <v>1529</v>
      </c>
      <c r="AWR18" t="s">
        <v>1530</v>
      </c>
      <c r="AWS18" t="s">
        <v>1531</v>
      </c>
      <c r="AWT18" t="s">
        <v>1532</v>
      </c>
      <c r="AWU18" t="s">
        <v>1533</v>
      </c>
      <c r="AWV18" t="s">
        <v>1534</v>
      </c>
      <c r="AWW18" t="s">
        <v>1535</v>
      </c>
      <c r="AWX18" t="s">
        <v>1536</v>
      </c>
      <c r="AWY18" t="s">
        <v>1537</v>
      </c>
      <c r="AWZ18" t="s">
        <v>1538</v>
      </c>
      <c r="AXA18" t="s">
        <v>1539</v>
      </c>
      <c r="AXB18" t="s">
        <v>1540</v>
      </c>
      <c r="AXC18" t="s">
        <v>1541</v>
      </c>
      <c r="AXD18" t="s">
        <v>1542</v>
      </c>
      <c r="AXE18" t="s">
        <v>1543</v>
      </c>
      <c r="AXF18" t="s">
        <v>1544</v>
      </c>
      <c r="AXG18" t="s">
        <v>1545</v>
      </c>
      <c r="AXH18" t="s">
        <v>1546</v>
      </c>
      <c r="AXI18" t="s">
        <v>1547</v>
      </c>
      <c r="AXJ18" t="s">
        <v>1548</v>
      </c>
      <c r="AXK18" t="s">
        <v>1549</v>
      </c>
      <c r="AXL18" t="s">
        <v>1550</v>
      </c>
      <c r="AXM18" t="s">
        <v>1551</v>
      </c>
      <c r="AXN18" t="s">
        <v>1552</v>
      </c>
      <c r="AXO18" t="s">
        <v>1553</v>
      </c>
      <c r="AXP18" t="s">
        <v>1554</v>
      </c>
      <c r="AXQ18" t="s">
        <v>1555</v>
      </c>
      <c r="AXR18" t="s">
        <v>1556</v>
      </c>
      <c r="AXS18" t="s">
        <v>1557</v>
      </c>
      <c r="AXT18" t="s">
        <v>1558</v>
      </c>
      <c r="AXU18" t="s">
        <v>1559</v>
      </c>
      <c r="AXV18" t="s">
        <v>1560</v>
      </c>
      <c r="AXW18" t="s">
        <v>1561</v>
      </c>
      <c r="AXX18" t="s">
        <v>1562</v>
      </c>
      <c r="AXY18" t="s">
        <v>1563</v>
      </c>
      <c r="AXZ18" t="s">
        <v>1564</v>
      </c>
      <c r="AYA18" t="s">
        <v>1565</v>
      </c>
      <c r="AYB18" t="s">
        <v>1566</v>
      </c>
      <c r="AYC18" t="s">
        <v>1567</v>
      </c>
      <c r="AYD18" t="s">
        <v>1568</v>
      </c>
      <c r="AYE18" t="s">
        <v>1569</v>
      </c>
      <c r="AYF18" t="s">
        <v>1570</v>
      </c>
      <c r="AYG18" t="s">
        <v>1571</v>
      </c>
      <c r="AYH18" t="s">
        <v>1572</v>
      </c>
      <c r="AYI18" t="s">
        <v>1573</v>
      </c>
      <c r="AYJ18" t="s">
        <v>1574</v>
      </c>
      <c r="AYK18" t="s">
        <v>1575</v>
      </c>
      <c r="AYL18" t="s">
        <v>1576</v>
      </c>
      <c r="AYM18" t="s">
        <v>1577</v>
      </c>
      <c r="AYN18" t="s">
        <v>1578</v>
      </c>
      <c r="AYO18" t="s">
        <v>1579</v>
      </c>
      <c r="AYP18" t="s">
        <v>1580</v>
      </c>
      <c r="AYQ18" t="s">
        <v>1581</v>
      </c>
      <c r="AYR18" t="s">
        <v>1582</v>
      </c>
      <c r="AYS18" t="s">
        <v>1583</v>
      </c>
      <c r="AYT18" t="s">
        <v>1584</v>
      </c>
      <c r="AYU18" t="s">
        <v>1585</v>
      </c>
      <c r="AYV18" t="s">
        <v>1586</v>
      </c>
      <c r="AYW18" t="s">
        <v>1587</v>
      </c>
      <c r="AYX18" t="s">
        <v>1588</v>
      </c>
      <c r="AYY18" t="s">
        <v>1589</v>
      </c>
      <c r="AYZ18" t="s">
        <v>1590</v>
      </c>
      <c r="AZA18" t="s">
        <v>1591</v>
      </c>
      <c r="AZB18" t="s">
        <v>1592</v>
      </c>
      <c r="AZC18" t="s">
        <v>1593</v>
      </c>
      <c r="AZD18" t="s">
        <v>1594</v>
      </c>
      <c r="AZE18" t="s">
        <v>1595</v>
      </c>
      <c r="AZF18" t="s">
        <v>1596</v>
      </c>
      <c r="AZG18" t="s">
        <v>1597</v>
      </c>
      <c r="AZH18" t="s">
        <v>1598</v>
      </c>
      <c r="AZI18" t="s">
        <v>1599</v>
      </c>
      <c r="AZJ18" t="s">
        <v>1600</v>
      </c>
      <c r="AZK18" t="s">
        <v>1601</v>
      </c>
      <c r="AZL18" t="s">
        <v>1602</v>
      </c>
      <c r="AZM18" t="s">
        <v>1603</v>
      </c>
      <c r="AZN18" t="s">
        <v>1604</v>
      </c>
      <c r="AZO18" t="s">
        <v>1605</v>
      </c>
      <c r="AZP18" t="s">
        <v>1606</v>
      </c>
      <c r="AZQ18" t="s">
        <v>1607</v>
      </c>
      <c r="AZR18" t="s">
        <v>1608</v>
      </c>
      <c r="AZS18" t="s">
        <v>1609</v>
      </c>
      <c r="AZT18" t="s">
        <v>1610</v>
      </c>
      <c r="AZU18" t="s">
        <v>1611</v>
      </c>
      <c r="AZV18" t="s">
        <v>1612</v>
      </c>
      <c r="AZW18" t="s">
        <v>1613</v>
      </c>
      <c r="AZX18" t="s">
        <v>1614</v>
      </c>
      <c r="AZY18" t="s">
        <v>1615</v>
      </c>
      <c r="AZZ18" t="s">
        <v>1616</v>
      </c>
      <c r="BAA18" t="s">
        <v>1617</v>
      </c>
      <c r="BAB18" t="s">
        <v>1618</v>
      </c>
      <c r="BAC18" t="s">
        <v>1619</v>
      </c>
      <c r="BAD18" t="s">
        <v>1620</v>
      </c>
      <c r="BAE18" t="s">
        <v>1621</v>
      </c>
      <c r="BAF18" t="s">
        <v>1622</v>
      </c>
      <c r="BAG18" t="s">
        <v>1623</v>
      </c>
      <c r="BAH18" t="s">
        <v>1624</v>
      </c>
      <c r="BAI18" t="s">
        <v>1625</v>
      </c>
      <c r="BAJ18" t="s">
        <v>1626</v>
      </c>
      <c r="BAK18" t="s">
        <v>1627</v>
      </c>
      <c r="BAL18" t="s">
        <v>1628</v>
      </c>
      <c r="BAM18" t="s">
        <v>1629</v>
      </c>
      <c r="BAN18" t="s">
        <v>1630</v>
      </c>
      <c r="BAO18" t="s">
        <v>1631</v>
      </c>
      <c r="BAP18" t="s">
        <v>1632</v>
      </c>
      <c r="BAQ18" t="s">
        <v>1633</v>
      </c>
      <c r="BAR18" t="s">
        <v>1634</v>
      </c>
      <c r="BAS18" t="s">
        <v>1635</v>
      </c>
      <c r="BAT18" t="s">
        <v>1636</v>
      </c>
      <c r="BAU18" t="s">
        <v>1637</v>
      </c>
      <c r="BAV18" t="s">
        <v>1638</v>
      </c>
      <c r="BAW18" t="s">
        <v>1639</v>
      </c>
      <c r="BAX18" t="s">
        <v>1640</v>
      </c>
      <c r="BAY18" t="s">
        <v>1641</v>
      </c>
      <c r="BAZ18" t="s">
        <v>1642</v>
      </c>
      <c r="BBA18" t="s">
        <v>1643</v>
      </c>
      <c r="BBB18" t="s">
        <v>1644</v>
      </c>
      <c r="BBC18" t="s">
        <v>1645</v>
      </c>
      <c r="BBD18" t="s">
        <v>1646</v>
      </c>
      <c r="BBE18" t="s">
        <v>1647</v>
      </c>
      <c r="BBF18" t="s">
        <v>1648</v>
      </c>
      <c r="BBG18" t="s">
        <v>1649</v>
      </c>
      <c r="BBH18" t="s">
        <v>1650</v>
      </c>
      <c r="BBI18" t="s">
        <v>1651</v>
      </c>
      <c r="BBJ18" t="s">
        <v>1652</v>
      </c>
      <c r="BBK18" t="s">
        <v>1653</v>
      </c>
      <c r="BBL18" t="s">
        <v>1654</v>
      </c>
      <c r="BBM18" t="s">
        <v>1655</v>
      </c>
      <c r="BBN18" t="s">
        <v>1656</v>
      </c>
      <c r="BBO18" t="s">
        <v>1657</v>
      </c>
      <c r="BBP18" t="s">
        <v>1658</v>
      </c>
      <c r="BBQ18" t="s">
        <v>1659</v>
      </c>
      <c r="BBR18" t="s">
        <v>1660</v>
      </c>
      <c r="BBS18" t="s">
        <v>1661</v>
      </c>
      <c r="BBT18" t="s">
        <v>1662</v>
      </c>
      <c r="BBU18" t="s">
        <v>1663</v>
      </c>
      <c r="BBV18" t="s">
        <v>1664</v>
      </c>
      <c r="BBW18" t="s">
        <v>1665</v>
      </c>
      <c r="BBX18" t="s">
        <v>1666</v>
      </c>
      <c r="BBY18" t="s">
        <v>1667</v>
      </c>
      <c r="BBZ18" t="s">
        <v>1668</v>
      </c>
      <c r="BCA18" t="s">
        <v>1669</v>
      </c>
      <c r="BCB18" t="s">
        <v>1670</v>
      </c>
      <c r="BCC18" t="s">
        <v>1671</v>
      </c>
      <c r="BCD18" t="s">
        <v>1672</v>
      </c>
      <c r="BCE18" t="s">
        <v>1673</v>
      </c>
      <c r="BCF18" t="s">
        <v>1674</v>
      </c>
      <c r="BCG18" t="s">
        <v>1675</v>
      </c>
      <c r="BCH18" t="s">
        <v>1676</v>
      </c>
      <c r="BCI18" t="s">
        <v>1677</v>
      </c>
      <c r="BCJ18" t="s">
        <v>1678</v>
      </c>
      <c r="BCK18" t="s">
        <v>1679</v>
      </c>
      <c r="BCL18" t="s">
        <v>1680</v>
      </c>
      <c r="BCM18" t="s">
        <v>1681</v>
      </c>
      <c r="BCN18" t="s">
        <v>1682</v>
      </c>
      <c r="BCO18" t="s">
        <v>1683</v>
      </c>
      <c r="BCP18" t="s">
        <v>1684</v>
      </c>
      <c r="BCQ18" t="s">
        <v>1685</v>
      </c>
      <c r="BCR18" t="s">
        <v>1686</v>
      </c>
      <c r="BCS18" t="s">
        <v>1687</v>
      </c>
      <c r="BCT18" t="s">
        <v>1688</v>
      </c>
      <c r="BCU18" t="s">
        <v>1689</v>
      </c>
      <c r="BCV18" t="s">
        <v>1690</v>
      </c>
      <c r="BCW18" t="s">
        <v>1691</v>
      </c>
      <c r="BCX18" t="s">
        <v>1692</v>
      </c>
      <c r="BCY18" t="s">
        <v>1693</v>
      </c>
      <c r="BCZ18" t="s">
        <v>1694</v>
      </c>
      <c r="BDA18" t="s">
        <v>1695</v>
      </c>
      <c r="BDB18" t="s">
        <v>1696</v>
      </c>
      <c r="BDC18" t="s">
        <v>1697</v>
      </c>
      <c r="BDD18" t="s">
        <v>1698</v>
      </c>
      <c r="BDE18" t="s">
        <v>1699</v>
      </c>
      <c r="BDF18" t="s">
        <v>1700</v>
      </c>
      <c r="BDG18" t="s">
        <v>1701</v>
      </c>
      <c r="BDH18" t="s">
        <v>1702</v>
      </c>
      <c r="BDI18" t="s">
        <v>1703</v>
      </c>
      <c r="BDJ18" t="s">
        <v>1704</v>
      </c>
      <c r="BDK18" t="s">
        <v>1705</v>
      </c>
      <c r="BDL18" t="s">
        <v>1706</v>
      </c>
      <c r="BDM18" t="s">
        <v>1707</v>
      </c>
      <c r="BDN18" t="s">
        <v>1708</v>
      </c>
      <c r="BDO18" t="s">
        <v>1709</v>
      </c>
      <c r="BDP18" t="s">
        <v>1710</v>
      </c>
      <c r="BDQ18" t="s">
        <v>1711</v>
      </c>
      <c r="BDR18" t="s">
        <v>1712</v>
      </c>
      <c r="BDS18" t="s">
        <v>1713</v>
      </c>
      <c r="BDT18" t="s">
        <v>1714</v>
      </c>
      <c r="BDU18" t="s">
        <v>1715</v>
      </c>
      <c r="BDV18" t="s">
        <v>1716</v>
      </c>
      <c r="BDW18" t="s">
        <v>1717</v>
      </c>
      <c r="BDX18" t="s">
        <v>1718</v>
      </c>
      <c r="BDY18" t="s">
        <v>1719</v>
      </c>
      <c r="BDZ18" t="s">
        <v>1720</v>
      </c>
      <c r="BEA18" t="s">
        <v>1721</v>
      </c>
      <c r="BEB18" t="s">
        <v>1722</v>
      </c>
      <c r="BEC18" t="s">
        <v>1723</v>
      </c>
      <c r="BED18" t="s">
        <v>1724</v>
      </c>
      <c r="BEE18" t="s">
        <v>1725</v>
      </c>
      <c r="BEF18" t="s">
        <v>1726</v>
      </c>
      <c r="BEG18" t="s">
        <v>1727</v>
      </c>
      <c r="BEH18" t="s">
        <v>1728</v>
      </c>
      <c r="BEI18" t="s">
        <v>1729</v>
      </c>
      <c r="BEJ18" t="s">
        <v>1730</v>
      </c>
      <c r="BEK18" t="s">
        <v>1731</v>
      </c>
      <c r="BEL18" t="s">
        <v>1732</v>
      </c>
      <c r="BEM18" t="s">
        <v>1733</v>
      </c>
      <c r="BEN18" t="s">
        <v>1734</v>
      </c>
      <c r="BEO18" t="s">
        <v>1735</v>
      </c>
      <c r="BEP18" t="s">
        <v>1736</v>
      </c>
      <c r="BEQ18" t="s">
        <v>1737</v>
      </c>
      <c r="BER18" t="s">
        <v>1738</v>
      </c>
      <c r="BES18" t="s">
        <v>1739</v>
      </c>
      <c r="BET18" t="s">
        <v>1740</v>
      </c>
      <c r="BEU18" t="s">
        <v>1741</v>
      </c>
      <c r="BEV18" t="s">
        <v>1742</v>
      </c>
      <c r="BEW18" t="s">
        <v>1743</v>
      </c>
      <c r="BEX18" t="s">
        <v>1744</v>
      </c>
      <c r="BEY18" t="s">
        <v>1745</v>
      </c>
      <c r="BEZ18" t="s">
        <v>1746</v>
      </c>
      <c r="BFA18" t="s">
        <v>1747</v>
      </c>
      <c r="BFB18" t="s">
        <v>1748</v>
      </c>
      <c r="BFC18" t="s">
        <v>1749</v>
      </c>
      <c r="BFD18" t="s">
        <v>1750</v>
      </c>
      <c r="BFE18" t="s">
        <v>1751</v>
      </c>
      <c r="BFF18" t="s">
        <v>1752</v>
      </c>
      <c r="BFG18" t="s">
        <v>1753</v>
      </c>
      <c r="BFH18" t="s">
        <v>1754</v>
      </c>
      <c r="BFI18" t="s">
        <v>1755</v>
      </c>
      <c r="BFJ18" t="s">
        <v>1756</v>
      </c>
      <c r="BFK18" t="s">
        <v>1757</v>
      </c>
      <c r="BFL18" t="s">
        <v>1758</v>
      </c>
      <c r="BFM18" t="s">
        <v>1759</v>
      </c>
      <c r="BFN18" t="s">
        <v>1760</v>
      </c>
      <c r="BFO18" t="s">
        <v>1761</v>
      </c>
      <c r="BFP18" t="s">
        <v>1762</v>
      </c>
      <c r="BFQ18" t="s">
        <v>1763</v>
      </c>
      <c r="BFR18" t="s">
        <v>1764</v>
      </c>
      <c r="BFS18" t="s">
        <v>1765</v>
      </c>
      <c r="BFT18" t="s">
        <v>1766</v>
      </c>
      <c r="BFU18" t="s">
        <v>1767</v>
      </c>
      <c r="BFV18" t="s">
        <v>1768</v>
      </c>
      <c r="BFW18" t="s">
        <v>1769</v>
      </c>
      <c r="BFX18" t="s">
        <v>1770</v>
      </c>
      <c r="BFY18" t="s">
        <v>1771</v>
      </c>
      <c r="BFZ18" t="s">
        <v>1772</v>
      </c>
      <c r="BGA18" t="s">
        <v>1773</v>
      </c>
      <c r="BGB18" t="s">
        <v>1774</v>
      </c>
      <c r="BGC18" t="s">
        <v>1775</v>
      </c>
      <c r="BGD18" t="s">
        <v>1776</v>
      </c>
      <c r="BGE18" t="s">
        <v>1777</v>
      </c>
      <c r="BGF18" t="s">
        <v>1778</v>
      </c>
      <c r="BGG18" t="s">
        <v>1779</v>
      </c>
      <c r="BGH18" t="s">
        <v>1780</v>
      </c>
      <c r="BGI18" t="s">
        <v>1781</v>
      </c>
      <c r="BGJ18" t="s">
        <v>1782</v>
      </c>
      <c r="BGK18" t="s">
        <v>1783</v>
      </c>
      <c r="BGL18" t="s">
        <v>1784</v>
      </c>
      <c r="BGM18" t="s">
        <v>1785</v>
      </c>
      <c r="BGN18" t="s">
        <v>1786</v>
      </c>
      <c r="BGO18" t="s">
        <v>1787</v>
      </c>
      <c r="BGP18" t="s">
        <v>1788</v>
      </c>
      <c r="BGQ18" t="s">
        <v>1789</v>
      </c>
      <c r="BGR18" t="s">
        <v>1790</v>
      </c>
      <c r="BGS18" t="s">
        <v>1791</v>
      </c>
      <c r="BGT18" t="s">
        <v>1792</v>
      </c>
      <c r="BGU18" t="s">
        <v>1793</v>
      </c>
      <c r="BGV18" t="s">
        <v>1794</v>
      </c>
      <c r="BGW18" t="s">
        <v>1795</v>
      </c>
      <c r="BGX18" t="s">
        <v>1796</v>
      </c>
      <c r="BGY18" t="s">
        <v>1797</v>
      </c>
      <c r="BGZ18" t="s">
        <v>1798</v>
      </c>
      <c r="BHA18" t="s">
        <v>1799</v>
      </c>
      <c r="BHB18" t="s">
        <v>1800</v>
      </c>
      <c r="BHC18" t="s">
        <v>1801</v>
      </c>
      <c r="BHD18" t="s">
        <v>1802</v>
      </c>
      <c r="BHE18" t="s">
        <v>1803</v>
      </c>
      <c r="BHF18" t="s">
        <v>1804</v>
      </c>
      <c r="BHG18" t="s">
        <v>1805</v>
      </c>
      <c r="BHH18" t="s">
        <v>1806</v>
      </c>
      <c r="BHI18" t="s">
        <v>1807</v>
      </c>
      <c r="BHJ18" t="s">
        <v>1808</v>
      </c>
      <c r="BHK18" t="s">
        <v>1809</v>
      </c>
      <c r="BHL18" t="s">
        <v>1810</v>
      </c>
      <c r="BHM18" t="s">
        <v>1811</v>
      </c>
      <c r="BHN18" t="s">
        <v>1812</v>
      </c>
      <c r="BHO18" t="s">
        <v>1813</v>
      </c>
      <c r="BHP18" t="s">
        <v>1814</v>
      </c>
      <c r="BHQ18" t="s">
        <v>1815</v>
      </c>
      <c r="BHR18" t="s">
        <v>1816</v>
      </c>
      <c r="BHS18" t="s">
        <v>1817</v>
      </c>
      <c r="BHT18" t="s">
        <v>1818</v>
      </c>
      <c r="BHU18" t="s">
        <v>1819</v>
      </c>
      <c r="BHV18" t="s">
        <v>1820</v>
      </c>
      <c r="BHW18" t="s">
        <v>1821</v>
      </c>
      <c r="BHX18" t="s">
        <v>1822</v>
      </c>
      <c r="BHY18" t="s">
        <v>1823</v>
      </c>
      <c r="BHZ18" t="s">
        <v>1824</v>
      </c>
      <c r="BIA18" t="s">
        <v>1825</v>
      </c>
      <c r="BIB18" t="s">
        <v>1826</v>
      </c>
      <c r="BIC18" t="s">
        <v>1827</v>
      </c>
      <c r="BID18" t="s">
        <v>1828</v>
      </c>
      <c r="BIE18" t="s">
        <v>1829</v>
      </c>
      <c r="BIF18" t="s">
        <v>1830</v>
      </c>
      <c r="BIG18" t="s">
        <v>1831</v>
      </c>
      <c r="BIH18" t="s">
        <v>1832</v>
      </c>
      <c r="BII18" t="s">
        <v>1833</v>
      </c>
      <c r="BIJ18" t="s">
        <v>1834</v>
      </c>
      <c r="BIK18" t="s">
        <v>1835</v>
      </c>
      <c r="BIL18" t="s">
        <v>1836</v>
      </c>
      <c r="BIM18" t="s">
        <v>1837</v>
      </c>
      <c r="BIN18" t="s">
        <v>1838</v>
      </c>
      <c r="BIO18" t="s">
        <v>1839</v>
      </c>
      <c r="BIP18" t="s">
        <v>1840</v>
      </c>
      <c r="BIQ18" t="s">
        <v>1841</v>
      </c>
      <c r="BIR18" t="s">
        <v>1842</v>
      </c>
      <c r="BIS18" t="s">
        <v>1843</v>
      </c>
      <c r="BIT18" t="s">
        <v>1844</v>
      </c>
      <c r="BIU18" t="s">
        <v>1845</v>
      </c>
      <c r="BIV18" t="s">
        <v>1846</v>
      </c>
      <c r="BIW18" t="s">
        <v>1847</v>
      </c>
      <c r="BIX18" t="s">
        <v>1848</v>
      </c>
      <c r="BIY18" t="s">
        <v>1849</v>
      </c>
      <c r="BIZ18" t="s">
        <v>1850</v>
      </c>
      <c r="BJA18" t="s">
        <v>1851</v>
      </c>
      <c r="BJB18" t="s">
        <v>1852</v>
      </c>
      <c r="BJC18" t="s">
        <v>1853</v>
      </c>
      <c r="BJD18" t="s">
        <v>1854</v>
      </c>
      <c r="BJE18" t="s">
        <v>1855</v>
      </c>
      <c r="BJF18" t="s">
        <v>1856</v>
      </c>
      <c r="BJG18" t="s">
        <v>1857</v>
      </c>
      <c r="BJH18" t="s">
        <v>1858</v>
      </c>
      <c r="BJI18" t="s">
        <v>1859</v>
      </c>
      <c r="BJJ18" t="s">
        <v>1860</v>
      </c>
      <c r="BJK18" t="s">
        <v>1861</v>
      </c>
      <c r="BJL18" t="s">
        <v>1862</v>
      </c>
      <c r="BJM18" t="s">
        <v>1863</v>
      </c>
      <c r="BJN18" t="s">
        <v>1864</v>
      </c>
      <c r="BJO18" t="s">
        <v>1865</v>
      </c>
      <c r="BJP18" t="s">
        <v>1866</v>
      </c>
      <c r="BJQ18" t="s">
        <v>1867</v>
      </c>
      <c r="BJR18" t="s">
        <v>1868</v>
      </c>
      <c r="BJS18" t="s">
        <v>1869</v>
      </c>
      <c r="BJT18" t="s">
        <v>1870</v>
      </c>
      <c r="BJU18" t="s">
        <v>1871</v>
      </c>
      <c r="BJV18" t="s">
        <v>1872</v>
      </c>
      <c r="BJW18" t="s">
        <v>1873</v>
      </c>
      <c r="BJX18" t="s">
        <v>1874</v>
      </c>
      <c r="BJY18" t="s">
        <v>1875</v>
      </c>
      <c r="BJZ18" t="s">
        <v>1876</v>
      </c>
      <c r="BKA18" t="s">
        <v>1877</v>
      </c>
      <c r="BKB18" t="s">
        <v>1878</v>
      </c>
      <c r="BKC18" t="s">
        <v>1879</v>
      </c>
      <c r="BKD18" t="s">
        <v>1880</v>
      </c>
      <c r="BKE18" t="s">
        <v>1881</v>
      </c>
      <c r="BKF18" t="s">
        <v>1882</v>
      </c>
      <c r="BKG18" t="s">
        <v>1883</v>
      </c>
      <c r="BKH18" t="s">
        <v>1884</v>
      </c>
      <c r="BKI18" t="s">
        <v>1885</v>
      </c>
      <c r="BKJ18" t="s">
        <v>1886</v>
      </c>
      <c r="BKK18" t="s">
        <v>1887</v>
      </c>
      <c r="BKL18" t="s">
        <v>1888</v>
      </c>
      <c r="BKM18" t="s">
        <v>1889</v>
      </c>
      <c r="BKN18" t="s">
        <v>1890</v>
      </c>
      <c r="BKO18" t="s">
        <v>1891</v>
      </c>
      <c r="BKP18" t="s">
        <v>1892</v>
      </c>
      <c r="BKQ18" t="s">
        <v>1893</v>
      </c>
      <c r="BKR18" t="s">
        <v>1894</v>
      </c>
      <c r="BKS18" t="s">
        <v>1895</v>
      </c>
      <c r="BKT18" t="s">
        <v>1896</v>
      </c>
      <c r="BKU18" t="s">
        <v>1897</v>
      </c>
      <c r="BKV18" t="s">
        <v>1898</v>
      </c>
      <c r="BKW18" t="s">
        <v>1899</v>
      </c>
      <c r="BKX18" t="s">
        <v>1900</v>
      </c>
      <c r="BKY18" t="s">
        <v>1901</v>
      </c>
      <c r="BKZ18" t="s">
        <v>1902</v>
      </c>
      <c r="BLA18" t="s">
        <v>1903</v>
      </c>
      <c r="BLB18" t="s">
        <v>1904</v>
      </c>
      <c r="BLC18" t="s">
        <v>1905</v>
      </c>
      <c r="BLD18" t="s">
        <v>1906</v>
      </c>
      <c r="BLE18" t="s">
        <v>1907</v>
      </c>
      <c r="BLF18" t="s">
        <v>1908</v>
      </c>
      <c r="BLG18" t="s">
        <v>1909</v>
      </c>
      <c r="BLH18" t="s">
        <v>1910</v>
      </c>
      <c r="BLI18" t="s">
        <v>1911</v>
      </c>
      <c r="BLJ18" t="s">
        <v>1912</v>
      </c>
      <c r="BLK18" t="s">
        <v>1913</v>
      </c>
      <c r="BLL18" t="s">
        <v>1914</v>
      </c>
      <c r="BLM18" t="s">
        <v>1915</v>
      </c>
      <c r="BLN18" t="s">
        <v>1916</v>
      </c>
      <c r="BLO18" t="s">
        <v>1917</v>
      </c>
      <c r="BLP18" t="s">
        <v>1918</v>
      </c>
      <c r="BLQ18" t="s">
        <v>1919</v>
      </c>
      <c r="BLR18" t="s">
        <v>1920</v>
      </c>
      <c r="BLS18" t="s">
        <v>1921</v>
      </c>
      <c r="BLT18" t="s">
        <v>1922</v>
      </c>
      <c r="BLU18" t="s">
        <v>1923</v>
      </c>
      <c r="BLV18" t="s">
        <v>1924</v>
      </c>
      <c r="BLW18" t="s">
        <v>1925</v>
      </c>
      <c r="BLX18" t="s">
        <v>1926</v>
      </c>
      <c r="BLY18" t="s">
        <v>1927</v>
      </c>
      <c r="BLZ18" t="s">
        <v>1928</v>
      </c>
      <c r="BMA18" t="s">
        <v>1929</v>
      </c>
      <c r="BMB18" t="s">
        <v>1930</v>
      </c>
      <c r="BMC18" t="s">
        <v>1931</v>
      </c>
      <c r="BMD18" t="s">
        <v>1932</v>
      </c>
      <c r="BME18" t="s">
        <v>1933</v>
      </c>
      <c r="BMF18" t="s">
        <v>1934</v>
      </c>
      <c r="BMG18" t="s">
        <v>1935</v>
      </c>
      <c r="BMH18" t="s">
        <v>1936</v>
      </c>
      <c r="BMI18" t="s">
        <v>1937</v>
      </c>
      <c r="BMJ18" t="s">
        <v>1938</v>
      </c>
      <c r="BMK18" t="s">
        <v>1939</v>
      </c>
      <c r="BML18" t="s">
        <v>1940</v>
      </c>
      <c r="BMM18" t="s">
        <v>1941</v>
      </c>
      <c r="BMN18" t="s">
        <v>1942</v>
      </c>
      <c r="BMO18" t="s">
        <v>1943</v>
      </c>
      <c r="BMP18" t="s">
        <v>1944</v>
      </c>
      <c r="BMQ18" t="s">
        <v>1945</v>
      </c>
      <c r="BMR18" t="s">
        <v>1946</v>
      </c>
      <c r="BMS18" t="s">
        <v>1947</v>
      </c>
      <c r="BMT18" t="s">
        <v>1948</v>
      </c>
      <c r="BMU18" t="s">
        <v>1949</v>
      </c>
      <c r="BMV18" t="s">
        <v>1950</v>
      </c>
      <c r="BMW18" t="s">
        <v>1951</v>
      </c>
      <c r="BMX18" t="s">
        <v>1952</v>
      </c>
      <c r="BMY18" t="s">
        <v>1953</v>
      </c>
      <c r="BMZ18" t="s">
        <v>1954</v>
      </c>
      <c r="BNA18" t="s">
        <v>1955</v>
      </c>
      <c r="BNB18" t="s">
        <v>1956</v>
      </c>
      <c r="BNC18" t="s">
        <v>1957</v>
      </c>
      <c r="BND18" t="s">
        <v>1958</v>
      </c>
      <c r="BNE18" t="s">
        <v>1959</v>
      </c>
      <c r="BNF18" t="s">
        <v>1960</v>
      </c>
      <c r="BNG18" t="s">
        <v>1961</v>
      </c>
      <c r="BNH18" t="s">
        <v>1962</v>
      </c>
      <c r="BNI18" t="s">
        <v>1963</v>
      </c>
      <c r="BNJ18" t="s">
        <v>1964</v>
      </c>
      <c r="BNK18" t="s">
        <v>1965</v>
      </c>
      <c r="BNL18" t="s">
        <v>1966</v>
      </c>
      <c r="BNM18" t="s">
        <v>1967</v>
      </c>
      <c r="BNN18" t="s">
        <v>1968</v>
      </c>
      <c r="BNO18" t="s">
        <v>1969</v>
      </c>
      <c r="BNP18" t="s">
        <v>1970</v>
      </c>
      <c r="BNQ18" t="s">
        <v>1971</v>
      </c>
      <c r="BNR18" t="s">
        <v>1972</v>
      </c>
      <c r="BNS18" t="s">
        <v>1973</v>
      </c>
      <c r="BNT18" t="s">
        <v>1974</v>
      </c>
      <c r="BNU18" t="s">
        <v>1975</v>
      </c>
      <c r="BNV18" t="s">
        <v>1976</v>
      </c>
      <c r="BNW18" t="s">
        <v>1977</v>
      </c>
      <c r="BNX18" t="s">
        <v>1978</v>
      </c>
      <c r="BNY18" t="s">
        <v>1979</v>
      </c>
      <c r="BNZ18" t="s">
        <v>1980</v>
      </c>
      <c r="BOA18" t="s">
        <v>1981</v>
      </c>
      <c r="BOB18" t="s">
        <v>1982</v>
      </c>
      <c r="BOC18" t="s">
        <v>1983</v>
      </c>
      <c r="BOD18" t="s">
        <v>1984</v>
      </c>
      <c r="BOE18" t="s">
        <v>1985</v>
      </c>
      <c r="BOF18" t="s">
        <v>1986</v>
      </c>
      <c r="BOG18" t="s">
        <v>1987</v>
      </c>
      <c r="BOH18" t="s">
        <v>1988</v>
      </c>
      <c r="BOI18" t="s">
        <v>1989</v>
      </c>
      <c r="BOJ18" t="s">
        <v>1990</v>
      </c>
      <c r="BOK18" t="s">
        <v>1991</v>
      </c>
      <c r="BOL18" t="s">
        <v>1992</v>
      </c>
      <c r="BOM18" t="s">
        <v>1993</v>
      </c>
      <c r="BON18" t="s">
        <v>1994</v>
      </c>
      <c r="BOO18" t="s">
        <v>1995</v>
      </c>
      <c r="BOP18" t="s">
        <v>1996</v>
      </c>
      <c r="BOQ18" t="s">
        <v>1997</v>
      </c>
      <c r="BOR18" t="s">
        <v>1998</v>
      </c>
      <c r="BOS18" t="s">
        <v>1999</v>
      </c>
      <c r="BOT18" t="s">
        <v>2000</v>
      </c>
      <c r="BOU18" t="s">
        <v>2001</v>
      </c>
      <c r="BOV18" t="s">
        <v>2002</v>
      </c>
      <c r="BOW18" t="s">
        <v>2003</v>
      </c>
      <c r="BOX18" t="s">
        <v>2004</v>
      </c>
      <c r="BOY18" t="s">
        <v>2005</v>
      </c>
      <c r="BOZ18" t="s">
        <v>2006</v>
      </c>
      <c r="BPA18" t="s">
        <v>2007</v>
      </c>
      <c r="BPB18" t="s">
        <v>2008</v>
      </c>
      <c r="BPC18" t="s">
        <v>2009</v>
      </c>
      <c r="BPD18" t="s">
        <v>2010</v>
      </c>
      <c r="BPE18" t="s">
        <v>2011</v>
      </c>
      <c r="BPF18" t="s">
        <v>2012</v>
      </c>
      <c r="BPG18" t="s">
        <v>2013</v>
      </c>
      <c r="BPH18" t="s">
        <v>2014</v>
      </c>
      <c r="BPI18" t="s">
        <v>2015</v>
      </c>
      <c r="BPJ18" t="s">
        <v>2016</v>
      </c>
      <c r="BPK18" t="s">
        <v>2017</v>
      </c>
      <c r="BPL18" t="s">
        <v>2018</v>
      </c>
      <c r="BPM18" t="s">
        <v>2019</v>
      </c>
      <c r="BPN18" t="s">
        <v>2020</v>
      </c>
      <c r="BPO18" t="s">
        <v>2021</v>
      </c>
      <c r="BPP18" t="s">
        <v>2022</v>
      </c>
      <c r="BPQ18" t="s">
        <v>2023</v>
      </c>
      <c r="BPR18" t="s">
        <v>2024</v>
      </c>
      <c r="BPS18" t="s">
        <v>2025</v>
      </c>
      <c r="BPT18" t="s">
        <v>2026</v>
      </c>
      <c r="BPU18" t="s">
        <v>2027</v>
      </c>
      <c r="BPV18" t="s">
        <v>2028</v>
      </c>
      <c r="BPW18" t="s">
        <v>2029</v>
      </c>
      <c r="BPX18" t="s">
        <v>2030</v>
      </c>
      <c r="BPY18" t="s">
        <v>2031</v>
      </c>
      <c r="BPZ18" t="s">
        <v>2032</v>
      </c>
      <c r="BQA18" t="s">
        <v>2033</v>
      </c>
      <c r="BQB18" t="s">
        <v>2034</v>
      </c>
      <c r="BQC18" t="s">
        <v>2035</v>
      </c>
      <c r="BQD18" t="s">
        <v>2036</v>
      </c>
      <c r="BQE18" t="s">
        <v>2037</v>
      </c>
      <c r="BQF18" t="s">
        <v>2038</v>
      </c>
      <c r="BQG18" t="s">
        <v>2039</v>
      </c>
      <c r="BQH18" t="s">
        <v>2040</v>
      </c>
      <c r="BQI18" t="s">
        <v>2041</v>
      </c>
      <c r="BQJ18" t="s">
        <v>2042</v>
      </c>
      <c r="BQK18" t="s">
        <v>2043</v>
      </c>
      <c r="BQL18" t="s">
        <v>2044</v>
      </c>
      <c r="BQM18" t="s">
        <v>2045</v>
      </c>
      <c r="BQN18" t="s">
        <v>2046</v>
      </c>
      <c r="BQO18" t="s">
        <v>2047</v>
      </c>
      <c r="BQP18" t="s">
        <v>2048</v>
      </c>
      <c r="BQQ18" t="s">
        <v>2049</v>
      </c>
      <c r="BQR18" t="s">
        <v>2050</v>
      </c>
      <c r="BQS18" t="s">
        <v>2051</v>
      </c>
      <c r="BQT18" t="s">
        <v>2052</v>
      </c>
      <c r="BQU18" t="s">
        <v>2053</v>
      </c>
      <c r="BQV18" t="s">
        <v>2054</v>
      </c>
      <c r="BQW18" t="s">
        <v>2055</v>
      </c>
      <c r="BQX18" t="s">
        <v>2056</v>
      </c>
      <c r="BQY18" t="s">
        <v>2057</v>
      </c>
      <c r="BQZ18" t="s">
        <v>2058</v>
      </c>
      <c r="BRA18" t="s">
        <v>2059</v>
      </c>
      <c r="BRB18" t="s">
        <v>2060</v>
      </c>
      <c r="BRC18" t="s">
        <v>2061</v>
      </c>
      <c r="BRD18" t="s">
        <v>2062</v>
      </c>
      <c r="BRE18" t="s">
        <v>2063</v>
      </c>
      <c r="BRF18" t="s">
        <v>2064</v>
      </c>
      <c r="BRG18" t="s">
        <v>2065</v>
      </c>
      <c r="BRH18" t="s">
        <v>2066</v>
      </c>
      <c r="BRI18" t="s">
        <v>2067</v>
      </c>
      <c r="BRJ18" t="s">
        <v>2068</v>
      </c>
      <c r="BRK18" t="s">
        <v>2069</v>
      </c>
      <c r="BRL18" t="s">
        <v>2070</v>
      </c>
      <c r="BRM18" t="s">
        <v>2071</v>
      </c>
      <c r="BRN18" t="s">
        <v>2072</v>
      </c>
      <c r="BRO18" t="s">
        <v>2073</v>
      </c>
      <c r="BRP18" t="s">
        <v>2074</v>
      </c>
      <c r="BRQ18" t="s">
        <v>2075</v>
      </c>
      <c r="BRR18" t="s">
        <v>2076</v>
      </c>
      <c r="BRS18" t="s">
        <v>2077</v>
      </c>
      <c r="BRT18" t="s">
        <v>2078</v>
      </c>
      <c r="BRU18" t="s">
        <v>2079</v>
      </c>
      <c r="BRV18" t="s">
        <v>2080</v>
      </c>
      <c r="BRW18" t="s">
        <v>2081</v>
      </c>
      <c r="BRX18" t="s">
        <v>2082</v>
      </c>
      <c r="BRY18" t="s">
        <v>2083</v>
      </c>
      <c r="BRZ18" t="s">
        <v>2084</v>
      </c>
      <c r="BSA18" t="s">
        <v>2085</v>
      </c>
      <c r="BSB18" t="s">
        <v>2086</v>
      </c>
      <c r="BSC18" t="s">
        <v>2087</v>
      </c>
      <c r="BSD18" t="s">
        <v>2088</v>
      </c>
      <c r="BSE18" t="s">
        <v>2089</v>
      </c>
      <c r="BSF18" t="s">
        <v>2090</v>
      </c>
      <c r="BSG18" t="s">
        <v>2091</v>
      </c>
      <c r="BSH18" t="s">
        <v>2092</v>
      </c>
      <c r="BSI18" t="s">
        <v>2093</v>
      </c>
      <c r="BSJ18" t="s">
        <v>2094</v>
      </c>
      <c r="BSK18" t="s">
        <v>2095</v>
      </c>
      <c r="BSL18" t="s">
        <v>2096</v>
      </c>
      <c r="BSM18" t="s">
        <v>2097</v>
      </c>
      <c r="BSN18" t="s">
        <v>2098</v>
      </c>
      <c r="BSO18" t="s">
        <v>2099</v>
      </c>
      <c r="BSP18" t="s">
        <v>2100</v>
      </c>
      <c r="BSQ18" t="s">
        <v>2101</v>
      </c>
      <c r="BSR18" t="s">
        <v>2102</v>
      </c>
      <c r="BSS18" t="s">
        <v>2103</v>
      </c>
      <c r="BST18" t="s">
        <v>2104</v>
      </c>
      <c r="BSU18" t="s">
        <v>2105</v>
      </c>
      <c r="BSV18" t="s">
        <v>2106</v>
      </c>
      <c r="BSW18" t="s">
        <v>2107</v>
      </c>
      <c r="BSX18" t="s">
        <v>2108</v>
      </c>
      <c r="BSY18" t="s">
        <v>2109</v>
      </c>
      <c r="BSZ18" t="s">
        <v>2110</v>
      </c>
      <c r="BTA18" t="s">
        <v>2111</v>
      </c>
      <c r="BTB18" t="s">
        <v>2112</v>
      </c>
      <c r="BTC18" t="s">
        <v>2113</v>
      </c>
      <c r="BTD18" t="s">
        <v>2114</v>
      </c>
      <c r="BTE18" t="s">
        <v>2115</v>
      </c>
      <c r="BTF18" t="s">
        <v>2116</v>
      </c>
      <c r="BTG18" t="s">
        <v>2117</v>
      </c>
      <c r="BTH18" t="s">
        <v>2118</v>
      </c>
      <c r="BTI18" t="s">
        <v>2119</v>
      </c>
      <c r="BTJ18" t="s">
        <v>2120</v>
      </c>
      <c r="BTK18" t="s">
        <v>2121</v>
      </c>
      <c r="BTL18" t="s">
        <v>2122</v>
      </c>
      <c r="BTM18" t="s">
        <v>2123</v>
      </c>
      <c r="BTN18" t="s">
        <v>2124</v>
      </c>
      <c r="BTO18" t="s">
        <v>2125</v>
      </c>
      <c r="BTP18" t="s">
        <v>2126</v>
      </c>
      <c r="BTQ18" t="s">
        <v>2127</v>
      </c>
      <c r="BTR18" t="s">
        <v>2128</v>
      </c>
      <c r="BTS18" t="s">
        <v>2129</v>
      </c>
      <c r="BTT18" t="s">
        <v>2130</v>
      </c>
      <c r="BTU18" t="s">
        <v>2131</v>
      </c>
      <c r="BTV18" t="s">
        <v>2132</v>
      </c>
      <c r="BTW18" t="s">
        <v>2133</v>
      </c>
      <c r="BTX18" t="s">
        <v>2134</v>
      </c>
      <c r="BTY18" t="s">
        <v>2135</v>
      </c>
      <c r="BTZ18" t="s">
        <v>2136</v>
      </c>
      <c r="BUA18" t="s">
        <v>2137</v>
      </c>
      <c r="BUB18" t="s">
        <v>2138</v>
      </c>
      <c r="BUC18" t="s">
        <v>2139</v>
      </c>
      <c r="BUD18" t="s">
        <v>2140</v>
      </c>
      <c r="BUE18" t="s">
        <v>2141</v>
      </c>
      <c r="BUF18" t="s">
        <v>2142</v>
      </c>
      <c r="BUG18" t="s">
        <v>2143</v>
      </c>
      <c r="BUH18" t="s">
        <v>2144</v>
      </c>
      <c r="BUI18" t="s">
        <v>2145</v>
      </c>
      <c r="BUJ18" t="s">
        <v>2146</v>
      </c>
      <c r="BUK18" t="s">
        <v>2147</v>
      </c>
      <c r="BUL18" t="s">
        <v>2148</v>
      </c>
      <c r="BUM18" t="s">
        <v>2149</v>
      </c>
      <c r="BUN18" t="s">
        <v>2150</v>
      </c>
      <c r="BUO18" t="s">
        <v>2151</v>
      </c>
      <c r="BUP18" t="s">
        <v>2152</v>
      </c>
      <c r="BUQ18" t="s">
        <v>2153</v>
      </c>
      <c r="BUR18" t="s">
        <v>2154</v>
      </c>
      <c r="BUS18" t="s">
        <v>2155</v>
      </c>
      <c r="BUT18" t="s">
        <v>2156</v>
      </c>
      <c r="BUU18" t="s">
        <v>2157</v>
      </c>
      <c r="BUV18" t="s">
        <v>2158</v>
      </c>
      <c r="BUW18" t="s">
        <v>2159</v>
      </c>
      <c r="BUX18" t="s">
        <v>2160</v>
      </c>
      <c r="BUY18" t="s">
        <v>2161</v>
      </c>
      <c r="BUZ18" t="s">
        <v>2162</v>
      </c>
      <c r="BVA18" t="s">
        <v>2163</v>
      </c>
      <c r="BVB18" t="s">
        <v>2164</v>
      </c>
      <c r="BVC18" t="s">
        <v>2165</v>
      </c>
      <c r="BVD18" t="s">
        <v>2166</v>
      </c>
      <c r="BVE18" t="s">
        <v>2167</v>
      </c>
      <c r="BVF18" t="s">
        <v>2168</v>
      </c>
      <c r="BVG18" t="s">
        <v>2169</v>
      </c>
      <c r="BVH18" t="s">
        <v>2170</v>
      </c>
      <c r="BVI18" t="s">
        <v>2171</v>
      </c>
      <c r="BVJ18" t="s">
        <v>2172</v>
      </c>
      <c r="BVK18" t="s">
        <v>2173</v>
      </c>
      <c r="BVL18" t="s">
        <v>2174</v>
      </c>
      <c r="BVM18" t="s">
        <v>2175</v>
      </c>
      <c r="BVN18" t="s">
        <v>2176</v>
      </c>
      <c r="BVO18" t="s">
        <v>2177</v>
      </c>
      <c r="BVP18" t="s">
        <v>2178</v>
      </c>
      <c r="BVQ18" t="s">
        <v>2179</v>
      </c>
      <c r="BVR18" t="s">
        <v>2180</v>
      </c>
      <c r="BVS18" t="s">
        <v>2181</v>
      </c>
      <c r="BVT18" t="s">
        <v>2182</v>
      </c>
      <c r="BVU18" t="s">
        <v>2183</v>
      </c>
      <c r="BVV18" t="s">
        <v>2184</v>
      </c>
      <c r="BVW18" t="s">
        <v>2185</v>
      </c>
      <c r="BVX18" t="s">
        <v>2186</v>
      </c>
      <c r="BVY18" t="s">
        <v>2187</v>
      </c>
      <c r="BVZ18" t="s">
        <v>2188</v>
      </c>
      <c r="BWA18" t="s">
        <v>2189</v>
      </c>
      <c r="BWB18" t="s">
        <v>2190</v>
      </c>
      <c r="BWC18" t="s">
        <v>2191</v>
      </c>
      <c r="BWD18" t="s">
        <v>2192</v>
      </c>
      <c r="BWE18" t="s">
        <v>2193</v>
      </c>
      <c r="BWF18" t="s">
        <v>2194</v>
      </c>
      <c r="BWG18" t="s">
        <v>2195</v>
      </c>
      <c r="BWH18" t="s">
        <v>2196</v>
      </c>
      <c r="BWI18" t="s">
        <v>2197</v>
      </c>
      <c r="BWJ18" t="s">
        <v>2198</v>
      </c>
      <c r="BWK18" t="s">
        <v>2199</v>
      </c>
      <c r="BWL18" t="s">
        <v>2200</v>
      </c>
      <c r="BWM18" t="s">
        <v>2201</v>
      </c>
      <c r="BWN18" t="s">
        <v>2202</v>
      </c>
      <c r="BWO18" t="s">
        <v>2203</v>
      </c>
      <c r="BWP18" t="s">
        <v>2204</v>
      </c>
      <c r="BWQ18" t="s">
        <v>2205</v>
      </c>
      <c r="BWR18" t="s">
        <v>2206</v>
      </c>
      <c r="BWS18" t="s">
        <v>2207</v>
      </c>
      <c r="BWT18" t="s">
        <v>2208</v>
      </c>
      <c r="BWU18" t="s">
        <v>2209</v>
      </c>
      <c r="BWV18" t="s">
        <v>2210</v>
      </c>
      <c r="BWW18" t="s">
        <v>2211</v>
      </c>
      <c r="BWX18" t="s">
        <v>2212</v>
      </c>
      <c r="BWY18" t="s">
        <v>2213</v>
      </c>
      <c r="BWZ18" t="s">
        <v>2214</v>
      </c>
      <c r="BXA18" t="s">
        <v>2215</v>
      </c>
      <c r="BXB18" t="s">
        <v>2216</v>
      </c>
      <c r="BXC18" t="s">
        <v>2217</v>
      </c>
      <c r="BXD18" t="s">
        <v>2218</v>
      </c>
      <c r="BXE18" t="s">
        <v>2219</v>
      </c>
      <c r="BXF18" t="s">
        <v>2220</v>
      </c>
      <c r="BXG18" t="s">
        <v>2221</v>
      </c>
      <c r="BXH18" t="s">
        <v>2222</v>
      </c>
      <c r="BXI18" t="s">
        <v>2223</v>
      </c>
      <c r="BXJ18" t="s">
        <v>2224</v>
      </c>
      <c r="BXK18" t="s">
        <v>2225</v>
      </c>
      <c r="BXL18" t="s">
        <v>2226</v>
      </c>
      <c r="BXM18" t="s">
        <v>2227</v>
      </c>
      <c r="BXN18" t="s">
        <v>2228</v>
      </c>
      <c r="BXO18" t="s">
        <v>2229</v>
      </c>
      <c r="BXP18" t="s">
        <v>2230</v>
      </c>
      <c r="BXQ18" t="s">
        <v>2231</v>
      </c>
      <c r="BXR18" t="s">
        <v>2232</v>
      </c>
      <c r="BXS18" t="s">
        <v>2233</v>
      </c>
      <c r="BXT18" t="s">
        <v>2234</v>
      </c>
      <c r="BXU18" t="s">
        <v>2235</v>
      </c>
      <c r="BXV18" t="s">
        <v>2236</v>
      </c>
      <c r="BXW18" t="s">
        <v>2237</v>
      </c>
      <c r="BXX18" t="s">
        <v>2238</v>
      </c>
      <c r="BXY18" t="s">
        <v>2239</v>
      </c>
      <c r="BXZ18" t="s">
        <v>2240</v>
      </c>
      <c r="BYA18" t="s">
        <v>2241</v>
      </c>
      <c r="BYB18" t="s">
        <v>2242</v>
      </c>
      <c r="BYC18" t="s">
        <v>2243</v>
      </c>
      <c r="BYD18" t="s">
        <v>2244</v>
      </c>
      <c r="BYE18" t="s">
        <v>2245</v>
      </c>
      <c r="BYF18" t="s">
        <v>2246</v>
      </c>
      <c r="BYG18" t="s">
        <v>2247</v>
      </c>
      <c r="BYH18" t="s">
        <v>2248</v>
      </c>
      <c r="BYI18" t="s">
        <v>2249</v>
      </c>
      <c r="BYJ18" t="s">
        <v>2250</v>
      </c>
      <c r="BYK18" t="s">
        <v>2251</v>
      </c>
      <c r="BYL18" t="s">
        <v>2252</v>
      </c>
      <c r="BYM18" t="s">
        <v>2253</v>
      </c>
      <c r="BYN18" t="s">
        <v>2254</v>
      </c>
      <c r="BYO18" t="s">
        <v>2255</v>
      </c>
      <c r="BYP18" t="s">
        <v>2256</v>
      </c>
      <c r="BYQ18" t="s">
        <v>2257</v>
      </c>
      <c r="BYR18" t="s">
        <v>2258</v>
      </c>
      <c r="BYS18" t="s">
        <v>2259</v>
      </c>
      <c r="BYT18" t="s">
        <v>2260</v>
      </c>
      <c r="BYU18" t="s">
        <v>2261</v>
      </c>
      <c r="BYV18" t="s">
        <v>2262</v>
      </c>
      <c r="BYW18" t="s">
        <v>2263</v>
      </c>
      <c r="BYX18" t="s">
        <v>2264</v>
      </c>
      <c r="BYY18" t="s">
        <v>2265</v>
      </c>
      <c r="BYZ18" t="s">
        <v>2266</v>
      </c>
      <c r="BZA18" t="s">
        <v>2267</v>
      </c>
      <c r="BZB18" t="s">
        <v>2268</v>
      </c>
      <c r="BZC18" t="s">
        <v>2269</v>
      </c>
      <c r="BZD18" t="s">
        <v>2270</v>
      </c>
      <c r="BZE18" t="s">
        <v>2271</v>
      </c>
      <c r="BZF18" t="s">
        <v>2272</v>
      </c>
      <c r="BZG18" t="s">
        <v>2273</v>
      </c>
      <c r="BZH18" t="s">
        <v>2274</v>
      </c>
      <c r="BZI18" t="s">
        <v>2275</v>
      </c>
      <c r="BZJ18" t="s">
        <v>2276</v>
      </c>
      <c r="BZK18" t="s">
        <v>2277</v>
      </c>
      <c r="BZL18" t="s">
        <v>2278</v>
      </c>
      <c r="BZM18" t="s">
        <v>2279</v>
      </c>
      <c r="BZN18" t="s">
        <v>2280</v>
      </c>
      <c r="BZO18" t="s">
        <v>2281</v>
      </c>
      <c r="BZP18" t="s">
        <v>2282</v>
      </c>
      <c r="BZQ18" t="s">
        <v>2283</v>
      </c>
      <c r="BZR18" t="s">
        <v>2284</v>
      </c>
      <c r="BZS18" t="s">
        <v>2285</v>
      </c>
      <c r="BZT18" t="s">
        <v>2286</v>
      </c>
      <c r="BZU18" t="s">
        <v>2287</v>
      </c>
      <c r="BZV18" t="s">
        <v>2288</v>
      </c>
      <c r="BZW18" t="s">
        <v>2289</v>
      </c>
      <c r="BZX18" t="s">
        <v>2290</v>
      </c>
      <c r="BZY18" t="s">
        <v>2291</v>
      </c>
      <c r="BZZ18" t="s">
        <v>2292</v>
      </c>
      <c r="CAA18" t="s">
        <v>2293</v>
      </c>
      <c r="CAB18" t="s">
        <v>2294</v>
      </c>
      <c r="CAC18" t="s">
        <v>2295</v>
      </c>
      <c r="CAD18" t="s">
        <v>2296</v>
      </c>
      <c r="CAE18" t="s">
        <v>2297</v>
      </c>
      <c r="CAF18" t="s">
        <v>2298</v>
      </c>
      <c r="CAG18" t="s">
        <v>2299</v>
      </c>
      <c r="CAH18" t="s">
        <v>2300</v>
      </c>
      <c r="CAI18" t="s">
        <v>2301</v>
      </c>
      <c r="CAJ18" t="s">
        <v>2302</v>
      </c>
      <c r="CAK18" t="s">
        <v>2303</v>
      </c>
      <c r="CAL18" t="s">
        <v>2304</v>
      </c>
      <c r="CAM18" t="s">
        <v>2305</v>
      </c>
      <c r="CAN18" t="s">
        <v>2306</v>
      </c>
      <c r="CAO18" t="s">
        <v>2307</v>
      </c>
      <c r="CAP18" t="s">
        <v>2308</v>
      </c>
      <c r="CAQ18" t="s">
        <v>2309</v>
      </c>
      <c r="CAR18" t="s">
        <v>2310</v>
      </c>
      <c r="CAS18" t="s">
        <v>2311</v>
      </c>
      <c r="CAT18" t="s">
        <v>2312</v>
      </c>
      <c r="CAU18" t="s">
        <v>2313</v>
      </c>
      <c r="CAV18" t="s">
        <v>2314</v>
      </c>
      <c r="CAW18" t="s">
        <v>2315</v>
      </c>
      <c r="CAX18" t="s">
        <v>2316</v>
      </c>
      <c r="CAY18" t="s">
        <v>2317</v>
      </c>
      <c r="CAZ18" t="s">
        <v>2318</v>
      </c>
      <c r="CBA18" t="s">
        <v>2319</v>
      </c>
      <c r="CBB18" t="s">
        <v>2320</v>
      </c>
      <c r="CBC18" t="s">
        <v>2321</v>
      </c>
      <c r="CBD18" t="s">
        <v>2322</v>
      </c>
      <c r="CBE18" t="s">
        <v>2323</v>
      </c>
      <c r="CBF18" t="s">
        <v>2324</v>
      </c>
      <c r="CBG18" t="s">
        <v>2325</v>
      </c>
      <c r="CBH18" t="s">
        <v>2326</v>
      </c>
      <c r="CBI18" t="s">
        <v>2327</v>
      </c>
      <c r="CBJ18" t="s">
        <v>2328</v>
      </c>
      <c r="CBK18" t="s">
        <v>2329</v>
      </c>
      <c r="CBL18" t="s">
        <v>2330</v>
      </c>
      <c r="CBM18" t="s">
        <v>2331</v>
      </c>
      <c r="CBN18" t="s">
        <v>2332</v>
      </c>
      <c r="CBO18" t="s">
        <v>2333</v>
      </c>
      <c r="CBP18" t="s">
        <v>2334</v>
      </c>
      <c r="CBQ18" t="s">
        <v>2335</v>
      </c>
      <c r="CBR18" t="s">
        <v>2336</v>
      </c>
      <c r="CBS18" t="s">
        <v>2337</v>
      </c>
      <c r="CBT18" t="s">
        <v>2338</v>
      </c>
      <c r="CBU18" t="s">
        <v>2339</v>
      </c>
      <c r="CBV18" t="s">
        <v>2340</v>
      </c>
      <c r="CBW18" t="s">
        <v>2341</v>
      </c>
      <c r="CBX18" t="s">
        <v>2342</v>
      </c>
      <c r="CBY18" t="s">
        <v>2343</v>
      </c>
      <c r="CBZ18" t="s">
        <v>2344</v>
      </c>
      <c r="CCA18" t="s">
        <v>2345</v>
      </c>
      <c r="CCB18" t="s">
        <v>2346</v>
      </c>
      <c r="CCC18" t="s">
        <v>2347</v>
      </c>
      <c r="CCD18" t="s">
        <v>2348</v>
      </c>
      <c r="CCE18" t="s">
        <v>2349</v>
      </c>
      <c r="CCF18" t="s">
        <v>2350</v>
      </c>
      <c r="CCG18" t="s">
        <v>2351</v>
      </c>
      <c r="CCH18" t="s">
        <v>2352</v>
      </c>
      <c r="CCI18" t="s">
        <v>2353</v>
      </c>
      <c r="CCJ18" t="s">
        <v>2354</v>
      </c>
      <c r="CCK18" t="s">
        <v>2355</v>
      </c>
      <c r="CCL18" t="s">
        <v>2356</v>
      </c>
      <c r="CCM18" t="s">
        <v>2357</v>
      </c>
      <c r="CCN18" t="s">
        <v>2358</v>
      </c>
      <c r="CCO18" t="s">
        <v>2359</v>
      </c>
      <c r="CCP18" t="s">
        <v>2360</v>
      </c>
      <c r="CCQ18" t="s">
        <v>2361</v>
      </c>
      <c r="CCR18" t="s">
        <v>2362</v>
      </c>
      <c r="CCS18" t="s">
        <v>2363</v>
      </c>
      <c r="CCT18" t="s">
        <v>2364</v>
      </c>
      <c r="CCU18" t="s">
        <v>2365</v>
      </c>
      <c r="CCV18" t="s">
        <v>2366</v>
      </c>
      <c r="CCW18" t="s">
        <v>2367</v>
      </c>
      <c r="CCX18" t="s">
        <v>2368</v>
      </c>
      <c r="CCY18" t="s">
        <v>2369</v>
      </c>
      <c r="CCZ18" t="s">
        <v>2370</v>
      </c>
      <c r="CDA18" t="s">
        <v>2371</v>
      </c>
      <c r="CDB18" t="s">
        <v>2372</v>
      </c>
      <c r="CDC18" t="s">
        <v>2373</v>
      </c>
      <c r="CDD18" t="s">
        <v>2374</v>
      </c>
      <c r="CDE18" t="s">
        <v>2375</v>
      </c>
      <c r="CDF18" t="s">
        <v>2376</v>
      </c>
      <c r="CDG18" t="s">
        <v>2377</v>
      </c>
      <c r="CDH18" t="s">
        <v>2378</v>
      </c>
      <c r="CDI18" t="s">
        <v>2379</v>
      </c>
      <c r="CDJ18" t="s">
        <v>2380</v>
      </c>
      <c r="CDK18" t="s">
        <v>2381</v>
      </c>
      <c r="CDL18" t="s">
        <v>2382</v>
      </c>
      <c r="CDM18" t="s">
        <v>2383</v>
      </c>
      <c r="CDN18" t="s">
        <v>2384</v>
      </c>
      <c r="CDO18" t="s">
        <v>2385</v>
      </c>
      <c r="CDP18" t="s">
        <v>2386</v>
      </c>
      <c r="CDQ18" t="s">
        <v>2387</v>
      </c>
      <c r="CDR18" t="s">
        <v>2388</v>
      </c>
      <c r="CDS18" t="s">
        <v>2389</v>
      </c>
      <c r="CDT18" t="s">
        <v>2390</v>
      </c>
      <c r="CDU18" t="s">
        <v>2391</v>
      </c>
      <c r="CDV18" t="s">
        <v>2392</v>
      </c>
      <c r="CDW18" t="s">
        <v>2393</v>
      </c>
      <c r="CDX18" t="s">
        <v>2394</v>
      </c>
      <c r="CDY18" t="s">
        <v>2395</v>
      </c>
      <c r="CDZ18" t="s">
        <v>2396</v>
      </c>
      <c r="CEA18" t="s">
        <v>2397</v>
      </c>
      <c r="CEB18" t="s">
        <v>2398</v>
      </c>
      <c r="CEC18" t="s">
        <v>2399</v>
      </c>
      <c r="CED18" t="s">
        <v>2400</v>
      </c>
      <c r="CEE18" t="s">
        <v>2401</v>
      </c>
      <c r="CEF18" t="s">
        <v>2402</v>
      </c>
      <c r="CEG18" t="s">
        <v>2403</v>
      </c>
      <c r="CEH18" t="s">
        <v>2404</v>
      </c>
      <c r="CEI18" t="s">
        <v>2405</v>
      </c>
      <c r="CEJ18" t="s">
        <v>2406</v>
      </c>
      <c r="CEK18" t="s">
        <v>2407</v>
      </c>
      <c r="CEL18" t="s">
        <v>2408</v>
      </c>
      <c r="CEM18" t="s">
        <v>2409</v>
      </c>
      <c r="CEN18" t="s">
        <v>2410</v>
      </c>
      <c r="CEO18" t="s">
        <v>2411</v>
      </c>
      <c r="CEP18" t="s">
        <v>2412</v>
      </c>
      <c r="CEQ18" t="s">
        <v>2413</v>
      </c>
      <c r="CER18" t="s">
        <v>2414</v>
      </c>
      <c r="CES18" t="s">
        <v>2415</v>
      </c>
      <c r="CET18" t="s">
        <v>2416</v>
      </c>
      <c r="CEU18" t="s">
        <v>2417</v>
      </c>
      <c r="CEV18" t="s">
        <v>2418</v>
      </c>
      <c r="CEW18" t="s">
        <v>2419</v>
      </c>
      <c r="CEX18" t="s">
        <v>2420</v>
      </c>
      <c r="CEY18" t="s">
        <v>2421</v>
      </c>
      <c r="CEZ18" t="s">
        <v>2422</v>
      </c>
      <c r="CFA18" t="s">
        <v>2423</v>
      </c>
      <c r="CFB18" t="s">
        <v>2424</v>
      </c>
      <c r="CFC18" t="s">
        <v>2425</v>
      </c>
      <c r="CFD18" t="s">
        <v>2426</v>
      </c>
      <c r="CFE18" t="s">
        <v>2427</v>
      </c>
      <c r="CFF18" t="s">
        <v>2428</v>
      </c>
      <c r="CFG18" t="s">
        <v>2429</v>
      </c>
      <c r="CFH18" t="s">
        <v>2430</v>
      </c>
      <c r="CFI18" t="s">
        <v>2431</v>
      </c>
      <c r="CFJ18" t="s">
        <v>2432</v>
      </c>
      <c r="CFK18" t="s">
        <v>2433</v>
      </c>
      <c r="CFL18" t="s">
        <v>2434</v>
      </c>
      <c r="CFM18" t="s">
        <v>2435</v>
      </c>
      <c r="CFN18" t="s">
        <v>2436</v>
      </c>
      <c r="CFO18" t="s">
        <v>2437</v>
      </c>
      <c r="CFP18" t="s">
        <v>2438</v>
      </c>
      <c r="CFQ18" t="s">
        <v>2439</v>
      </c>
      <c r="CFR18" t="s">
        <v>2440</v>
      </c>
      <c r="CFS18" t="s">
        <v>2441</v>
      </c>
      <c r="CFT18" t="s">
        <v>2442</v>
      </c>
      <c r="CFU18" t="s">
        <v>2443</v>
      </c>
      <c r="CFV18" t="s">
        <v>2444</v>
      </c>
      <c r="CFW18" t="s">
        <v>2445</v>
      </c>
      <c r="CFX18" t="s">
        <v>2446</v>
      </c>
      <c r="CFY18" t="s">
        <v>2447</v>
      </c>
      <c r="CFZ18" t="s">
        <v>2448</v>
      </c>
      <c r="CGA18" t="s">
        <v>2449</v>
      </c>
      <c r="CGB18" t="s">
        <v>2450</v>
      </c>
      <c r="CGC18" t="s">
        <v>2451</v>
      </c>
      <c r="CGD18" t="s">
        <v>2452</v>
      </c>
      <c r="CGE18" t="s">
        <v>2453</v>
      </c>
      <c r="CGF18" t="s">
        <v>2454</v>
      </c>
      <c r="CGG18" t="s">
        <v>2455</v>
      </c>
      <c r="CGH18" t="s">
        <v>2456</v>
      </c>
      <c r="CGI18" t="s">
        <v>2457</v>
      </c>
      <c r="CGJ18" t="s">
        <v>2458</v>
      </c>
      <c r="CGK18" t="s">
        <v>2459</v>
      </c>
      <c r="CGL18" t="s">
        <v>2460</v>
      </c>
      <c r="CGM18" t="s">
        <v>2461</v>
      </c>
      <c r="CGN18" t="s">
        <v>2462</v>
      </c>
      <c r="CGO18" t="s">
        <v>2463</v>
      </c>
      <c r="CGP18" t="s">
        <v>2464</v>
      </c>
      <c r="CGQ18" t="s">
        <v>2465</v>
      </c>
      <c r="CGR18" t="s">
        <v>2466</v>
      </c>
      <c r="CGS18" t="s">
        <v>2467</v>
      </c>
      <c r="CGT18" t="s">
        <v>2468</v>
      </c>
      <c r="CGU18" t="s">
        <v>2469</v>
      </c>
      <c r="CGV18" t="s">
        <v>2470</v>
      </c>
      <c r="CGW18" t="s">
        <v>2471</v>
      </c>
      <c r="CGX18" t="s">
        <v>2472</v>
      </c>
      <c r="CGY18" t="s">
        <v>2473</v>
      </c>
      <c r="CGZ18" t="s">
        <v>2474</v>
      </c>
      <c r="CHA18" t="s">
        <v>2475</v>
      </c>
      <c r="CHB18" t="s">
        <v>2476</v>
      </c>
      <c r="CHC18" t="s">
        <v>2477</v>
      </c>
      <c r="CHD18" t="s">
        <v>2478</v>
      </c>
      <c r="CHE18" t="s">
        <v>2479</v>
      </c>
      <c r="CHF18" t="s">
        <v>2480</v>
      </c>
      <c r="CHG18" t="s">
        <v>2481</v>
      </c>
      <c r="CHH18" t="s">
        <v>2482</v>
      </c>
      <c r="CHI18" t="s">
        <v>2483</v>
      </c>
      <c r="CHJ18" t="s">
        <v>2484</v>
      </c>
      <c r="CHK18" t="s">
        <v>2485</v>
      </c>
      <c r="CHL18" t="s">
        <v>2486</v>
      </c>
      <c r="CHM18" t="s">
        <v>2487</v>
      </c>
      <c r="CHN18" t="s">
        <v>2488</v>
      </c>
      <c r="CHO18" t="s">
        <v>2489</v>
      </c>
      <c r="CHP18" t="s">
        <v>2490</v>
      </c>
      <c r="CHQ18" t="s">
        <v>2491</v>
      </c>
      <c r="CHR18" t="s">
        <v>2492</v>
      </c>
      <c r="CHS18" t="s">
        <v>2493</v>
      </c>
      <c r="CHT18" t="s">
        <v>2494</v>
      </c>
      <c r="CHU18" t="s">
        <v>2495</v>
      </c>
      <c r="CHV18" t="s">
        <v>2496</v>
      </c>
      <c r="CHW18" t="s">
        <v>2497</v>
      </c>
      <c r="CHX18" t="s">
        <v>2498</v>
      </c>
      <c r="CHY18" t="s">
        <v>2499</v>
      </c>
      <c r="CHZ18" t="s">
        <v>2500</v>
      </c>
      <c r="CIA18" t="s">
        <v>2501</v>
      </c>
      <c r="CIB18" t="s">
        <v>2502</v>
      </c>
      <c r="CIC18" t="s">
        <v>2503</v>
      </c>
      <c r="CID18" t="s">
        <v>2504</v>
      </c>
      <c r="CIE18" t="s">
        <v>2505</v>
      </c>
      <c r="CIF18" t="s">
        <v>2506</v>
      </c>
      <c r="CIG18" t="s">
        <v>2507</v>
      </c>
      <c r="CIH18" t="s">
        <v>2508</v>
      </c>
      <c r="CII18" t="s">
        <v>2509</v>
      </c>
      <c r="CIJ18" t="s">
        <v>2510</v>
      </c>
      <c r="CIK18" t="s">
        <v>2511</v>
      </c>
      <c r="CIL18" t="s">
        <v>2512</v>
      </c>
      <c r="CIM18" t="s">
        <v>2513</v>
      </c>
      <c r="CIN18" t="s">
        <v>2514</v>
      </c>
      <c r="CIO18" t="s">
        <v>2515</v>
      </c>
      <c r="CIP18" t="s">
        <v>2516</v>
      </c>
      <c r="CIQ18" t="s">
        <v>2517</v>
      </c>
      <c r="CIR18" t="s">
        <v>2518</v>
      </c>
      <c r="CIS18" t="s">
        <v>2519</v>
      </c>
      <c r="CIT18" t="s">
        <v>2520</v>
      </c>
      <c r="CIU18" t="s">
        <v>2521</v>
      </c>
      <c r="CIV18" t="s">
        <v>2522</v>
      </c>
      <c r="CIW18" t="s">
        <v>2523</v>
      </c>
      <c r="CIX18" t="s">
        <v>2524</v>
      </c>
      <c r="CIY18" t="s">
        <v>2525</v>
      </c>
      <c r="CIZ18" t="s">
        <v>2526</v>
      </c>
      <c r="CJA18" t="s">
        <v>2527</v>
      </c>
      <c r="CJB18" t="s">
        <v>2528</v>
      </c>
      <c r="CJC18" t="s">
        <v>2529</v>
      </c>
      <c r="CJD18" t="s">
        <v>2530</v>
      </c>
      <c r="CJE18" t="s">
        <v>2531</v>
      </c>
      <c r="CJF18" t="s">
        <v>2532</v>
      </c>
      <c r="CJG18" t="s">
        <v>2533</v>
      </c>
      <c r="CJH18" t="s">
        <v>2534</v>
      </c>
      <c r="CJI18" t="s">
        <v>2535</v>
      </c>
      <c r="CJJ18" t="s">
        <v>2536</v>
      </c>
      <c r="CJK18" t="s">
        <v>2537</v>
      </c>
      <c r="CJL18" t="s">
        <v>2538</v>
      </c>
      <c r="CJM18" t="s">
        <v>2539</v>
      </c>
      <c r="CJN18" t="s">
        <v>2540</v>
      </c>
      <c r="CJO18" t="s">
        <v>2541</v>
      </c>
      <c r="CJP18" t="s">
        <v>2542</v>
      </c>
      <c r="CJQ18" t="s">
        <v>2543</v>
      </c>
      <c r="CJR18" t="s">
        <v>2544</v>
      </c>
      <c r="CJS18" t="s">
        <v>2545</v>
      </c>
      <c r="CJT18" t="s">
        <v>2546</v>
      </c>
      <c r="CJU18" t="s">
        <v>2547</v>
      </c>
      <c r="CJV18" t="s">
        <v>2548</v>
      </c>
      <c r="CJW18" t="s">
        <v>2549</v>
      </c>
      <c r="CJX18" t="s">
        <v>2550</v>
      </c>
      <c r="CJY18" t="s">
        <v>2551</v>
      </c>
      <c r="CJZ18" t="s">
        <v>2552</v>
      </c>
      <c r="CKA18" t="s">
        <v>2553</v>
      </c>
      <c r="CKB18" t="s">
        <v>2554</v>
      </c>
      <c r="CKC18" t="s">
        <v>2555</v>
      </c>
      <c r="CKD18" t="s">
        <v>2556</v>
      </c>
      <c r="CKE18" t="s">
        <v>2557</v>
      </c>
      <c r="CKF18" t="s">
        <v>2558</v>
      </c>
      <c r="CKG18" t="s">
        <v>2559</v>
      </c>
      <c r="CKH18" t="s">
        <v>2560</v>
      </c>
      <c r="CKI18" t="s">
        <v>2561</v>
      </c>
      <c r="CKJ18" t="s">
        <v>2562</v>
      </c>
      <c r="CKK18" t="s">
        <v>2563</v>
      </c>
      <c r="CKL18" t="s">
        <v>2564</v>
      </c>
      <c r="CKM18" t="s">
        <v>2565</v>
      </c>
      <c r="CKN18" t="s">
        <v>2566</v>
      </c>
      <c r="CKO18" t="s">
        <v>2567</v>
      </c>
      <c r="CKP18" t="s">
        <v>2568</v>
      </c>
      <c r="CKQ18" t="s">
        <v>2569</v>
      </c>
      <c r="CKR18" t="s">
        <v>2570</v>
      </c>
      <c r="CKS18" t="s">
        <v>2571</v>
      </c>
      <c r="CKT18" t="s">
        <v>2572</v>
      </c>
      <c r="CKU18" t="s">
        <v>2573</v>
      </c>
      <c r="CKV18" t="s">
        <v>2574</v>
      </c>
      <c r="CKW18" t="s">
        <v>2575</v>
      </c>
      <c r="CKX18" t="s">
        <v>2576</v>
      </c>
      <c r="CKY18" t="s">
        <v>2577</v>
      </c>
      <c r="CKZ18" t="s">
        <v>2578</v>
      </c>
      <c r="CLA18" t="s">
        <v>2579</v>
      </c>
      <c r="CLB18" t="s">
        <v>2580</v>
      </c>
      <c r="CLC18" t="s">
        <v>2581</v>
      </c>
      <c r="CLD18" t="s">
        <v>2582</v>
      </c>
      <c r="CLE18" t="s">
        <v>2583</v>
      </c>
      <c r="CLF18" t="s">
        <v>2584</v>
      </c>
      <c r="CLG18" t="s">
        <v>2585</v>
      </c>
      <c r="CLH18" t="s">
        <v>2586</v>
      </c>
      <c r="CLI18" t="s">
        <v>2587</v>
      </c>
      <c r="CLJ18" t="s">
        <v>2588</v>
      </c>
      <c r="CLK18" t="s">
        <v>2589</v>
      </c>
      <c r="CLL18" t="s">
        <v>2590</v>
      </c>
      <c r="CLM18" t="s">
        <v>2591</v>
      </c>
      <c r="CLN18" t="s">
        <v>2592</v>
      </c>
      <c r="CLO18" t="s">
        <v>2593</v>
      </c>
      <c r="CLP18" t="s">
        <v>2594</v>
      </c>
      <c r="CLQ18" t="s">
        <v>2595</v>
      </c>
      <c r="CLR18" t="s">
        <v>2596</v>
      </c>
      <c r="CLS18" t="s">
        <v>2597</v>
      </c>
      <c r="CLT18" t="s">
        <v>2598</v>
      </c>
      <c r="CLU18" t="s">
        <v>2599</v>
      </c>
      <c r="CLV18" t="s">
        <v>2600</v>
      </c>
      <c r="CLW18" t="s">
        <v>2601</v>
      </c>
      <c r="CLX18" t="s">
        <v>2602</v>
      </c>
      <c r="CLY18" t="s">
        <v>2603</v>
      </c>
      <c r="CLZ18" t="s">
        <v>2604</v>
      </c>
      <c r="CMA18" t="s">
        <v>2605</v>
      </c>
      <c r="CMB18" t="s">
        <v>2606</v>
      </c>
      <c r="CMC18" t="s">
        <v>2607</v>
      </c>
      <c r="CMD18" t="s">
        <v>2608</v>
      </c>
      <c r="CME18" t="s">
        <v>2609</v>
      </c>
      <c r="CMF18" t="s">
        <v>2610</v>
      </c>
      <c r="CMG18" t="s">
        <v>2611</v>
      </c>
      <c r="CMH18" t="s">
        <v>2612</v>
      </c>
      <c r="CMI18" t="s">
        <v>2613</v>
      </c>
      <c r="CMJ18" t="s">
        <v>2614</v>
      </c>
      <c r="CMK18" t="s">
        <v>2615</v>
      </c>
      <c r="CML18" t="s">
        <v>2616</v>
      </c>
      <c r="CMM18" t="s">
        <v>2617</v>
      </c>
      <c r="CMN18" t="s">
        <v>2618</v>
      </c>
      <c r="CMO18" t="s">
        <v>2619</v>
      </c>
      <c r="CMP18" t="s">
        <v>2620</v>
      </c>
      <c r="CMQ18" t="s">
        <v>2621</v>
      </c>
      <c r="CMR18" t="s">
        <v>2622</v>
      </c>
      <c r="CMS18" t="s">
        <v>2623</v>
      </c>
      <c r="CMT18" t="s">
        <v>2624</v>
      </c>
      <c r="CMU18" t="s">
        <v>2625</v>
      </c>
      <c r="CMV18" t="s">
        <v>2626</v>
      </c>
      <c r="CMW18" t="s">
        <v>2627</v>
      </c>
      <c r="CMX18" t="s">
        <v>2628</v>
      </c>
      <c r="CMY18" t="s">
        <v>2629</v>
      </c>
      <c r="CMZ18" t="s">
        <v>2630</v>
      </c>
      <c r="CNA18" t="s">
        <v>2631</v>
      </c>
      <c r="CNB18" t="s">
        <v>2632</v>
      </c>
      <c r="CNC18" t="s">
        <v>2633</v>
      </c>
      <c r="CND18" t="s">
        <v>2634</v>
      </c>
      <c r="CNE18" t="s">
        <v>2635</v>
      </c>
      <c r="CNF18" t="s">
        <v>2636</v>
      </c>
      <c r="CNG18" t="s">
        <v>2637</v>
      </c>
      <c r="CNH18" t="s">
        <v>2638</v>
      </c>
      <c r="CNI18" t="s">
        <v>2639</v>
      </c>
      <c r="CNJ18" t="s">
        <v>2640</v>
      </c>
      <c r="CNK18" t="s">
        <v>2641</v>
      </c>
      <c r="CNL18" t="s">
        <v>2642</v>
      </c>
      <c r="CNM18" t="s">
        <v>2643</v>
      </c>
      <c r="CNN18" t="s">
        <v>2644</v>
      </c>
      <c r="CNO18" t="s">
        <v>2645</v>
      </c>
      <c r="CNP18" t="s">
        <v>2646</v>
      </c>
      <c r="CNQ18" t="s">
        <v>2647</v>
      </c>
      <c r="CNR18" t="s">
        <v>2648</v>
      </c>
      <c r="CNS18" t="s">
        <v>2649</v>
      </c>
      <c r="CNT18" t="s">
        <v>2650</v>
      </c>
      <c r="CNU18" t="s">
        <v>2651</v>
      </c>
      <c r="CNV18" t="s">
        <v>2652</v>
      </c>
      <c r="CNW18" t="s">
        <v>2653</v>
      </c>
      <c r="CNX18" t="s">
        <v>2654</v>
      </c>
      <c r="CNY18" t="s">
        <v>2655</v>
      </c>
      <c r="CNZ18" t="s">
        <v>2656</v>
      </c>
      <c r="COA18" t="s">
        <v>2657</v>
      </c>
      <c r="COB18" t="s">
        <v>2658</v>
      </c>
      <c r="COC18" t="s">
        <v>2659</v>
      </c>
      <c r="COD18" t="s">
        <v>2660</v>
      </c>
      <c r="COE18" t="s">
        <v>2661</v>
      </c>
      <c r="COF18" t="s">
        <v>2662</v>
      </c>
      <c r="COG18" t="s">
        <v>2663</v>
      </c>
      <c r="COH18" t="s">
        <v>2664</v>
      </c>
      <c r="COI18" t="s">
        <v>2665</v>
      </c>
      <c r="COJ18" t="s">
        <v>2666</v>
      </c>
      <c r="COK18" t="s">
        <v>2667</v>
      </c>
      <c r="COL18" t="s">
        <v>2668</v>
      </c>
      <c r="COM18" t="s">
        <v>2669</v>
      </c>
      <c r="CON18" t="s">
        <v>2670</v>
      </c>
      <c r="COO18" t="s">
        <v>2671</v>
      </c>
      <c r="COP18" t="s">
        <v>2672</v>
      </c>
      <c r="COQ18" t="s">
        <v>2673</v>
      </c>
      <c r="COR18" t="s">
        <v>2674</v>
      </c>
      <c r="COS18" t="s">
        <v>2675</v>
      </c>
      <c r="COT18" t="s">
        <v>2676</v>
      </c>
      <c r="COU18" t="s">
        <v>2677</v>
      </c>
      <c r="COV18" t="s">
        <v>2678</v>
      </c>
      <c r="COW18" t="s">
        <v>2679</v>
      </c>
      <c r="COX18" t="s">
        <v>2680</v>
      </c>
      <c r="COY18" t="s">
        <v>2681</v>
      </c>
      <c r="COZ18" t="s">
        <v>2682</v>
      </c>
      <c r="CPA18" t="s">
        <v>2683</v>
      </c>
      <c r="CPB18" t="s">
        <v>2684</v>
      </c>
      <c r="CPC18" t="s">
        <v>2685</v>
      </c>
      <c r="CPD18" t="s">
        <v>2686</v>
      </c>
      <c r="CPE18" t="s">
        <v>2687</v>
      </c>
      <c r="CPF18" t="s">
        <v>2688</v>
      </c>
      <c r="CPG18" t="s">
        <v>2689</v>
      </c>
      <c r="CPH18" t="s">
        <v>2690</v>
      </c>
      <c r="CPI18" t="s">
        <v>2691</v>
      </c>
      <c r="CPJ18" t="s">
        <v>2692</v>
      </c>
      <c r="CPK18" t="s">
        <v>2693</v>
      </c>
      <c r="CPL18" t="s">
        <v>2694</v>
      </c>
      <c r="CPM18" t="s">
        <v>2695</v>
      </c>
      <c r="CPN18" t="s">
        <v>2696</v>
      </c>
      <c r="CPO18" t="s">
        <v>2697</v>
      </c>
      <c r="CPP18" t="s">
        <v>2698</v>
      </c>
      <c r="CPQ18" t="s">
        <v>2699</v>
      </c>
      <c r="CPR18" t="s">
        <v>2700</v>
      </c>
      <c r="CPS18" t="s">
        <v>2701</v>
      </c>
      <c r="CPT18" t="s">
        <v>2702</v>
      </c>
      <c r="CPU18" t="s">
        <v>2703</v>
      </c>
      <c r="CPV18" t="s">
        <v>2704</v>
      </c>
      <c r="CPW18" t="s">
        <v>2705</v>
      </c>
      <c r="CPX18" t="s">
        <v>2706</v>
      </c>
      <c r="CPY18" t="s">
        <v>2707</v>
      </c>
      <c r="CPZ18" t="s">
        <v>2708</v>
      </c>
      <c r="CQA18" t="s">
        <v>2709</v>
      </c>
      <c r="CQB18" t="s">
        <v>2710</v>
      </c>
      <c r="CQC18" t="s">
        <v>2711</v>
      </c>
      <c r="CQD18" t="s">
        <v>2712</v>
      </c>
      <c r="CQE18" t="s">
        <v>2713</v>
      </c>
      <c r="CQF18" t="s">
        <v>2714</v>
      </c>
      <c r="CQG18" t="s">
        <v>2715</v>
      </c>
      <c r="CQH18" t="s">
        <v>2716</v>
      </c>
      <c r="CQI18" t="s">
        <v>2717</v>
      </c>
      <c r="CQJ18" t="s">
        <v>2718</v>
      </c>
      <c r="CQK18" t="s">
        <v>2719</v>
      </c>
      <c r="CQL18" t="s">
        <v>2720</v>
      </c>
      <c r="CQM18" t="s">
        <v>2721</v>
      </c>
      <c r="CQN18" t="s">
        <v>2722</v>
      </c>
      <c r="CQO18" t="s">
        <v>2723</v>
      </c>
      <c r="CQP18" t="s">
        <v>2724</v>
      </c>
      <c r="CQQ18" t="s">
        <v>2725</v>
      </c>
      <c r="CQR18" t="s">
        <v>2726</v>
      </c>
      <c r="CQS18" t="s">
        <v>2727</v>
      </c>
      <c r="CQT18" t="s">
        <v>2728</v>
      </c>
      <c r="CQU18" t="s">
        <v>2729</v>
      </c>
      <c r="CQV18" t="s">
        <v>2730</v>
      </c>
      <c r="CQW18" t="s">
        <v>2731</v>
      </c>
      <c r="CQX18" t="s">
        <v>2732</v>
      </c>
      <c r="CQY18" t="s">
        <v>2733</v>
      </c>
      <c r="CQZ18" t="s">
        <v>2734</v>
      </c>
      <c r="CRA18" t="s">
        <v>2735</v>
      </c>
      <c r="CRB18" t="s">
        <v>2736</v>
      </c>
      <c r="CRC18" t="s">
        <v>2737</v>
      </c>
      <c r="CRD18" t="s">
        <v>2738</v>
      </c>
      <c r="CRE18" t="s">
        <v>2739</v>
      </c>
      <c r="CRF18" t="s">
        <v>2740</v>
      </c>
      <c r="CRG18" t="s">
        <v>2741</v>
      </c>
      <c r="CRH18" t="s">
        <v>2742</v>
      </c>
      <c r="CRI18" t="s">
        <v>2743</v>
      </c>
      <c r="CRJ18" t="s">
        <v>2744</v>
      </c>
      <c r="CRK18" t="s">
        <v>2745</v>
      </c>
      <c r="CRL18" t="s">
        <v>2746</v>
      </c>
      <c r="CRM18" t="s">
        <v>2747</v>
      </c>
      <c r="CRN18" t="s">
        <v>2748</v>
      </c>
      <c r="CRO18" t="s">
        <v>2749</v>
      </c>
      <c r="CRP18" t="s">
        <v>2750</v>
      </c>
      <c r="CRQ18" t="s">
        <v>2751</v>
      </c>
      <c r="CRR18" t="s">
        <v>2752</v>
      </c>
      <c r="CRS18" t="s">
        <v>2753</v>
      </c>
      <c r="CRT18" t="s">
        <v>2754</v>
      </c>
      <c r="CRU18" t="s">
        <v>2755</v>
      </c>
      <c r="CRV18" t="s">
        <v>2756</v>
      </c>
      <c r="CRW18" t="s">
        <v>2757</v>
      </c>
      <c r="CRX18" t="s">
        <v>2758</v>
      </c>
      <c r="CRY18" t="s">
        <v>2759</v>
      </c>
      <c r="CRZ18" t="s">
        <v>2760</v>
      </c>
      <c r="CSA18" t="s">
        <v>2761</v>
      </c>
      <c r="CSB18" t="s">
        <v>2762</v>
      </c>
      <c r="CSC18" t="s">
        <v>2763</v>
      </c>
      <c r="CSD18" t="s">
        <v>2764</v>
      </c>
      <c r="CSE18" t="s">
        <v>2765</v>
      </c>
      <c r="CSF18" t="s">
        <v>2766</v>
      </c>
      <c r="CSG18" t="s">
        <v>2767</v>
      </c>
      <c r="CSH18" t="s">
        <v>2768</v>
      </c>
      <c r="CSI18" t="s">
        <v>2769</v>
      </c>
      <c r="CSJ18" t="s">
        <v>2770</v>
      </c>
      <c r="CSK18" t="s">
        <v>2771</v>
      </c>
      <c r="CSL18" t="s">
        <v>2772</v>
      </c>
      <c r="CSM18" t="s">
        <v>2773</v>
      </c>
      <c r="CSN18" t="s">
        <v>2774</v>
      </c>
      <c r="CSO18" t="s">
        <v>2775</v>
      </c>
      <c r="CSP18" t="s">
        <v>2776</v>
      </c>
      <c r="CSQ18" t="s">
        <v>2777</v>
      </c>
      <c r="CSR18" t="s">
        <v>2778</v>
      </c>
      <c r="CSS18" t="s">
        <v>2779</v>
      </c>
      <c r="CST18" t="s">
        <v>2780</v>
      </c>
      <c r="CSU18" t="s">
        <v>2781</v>
      </c>
      <c r="CSV18" t="s">
        <v>2782</v>
      </c>
      <c r="CSW18" t="s">
        <v>2783</v>
      </c>
      <c r="CSX18" t="s">
        <v>2784</v>
      </c>
      <c r="CSY18" t="s">
        <v>2785</v>
      </c>
      <c r="CSZ18" t="s">
        <v>2786</v>
      </c>
      <c r="CTA18" t="s">
        <v>2787</v>
      </c>
      <c r="CTB18" t="s">
        <v>2788</v>
      </c>
      <c r="CTC18" t="s">
        <v>2789</v>
      </c>
      <c r="CTD18" t="s">
        <v>2790</v>
      </c>
      <c r="CTE18" t="s">
        <v>2791</v>
      </c>
      <c r="CTF18" t="s">
        <v>2792</v>
      </c>
      <c r="CTG18" t="s">
        <v>2793</v>
      </c>
      <c r="CTH18" t="s">
        <v>2794</v>
      </c>
      <c r="CTI18" t="s">
        <v>2795</v>
      </c>
      <c r="CTJ18" t="s">
        <v>2796</v>
      </c>
      <c r="CTK18" t="s">
        <v>2797</v>
      </c>
      <c r="CTL18" t="s">
        <v>2798</v>
      </c>
      <c r="CTM18" t="s">
        <v>2799</v>
      </c>
      <c r="CTN18" t="s">
        <v>2800</v>
      </c>
      <c r="CTO18" t="s">
        <v>2801</v>
      </c>
      <c r="CTP18" t="s">
        <v>2802</v>
      </c>
      <c r="CTQ18" t="s">
        <v>2803</v>
      </c>
      <c r="CTR18" t="s">
        <v>2804</v>
      </c>
      <c r="CTS18" t="s">
        <v>2805</v>
      </c>
      <c r="CTT18" t="s">
        <v>2806</v>
      </c>
      <c r="CTU18" t="s">
        <v>2807</v>
      </c>
      <c r="CTV18" t="s">
        <v>2808</v>
      </c>
      <c r="CTW18" t="s">
        <v>2809</v>
      </c>
      <c r="CTX18" t="s">
        <v>2810</v>
      </c>
      <c r="CTY18" t="s">
        <v>2811</v>
      </c>
      <c r="CTZ18" t="s">
        <v>2812</v>
      </c>
      <c r="CUA18" t="s">
        <v>2813</v>
      </c>
      <c r="CUB18" t="s">
        <v>2814</v>
      </c>
      <c r="CUC18" t="s">
        <v>2815</v>
      </c>
      <c r="CUD18" t="s">
        <v>2816</v>
      </c>
      <c r="CUE18" t="s">
        <v>2817</v>
      </c>
      <c r="CUF18" t="s">
        <v>2818</v>
      </c>
      <c r="CUG18" t="s">
        <v>2819</v>
      </c>
      <c r="CUH18" t="s">
        <v>2820</v>
      </c>
      <c r="CUI18" t="s">
        <v>2821</v>
      </c>
      <c r="CUJ18" t="s">
        <v>2822</v>
      </c>
      <c r="CUK18" t="s">
        <v>2823</v>
      </c>
      <c r="CUL18" t="s">
        <v>2824</v>
      </c>
      <c r="CUM18" t="s">
        <v>2825</v>
      </c>
      <c r="CUN18" t="s">
        <v>2826</v>
      </c>
      <c r="CUO18" t="s">
        <v>2827</v>
      </c>
      <c r="CUP18" t="s">
        <v>2828</v>
      </c>
      <c r="CUQ18" t="s">
        <v>2829</v>
      </c>
      <c r="CUR18" t="s">
        <v>2830</v>
      </c>
      <c r="CUS18" t="s">
        <v>2831</v>
      </c>
      <c r="CUT18" t="s">
        <v>2832</v>
      </c>
      <c r="CUU18" t="s">
        <v>2833</v>
      </c>
      <c r="CUV18" t="s">
        <v>2834</v>
      </c>
      <c r="CUW18" t="s">
        <v>2835</v>
      </c>
      <c r="CUX18" t="s">
        <v>2836</v>
      </c>
      <c r="CUY18" t="s">
        <v>2837</v>
      </c>
      <c r="CUZ18" t="s">
        <v>2838</v>
      </c>
      <c r="CVA18" t="s">
        <v>2839</v>
      </c>
      <c r="CVB18" t="s">
        <v>2840</v>
      </c>
      <c r="CVC18" t="s">
        <v>2841</v>
      </c>
      <c r="CVD18" t="s">
        <v>2842</v>
      </c>
      <c r="CVE18" t="s">
        <v>2843</v>
      </c>
      <c r="CVF18" t="s">
        <v>2844</v>
      </c>
      <c r="CVG18" t="s">
        <v>2845</v>
      </c>
      <c r="CVH18" t="s">
        <v>2846</v>
      </c>
      <c r="CVI18" t="s">
        <v>2847</v>
      </c>
      <c r="CVJ18" t="s">
        <v>2848</v>
      </c>
      <c r="CVK18" t="s">
        <v>2849</v>
      </c>
      <c r="CVL18" t="s">
        <v>2850</v>
      </c>
      <c r="CVM18" t="s">
        <v>2851</v>
      </c>
      <c r="CVN18" t="s">
        <v>2852</v>
      </c>
      <c r="CVO18" t="s">
        <v>2853</v>
      </c>
      <c r="CVP18" t="s">
        <v>2854</v>
      </c>
      <c r="CVQ18" t="s">
        <v>2855</v>
      </c>
      <c r="CVR18" t="s">
        <v>2856</v>
      </c>
      <c r="CVS18" t="s">
        <v>2857</v>
      </c>
      <c r="CVT18" t="s">
        <v>2858</v>
      </c>
      <c r="CVU18" t="s">
        <v>2859</v>
      </c>
      <c r="CVV18" t="s">
        <v>2860</v>
      </c>
      <c r="CVW18" t="s">
        <v>2861</v>
      </c>
      <c r="CVX18" t="s">
        <v>2862</v>
      </c>
      <c r="CVY18" t="s">
        <v>2863</v>
      </c>
      <c r="CVZ18" t="s">
        <v>2864</v>
      </c>
      <c r="CWA18" t="s">
        <v>2865</v>
      </c>
      <c r="CWB18" t="s">
        <v>2866</v>
      </c>
      <c r="CWC18" t="s">
        <v>2867</v>
      </c>
      <c r="CWD18" t="s">
        <v>2868</v>
      </c>
      <c r="CWE18" t="s">
        <v>2869</v>
      </c>
      <c r="CWF18" t="s">
        <v>2870</v>
      </c>
      <c r="CWG18" t="s">
        <v>2871</v>
      </c>
      <c r="CWH18" t="s">
        <v>2872</v>
      </c>
      <c r="CWI18" t="s">
        <v>2873</v>
      </c>
      <c r="CWJ18" t="s">
        <v>2874</v>
      </c>
      <c r="CWK18" t="s">
        <v>2875</v>
      </c>
      <c r="CWL18" t="s">
        <v>2876</v>
      </c>
      <c r="CWM18" t="s">
        <v>2877</v>
      </c>
      <c r="CWN18" t="s">
        <v>2878</v>
      </c>
      <c r="CWO18" t="s">
        <v>2879</v>
      </c>
      <c r="CWP18" t="s">
        <v>2880</v>
      </c>
      <c r="CWQ18" t="s">
        <v>2881</v>
      </c>
      <c r="CWR18" t="s">
        <v>2882</v>
      </c>
      <c r="CWS18" t="s">
        <v>2883</v>
      </c>
      <c r="CWT18" t="s">
        <v>2884</v>
      </c>
      <c r="CWU18" t="s">
        <v>2885</v>
      </c>
      <c r="CWV18" t="s">
        <v>2886</v>
      </c>
      <c r="CWW18" t="s">
        <v>2887</v>
      </c>
      <c r="CWX18" t="s">
        <v>2888</v>
      </c>
      <c r="CWY18" t="s">
        <v>2889</v>
      </c>
      <c r="CWZ18" t="s">
        <v>2890</v>
      </c>
      <c r="CXA18" t="s">
        <v>2891</v>
      </c>
      <c r="CXB18" t="s">
        <v>2892</v>
      </c>
      <c r="CXC18" t="s">
        <v>2893</v>
      </c>
      <c r="CXD18" t="s">
        <v>2894</v>
      </c>
      <c r="CXE18" t="s">
        <v>2895</v>
      </c>
      <c r="CXF18" t="s">
        <v>2896</v>
      </c>
      <c r="CXG18" t="s">
        <v>2897</v>
      </c>
      <c r="CXH18" t="s">
        <v>2898</v>
      </c>
      <c r="CXI18" t="s">
        <v>2899</v>
      </c>
      <c r="CXJ18" t="s">
        <v>2900</v>
      </c>
      <c r="CXK18" t="s">
        <v>2901</v>
      </c>
      <c r="CXL18" t="s">
        <v>2902</v>
      </c>
      <c r="CXM18" t="s">
        <v>2903</v>
      </c>
      <c r="CXN18" t="s">
        <v>2904</v>
      </c>
      <c r="CXO18" t="s">
        <v>2905</v>
      </c>
      <c r="CXP18" t="s">
        <v>2906</v>
      </c>
      <c r="CXQ18" t="s">
        <v>2907</v>
      </c>
      <c r="CXR18" t="s">
        <v>2908</v>
      </c>
      <c r="CXS18" t="s">
        <v>2909</v>
      </c>
      <c r="CXT18" t="s">
        <v>2910</v>
      </c>
      <c r="CXU18" t="s">
        <v>2911</v>
      </c>
      <c r="CXV18" t="s">
        <v>2912</v>
      </c>
      <c r="CXW18" t="s">
        <v>2913</v>
      </c>
      <c r="CXX18" t="s">
        <v>2914</v>
      </c>
      <c r="CXY18" t="s">
        <v>2915</v>
      </c>
      <c r="CXZ18" t="s">
        <v>2916</v>
      </c>
      <c r="CYA18" t="s">
        <v>2917</v>
      </c>
      <c r="CYB18" t="s">
        <v>2918</v>
      </c>
      <c r="CYC18" t="s">
        <v>2919</v>
      </c>
      <c r="CYD18" t="s">
        <v>2920</v>
      </c>
      <c r="CYE18" t="s">
        <v>2921</v>
      </c>
      <c r="CYF18" t="s">
        <v>2922</v>
      </c>
      <c r="CYG18" t="s">
        <v>2923</v>
      </c>
      <c r="CYH18" t="s">
        <v>2924</v>
      </c>
      <c r="CYI18" t="s">
        <v>2925</v>
      </c>
      <c r="CYJ18" t="s">
        <v>2926</v>
      </c>
      <c r="CYK18" t="s">
        <v>2927</v>
      </c>
      <c r="CYL18" t="s">
        <v>2928</v>
      </c>
      <c r="CYM18" t="s">
        <v>2929</v>
      </c>
      <c r="CYN18" t="s">
        <v>2930</v>
      </c>
      <c r="CYO18" t="s">
        <v>2931</v>
      </c>
      <c r="CYP18" t="s">
        <v>2932</v>
      </c>
      <c r="CYQ18" t="s">
        <v>2933</v>
      </c>
      <c r="CYR18" t="s">
        <v>2934</v>
      </c>
      <c r="CYS18" t="s">
        <v>2935</v>
      </c>
      <c r="CYT18" t="s">
        <v>2936</v>
      </c>
      <c r="CYU18" t="s">
        <v>2937</v>
      </c>
      <c r="CYV18" t="s">
        <v>2938</v>
      </c>
      <c r="CYW18" t="s">
        <v>2939</v>
      </c>
      <c r="CYX18" t="s">
        <v>2940</v>
      </c>
      <c r="CYY18" t="s">
        <v>2941</v>
      </c>
      <c r="CYZ18" t="s">
        <v>2942</v>
      </c>
      <c r="CZA18" t="s">
        <v>2943</v>
      </c>
      <c r="CZB18" t="s">
        <v>2944</v>
      </c>
      <c r="CZC18" t="s">
        <v>2945</v>
      </c>
      <c r="CZD18" t="s">
        <v>2946</v>
      </c>
      <c r="CZE18" t="s">
        <v>2947</v>
      </c>
      <c r="CZF18" t="s">
        <v>2948</v>
      </c>
      <c r="CZG18" t="s">
        <v>2949</v>
      </c>
      <c r="CZH18" t="s">
        <v>2950</v>
      </c>
      <c r="CZI18" t="s">
        <v>2951</v>
      </c>
      <c r="CZJ18" t="s">
        <v>2952</v>
      </c>
      <c r="CZK18" t="s">
        <v>2953</v>
      </c>
      <c r="CZL18" t="s">
        <v>2954</v>
      </c>
      <c r="CZM18" t="s">
        <v>2955</v>
      </c>
      <c r="CZN18" t="s">
        <v>2956</v>
      </c>
      <c r="CZO18" t="s">
        <v>2957</v>
      </c>
      <c r="CZP18" t="s">
        <v>2958</v>
      </c>
      <c r="CZQ18" t="s">
        <v>2959</v>
      </c>
      <c r="CZR18" t="s">
        <v>2960</v>
      </c>
      <c r="CZS18" t="s">
        <v>2961</v>
      </c>
      <c r="CZT18" t="s">
        <v>2962</v>
      </c>
      <c r="CZU18" t="s">
        <v>2963</v>
      </c>
      <c r="CZV18" t="s">
        <v>2964</v>
      </c>
      <c r="CZW18" t="s">
        <v>2965</v>
      </c>
      <c r="CZX18" t="s">
        <v>2966</v>
      </c>
      <c r="CZY18" t="s">
        <v>2967</v>
      </c>
      <c r="CZZ18" t="s">
        <v>2968</v>
      </c>
      <c r="DAA18" t="s">
        <v>2969</v>
      </c>
      <c r="DAB18" t="s">
        <v>2970</v>
      </c>
      <c r="DAC18" t="s">
        <v>2971</v>
      </c>
      <c r="DAD18" t="s">
        <v>2972</v>
      </c>
      <c r="DAE18" t="s">
        <v>2973</v>
      </c>
      <c r="DAF18" t="s">
        <v>2974</v>
      </c>
      <c r="DAG18" t="s">
        <v>2975</v>
      </c>
      <c r="DAH18" t="s">
        <v>2976</v>
      </c>
      <c r="DAI18" t="s">
        <v>2977</v>
      </c>
      <c r="DAJ18" t="s">
        <v>2978</v>
      </c>
      <c r="DAK18" t="s">
        <v>2979</v>
      </c>
      <c r="DAL18" t="s">
        <v>2980</v>
      </c>
      <c r="DAM18" t="s">
        <v>2981</v>
      </c>
      <c r="DAN18" t="s">
        <v>2982</v>
      </c>
      <c r="DAO18" t="s">
        <v>2983</v>
      </c>
      <c r="DAP18" t="s">
        <v>2984</v>
      </c>
      <c r="DAQ18" t="s">
        <v>2985</v>
      </c>
      <c r="DAR18" t="s">
        <v>2986</v>
      </c>
      <c r="DAS18" t="s">
        <v>2987</v>
      </c>
      <c r="DAT18" t="s">
        <v>2988</v>
      </c>
      <c r="DAU18" t="s">
        <v>2989</v>
      </c>
      <c r="DAV18" t="s">
        <v>2990</v>
      </c>
      <c r="DAW18" t="s">
        <v>2991</v>
      </c>
      <c r="DAX18" t="s">
        <v>2992</v>
      </c>
      <c r="DAY18" t="s">
        <v>2993</v>
      </c>
      <c r="DAZ18" t="s">
        <v>2994</v>
      </c>
      <c r="DBA18" t="s">
        <v>2995</v>
      </c>
      <c r="DBB18" t="s">
        <v>2996</v>
      </c>
      <c r="DBC18" t="s">
        <v>2997</v>
      </c>
      <c r="DBD18" t="s">
        <v>2998</v>
      </c>
      <c r="DBE18" t="s">
        <v>2999</v>
      </c>
      <c r="DBF18" t="s">
        <v>3000</v>
      </c>
      <c r="DBG18" t="s">
        <v>3001</v>
      </c>
      <c r="DBH18" t="s">
        <v>3002</v>
      </c>
      <c r="DBI18" t="s">
        <v>3003</v>
      </c>
      <c r="DBJ18" t="s">
        <v>3004</v>
      </c>
      <c r="DBK18" t="s">
        <v>3005</v>
      </c>
      <c r="DBL18" t="s">
        <v>3006</v>
      </c>
      <c r="DBM18" t="s">
        <v>3007</v>
      </c>
      <c r="DBN18" t="s">
        <v>3008</v>
      </c>
      <c r="DBO18" t="s">
        <v>3009</v>
      </c>
      <c r="DBP18" t="s">
        <v>3010</v>
      </c>
      <c r="DBQ18" t="s">
        <v>3011</v>
      </c>
      <c r="DBR18" t="s">
        <v>3012</v>
      </c>
      <c r="DBS18" t="s">
        <v>3013</v>
      </c>
      <c r="DBT18" t="s">
        <v>3014</v>
      </c>
      <c r="DBU18" t="s">
        <v>3015</v>
      </c>
      <c r="DBV18" t="s">
        <v>3016</v>
      </c>
      <c r="DBW18" t="s">
        <v>3017</v>
      </c>
      <c r="DBX18" t="s">
        <v>3018</v>
      </c>
      <c r="DBY18" t="s">
        <v>3019</v>
      </c>
      <c r="DBZ18" t="s">
        <v>3020</v>
      </c>
      <c r="DCA18" t="s">
        <v>3021</v>
      </c>
      <c r="DCB18" t="s">
        <v>3022</v>
      </c>
      <c r="DCC18" t="s">
        <v>3023</v>
      </c>
      <c r="DCD18" t="s">
        <v>3024</v>
      </c>
      <c r="DCE18" t="s">
        <v>3025</v>
      </c>
      <c r="DCF18" t="s">
        <v>3026</v>
      </c>
      <c r="DCG18" t="s">
        <v>3027</v>
      </c>
      <c r="DCH18" t="s">
        <v>3028</v>
      </c>
      <c r="DCI18" t="s">
        <v>3029</v>
      </c>
      <c r="DCJ18" t="s">
        <v>3030</v>
      </c>
      <c r="DCK18" t="s">
        <v>3031</v>
      </c>
      <c r="DCL18" t="s">
        <v>3032</v>
      </c>
      <c r="DCM18" t="s">
        <v>3033</v>
      </c>
      <c r="DCN18" t="s">
        <v>3034</v>
      </c>
      <c r="DCO18" t="s">
        <v>3035</v>
      </c>
      <c r="DCP18" t="s">
        <v>3036</v>
      </c>
      <c r="DCQ18" t="s">
        <v>3037</v>
      </c>
      <c r="DCR18" t="s">
        <v>3038</v>
      </c>
      <c r="DCS18" t="s">
        <v>3039</v>
      </c>
      <c r="DCT18" t="s">
        <v>3040</v>
      </c>
      <c r="DCU18" t="s">
        <v>3041</v>
      </c>
      <c r="DCV18" t="s">
        <v>3042</v>
      </c>
      <c r="DCW18" t="s">
        <v>3043</v>
      </c>
      <c r="DCX18" t="s">
        <v>3044</v>
      </c>
      <c r="DCY18" t="s">
        <v>3045</v>
      </c>
      <c r="DCZ18" t="s">
        <v>3046</v>
      </c>
      <c r="DDA18" t="s">
        <v>3047</v>
      </c>
      <c r="DDB18" t="s">
        <v>3048</v>
      </c>
      <c r="DDC18" t="s">
        <v>3049</v>
      </c>
      <c r="DDD18" t="s">
        <v>3050</v>
      </c>
      <c r="DDE18" t="s">
        <v>3051</v>
      </c>
      <c r="DDF18" t="s">
        <v>3052</v>
      </c>
      <c r="DDG18" t="s">
        <v>3053</v>
      </c>
      <c r="DDH18" t="s">
        <v>3054</v>
      </c>
      <c r="DDI18" t="s">
        <v>3055</v>
      </c>
      <c r="DDJ18" t="s">
        <v>3056</v>
      </c>
      <c r="DDK18" t="s">
        <v>3057</v>
      </c>
      <c r="DDL18" t="s">
        <v>3058</v>
      </c>
      <c r="DDM18" t="s">
        <v>3059</v>
      </c>
      <c r="DDN18" t="s">
        <v>3060</v>
      </c>
      <c r="DDO18" t="s">
        <v>3061</v>
      </c>
      <c r="DDP18" t="s">
        <v>3062</v>
      </c>
      <c r="DDQ18" t="s">
        <v>3063</v>
      </c>
      <c r="DDR18" t="s">
        <v>3064</v>
      </c>
      <c r="DDS18" t="s">
        <v>3065</v>
      </c>
      <c r="DDT18" t="s">
        <v>3066</v>
      </c>
      <c r="DDU18" t="s">
        <v>3067</v>
      </c>
      <c r="DDV18" t="s">
        <v>3068</v>
      </c>
      <c r="DDW18" t="s">
        <v>3069</v>
      </c>
      <c r="DDX18" t="s">
        <v>3070</v>
      </c>
      <c r="DDY18" t="s">
        <v>3071</v>
      </c>
      <c r="DDZ18" t="s">
        <v>3072</v>
      </c>
      <c r="DEA18" t="s">
        <v>3073</v>
      </c>
      <c r="DEB18" t="s">
        <v>3074</v>
      </c>
      <c r="DEC18" t="s">
        <v>3075</v>
      </c>
      <c r="DED18" t="s">
        <v>3076</v>
      </c>
      <c r="DEE18" t="s">
        <v>3077</v>
      </c>
      <c r="DEF18" t="s">
        <v>3078</v>
      </c>
      <c r="DEG18" t="s">
        <v>3079</v>
      </c>
      <c r="DEH18" t="s">
        <v>3080</v>
      </c>
      <c r="DEI18" t="s">
        <v>3081</v>
      </c>
      <c r="DEJ18" t="s">
        <v>3082</v>
      </c>
      <c r="DEK18" t="s">
        <v>3083</v>
      </c>
      <c r="DEL18" t="s">
        <v>3084</v>
      </c>
      <c r="DEM18" t="s">
        <v>3085</v>
      </c>
      <c r="DEN18" t="s">
        <v>3086</v>
      </c>
      <c r="DEO18" t="s">
        <v>3087</v>
      </c>
      <c r="DEP18" t="s">
        <v>3088</v>
      </c>
      <c r="DEQ18" t="s">
        <v>3089</v>
      </c>
      <c r="DER18" t="s">
        <v>3090</v>
      </c>
      <c r="DES18" t="s">
        <v>3091</v>
      </c>
      <c r="DET18" t="s">
        <v>3092</v>
      </c>
      <c r="DEU18" t="s">
        <v>3093</v>
      </c>
      <c r="DEV18" t="s">
        <v>3094</v>
      </c>
      <c r="DEW18" t="s">
        <v>3095</v>
      </c>
      <c r="DEX18" t="s">
        <v>3096</v>
      </c>
      <c r="DEY18" t="s">
        <v>3097</v>
      </c>
      <c r="DEZ18" t="s">
        <v>3098</v>
      </c>
      <c r="DFA18" t="s">
        <v>3099</v>
      </c>
      <c r="DFB18" t="s">
        <v>3100</v>
      </c>
      <c r="DFC18" t="s">
        <v>3101</v>
      </c>
      <c r="DFD18" t="s">
        <v>3102</v>
      </c>
      <c r="DFE18" t="s">
        <v>3103</v>
      </c>
      <c r="DFF18" t="s">
        <v>3104</v>
      </c>
      <c r="DFG18" t="s">
        <v>3105</v>
      </c>
      <c r="DFH18" t="s">
        <v>3106</v>
      </c>
      <c r="DFI18" t="s">
        <v>3107</v>
      </c>
      <c r="DFJ18" t="s">
        <v>3108</v>
      </c>
      <c r="DFK18" t="s">
        <v>3109</v>
      </c>
      <c r="DFL18" t="s">
        <v>3110</v>
      </c>
      <c r="DFM18" t="s">
        <v>3111</v>
      </c>
      <c r="DFN18" t="s">
        <v>3112</v>
      </c>
      <c r="DFO18" t="s">
        <v>3113</v>
      </c>
      <c r="DFP18" t="s">
        <v>3114</v>
      </c>
      <c r="DFQ18" t="s">
        <v>3115</v>
      </c>
      <c r="DFR18" t="s">
        <v>3116</v>
      </c>
      <c r="DFS18" t="s">
        <v>3117</v>
      </c>
      <c r="DFT18" t="s">
        <v>3118</v>
      </c>
      <c r="DFU18" t="s">
        <v>3119</v>
      </c>
      <c r="DFV18" t="s">
        <v>3120</v>
      </c>
      <c r="DFW18" t="s">
        <v>3121</v>
      </c>
      <c r="DFX18" t="s">
        <v>3122</v>
      </c>
      <c r="DFY18" t="s">
        <v>3123</v>
      </c>
      <c r="DFZ18" t="s">
        <v>3124</v>
      </c>
      <c r="DGA18" t="s">
        <v>3125</v>
      </c>
      <c r="DGB18" t="s">
        <v>3126</v>
      </c>
      <c r="DGC18" t="s">
        <v>3127</v>
      </c>
      <c r="DGD18" t="s">
        <v>3128</v>
      </c>
      <c r="DGE18" t="s">
        <v>3129</v>
      </c>
      <c r="DGF18" t="s">
        <v>3130</v>
      </c>
      <c r="DGG18" t="s">
        <v>3131</v>
      </c>
      <c r="DGH18" t="s">
        <v>3132</v>
      </c>
      <c r="DGI18" t="s">
        <v>3133</v>
      </c>
      <c r="DGJ18" t="s">
        <v>3134</v>
      </c>
      <c r="DGK18" t="s">
        <v>3135</v>
      </c>
      <c r="DGL18" t="s">
        <v>3136</v>
      </c>
      <c r="DGM18" t="s">
        <v>3137</v>
      </c>
      <c r="DGN18" t="s">
        <v>3138</v>
      </c>
      <c r="DGO18" t="s">
        <v>3139</v>
      </c>
      <c r="DGP18" t="s">
        <v>3140</v>
      </c>
      <c r="DGQ18" t="s">
        <v>3141</v>
      </c>
      <c r="DGR18" t="s">
        <v>3142</v>
      </c>
      <c r="DGS18" t="s">
        <v>3143</v>
      </c>
      <c r="DGT18" t="s">
        <v>3144</v>
      </c>
      <c r="DGU18" t="s">
        <v>3145</v>
      </c>
      <c r="DGV18" t="s">
        <v>3146</v>
      </c>
      <c r="DGW18" t="s">
        <v>3147</v>
      </c>
      <c r="DGX18" t="s">
        <v>3148</v>
      </c>
      <c r="DGY18" t="s">
        <v>3149</v>
      </c>
      <c r="DGZ18" t="s">
        <v>3150</v>
      </c>
      <c r="DHA18" t="s">
        <v>3151</v>
      </c>
      <c r="DHB18" t="s">
        <v>3152</v>
      </c>
      <c r="DHC18" t="s">
        <v>3153</v>
      </c>
      <c r="DHD18" t="s">
        <v>3154</v>
      </c>
      <c r="DHE18" t="s">
        <v>3155</v>
      </c>
      <c r="DHF18" t="s">
        <v>3156</v>
      </c>
      <c r="DHG18" t="s">
        <v>3157</v>
      </c>
      <c r="DHH18" t="s">
        <v>3158</v>
      </c>
      <c r="DHI18" t="s">
        <v>3159</v>
      </c>
      <c r="DHJ18" t="s">
        <v>3160</v>
      </c>
      <c r="DHK18" t="s">
        <v>3161</v>
      </c>
      <c r="DHL18" t="s">
        <v>3162</v>
      </c>
      <c r="DHM18" t="s">
        <v>3163</v>
      </c>
      <c r="DHN18" t="s">
        <v>3164</v>
      </c>
      <c r="DHO18" t="s">
        <v>3165</v>
      </c>
      <c r="DHP18" t="s">
        <v>3166</v>
      </c>
      <c r="DHQ18" t="s">
        <v>3167</v>
      </c>
      <c r="DHR18" t="s">
        <v>3168</v>
      </c>
      <c r="DHS18" t="s">
        <v>3169</v>
      </c>
      <c r="DHT18" t="s">
        <v>3170</v>
      </c>
      <c r="DHU18" t="s">
        <v>3171</v>
      </c>
      <c r="DHV18" t="s">
        <v>3172</v>
      </c>
      <c r="DHW18" t="s">
        <v>3173</v>
      </c>
      <c r="DHX18" t="s">
        <v>3174</v>
      </c>
      <c r="DHY18" t="s">
        <v>3175</v>
      </c>
      <c r="DHZ18" t="s">
        <v>3176</v>
      </c>
      <c r="DIA18" t="s">
        <v>3177</v>
      </c>
      <c r="DIB18" t="s">
        <v>3178</v>
      </c>
      <c r="DIC18" t="s">
        <v>3179</v>
      </c>
      <c r="DID18" t="s">
        <v>3180</v>
      </c>
      <c r="DIE18" t="s">
        <v>3181</v>
      </c>
      <c r="DIF18" t="s">
        <v>3182</v>
      </c>
      <c r="DIG18" t="s">
        <v>3183</v>
      </c>
      <c r="DIH18" t="s">
        <v>3184</v>
      </c>
      <c r="DII18" t="s">
        <v>3185</v>
      </c>
      <c r="DIJ18" t="s">
        <v>3186</v>
      </c>
      <c r="DIK18" t="s">
        <v>3187</v>
      </c>
      <c r="DIL18" t="s">
        <v>3188</v>
      </c>
      <c r="DIM18" t="s">
        <v>3189</v>
      </c>
      <c r="DIN18" t="s">
        <v>3190</v>
      </c>
      <c r="DIO18" t="s">
        <v>3191</v>
      </c>
      <c r="DIP18" t="s">
        <v>3192</v>
      </c>
      <c r="DIQ18" t="s">
        <v>3193</v>
      </c>
      <c r="DIR18" t="s">
        <v>3194</v>
      </c>
      <c r="DIS18" t="s">
        <v>3195</v>
      </c>
      <c r="DIT18" t="s">
        <v>3196</v>
      </c>
      <c r="DIU18" t="s">
        <v>3197</v>
      </c>
      <c r="DIV18" t="s">
        <v>3198</v>
      </c>
      <c r="DIW18" t="s">
        <v>3199</v>
      </c>
      <c r="DIX18" t="s">
        <v>3200</v>
      </c>
      <c r="DIY18" t="s">
        <v>3201</v>
      </c>
      <c r="DIZ18" t="s">
        <v>3202</v>
      </c>
      <c r="DJA18" t="s">
        <v>3203</v>
      </c>
      <c r="DJB18" t="s">
        <v>3204</v>
      </c>
      <c r="DJC18" t="s">
        <v>3205</v>
      </c>
      <c r="DJD18" t="s">
        <v>3206</v>
      </c>
      <c r="DJE18" t="s">
        <v>3207</v>
      </c>
      <c r="DJF18" t="s">
        <v>3208</v>
      </c>
      <c r="DJG18" t="s">
        <v>3209</v>
      </c>
      <c r="DJH18" t="s">
        <v>3210</v>
      </c>
      <c r="DJI18" t="s">
        <v>3211</v>
      </c>
      <c r="DJJ18" t="s">
        <v>3212</v>
      </c>
      <c r="DJK18" t="s">
        <v>3213</v>
      </c>
      <c r="DJL18" t="s">
        <v>3214</v>
      </c>
      <c r="DJM18" t="s">
        <v>3215</v>
      </c>
      <c r="DJN18" t="s">
        <v>3216</v>
      </c>
      <c r="DJO18" t="s">
        <v>3217</v>
      </c>
      <c r="DJP18" t="s">
        <v>3218</v>
      </c>
      <c r="DJQ18" t="s">
        <v>3219</v>
      </c>
      <c r="DJR18" t="s">
        <v>3220</v>
      </c>
      <c r="DJS18" t="s">
        <v>3221</v>
      </c>
      <c r="DJT18" t="s">
        <v>3222</v>
      </c>
      <c r="DJU18" t="s">
        <v>3223</v>
      </c>
      <c r="DJV18" t="s">
        <v>3224</v>
      </c>
      <c r="DJW18" t="s">
        <v>3225</v>
      </c>
      <c r="DJX18" t="s">
        <v>3226</v>
      </c>
      <c r="DJY18" t="s">
        <v>3227</v>
      </c>
      <c r="DJZ18" t="s">
        <v>3228</v>
      </c>
      <c r="DKA18" t="s">
        <v>3229</v>
      </c>
      <c r="DKB18" t="s">
        <v>3230</v>
      </c>
      <c r="DKC18" t="s">
        <v>3231</v>
      </c>
      <c r="DKD18" t="s">
        <v>3232</v>
      </c>
      <c r="DKE18" t="s">
        <v>3233</v>
      </c>
      <c r="DKF18" t="s">
        <v>3234</v>
      </c>
      <c r="DKG18" t="s">
        <v>3235</v>
      </c>
      <c r="DKH18" t="s">
        <v>3236</v>
      </c>
      <c r="DKI18" t="s">
        <v>3237</v>
      </c>
      <c r="DKJ18" t="s">
        <v>3238</v>
      </c>
      <c r="DKK18" t="s">
        <v>3239</v>
      </c>
      <c r="DKL18" t="s">
        <v>3240</v>
      </c>
      <c r="DKM18" t="s">
        <v>3241</v>
      </c>
      <c r="DKN18" t="s">
        <v>3242</v>
      </c>
      <c r="DKO18" t="s">
        <v>3243</v>
      </c>
      <c r="DKP18" t="s">
        <v>3244</v>
      </c>
      <c r="DKQ18" t="s">
        <v>3245</v>
      </c>
      <c r="DKR18" t="s">
        <v>3246</v>
      </c>
      <c r="DKS18" t="s">
        <v>3247</v>
      </c>
      <c r="DKT18" t="s">
        <v>3248</v>
      </c>
      <c r="DKU18" t="s">
        <v>3249</v>
      </c>
      <c r="DKV18" t="s">
        <v>3250</v>
      </c>
      <c r="DKW18" t="s">
        <v>3251</v>
      </c>
      <c r="DKX18" t="s">
        <v>3252</v>
      </c>
      <c r="DKY18" t="s">
        <v>3253</v>
      </c>
      <c r="DKZ18" t="s">
        <v>3254</v>
      </c>
      <c r="DLA18" t="s">
        <v>3255</v>
      </c>
      <c r="DLB18" t="s">
        <v>3256</v>
      </c>
      <c r="DLC18" t="s">
        <v>3257</v>
      </c>
      <c r="DLD18" t="s">
        <v>3258</v>
      </c>
      <c r="DLE18" t="s">
        <v>3259</v>
      </c>
      <c r="DLF18" t="s">
        <v>3260</v>
      </c>
      <c r="DLG18" t="s">
        <v>3261</v>
      </c>
      <c r="DLH18" t="s">
        <v>3262</v>
      </c>
      <c r="DLI18" t="s">
        <v>3263</v>
      </c>
      <c r="DLJ18" t="s">
        <v>3264</v>
      </c>
      <c r="DLK18" t="s">
        <v>3265</v>
      </c>
      <c r="DLL18" t="s">
        <v>3266</v>
      </c>
      <c r="DLM18" t="s">
        <v>3267</v>
      </c>
      <c r="DLN18" t="s">
        <v>3268</v>
      </c>
      <c r="DLO18" t="s">
        <v>3269</v>
      </c>
      <c r="DLP18" t="s">
        <v>3270</v>
      </c>
      <c r="DLQ18" t="s">
        <v>3271</v>
      </c>
      <c r="DLR18" t="s">
        <v>3272</v>
      </c>
      <c r="DLS18" t="s">
        <v>3273</v>
      </c>
      <c r="DLT18" t="s">
        <v>3274</v>
      </c>
      <c r="DLU18" t="s">
        <v>3275</v>
      </c>
      <c r="DLV18" t="s">
        <v>3276</v>
      </c>
      <c r="DLW18" t="s">
        <v>3277</v>
      </c>
      <c r="DLX18" t="s">
        <v>3278</v>
      </c>
      <c r="DLY18" t="s">
        <v>3279</v>
      </c>
      <c r="DLZ18" t="s">
        <v>3280</v>
      </c>
      <c r="DMA18" t="s">
        <v>3281</v>
      </c>
      <c r="DMB18" t="s">
        <v>3282</v>
      </c>
      <c r="DMC18" t="s">
        <v>3283</v>
      </c>
      <c r="DMD18" t="s">
        <v>3284</v>
      </c>
      <c r="DME18" t="s">
        <v>3285</v>
      </c>
      <c r="DMF18" t="s">
        <v>3286</v>
      </c>
      <c r="DMG18" t="s">
        <v>3287</v>
      </c>
      <c r="DMH18" t="s">
        <v>3288</v>
      </c>
      <c r="DMI18" t="s">
        <v>3289</v>
      </c>
      <c r="DMJ18" t="s">
        <v>3290</v>
      </c>
      <c r="DMK18" t="s">
        <v>3291</v>
      </c>
      <c r="DML18" t="s">
        <v>3292</v>
      </c>
      <c r="DMM18" t="s">
        <v>3293</v>
      </c>
      <c r="DMN18" t="s">
        <v>3294</v>
      </c>
      <c r="DMO18" t="s">
        <v>3295</v>
      </c>
      <c r="DMP18" t="s">
        <v>3296</v>
      </c>
      <c r="DMQ18" t="s">
        <v>3297</v>
      </c>
      <c r="DMR18" t="s">
        <v>3298</v>
      </c>
      <c r="DMS18" t="s">
        <v>3299</v>
      </c>
      <c r="DMT18" t="s">
        <v>3300</v>
      </c>
      <c r="DMU18" t="s">
        <v>3301</v>
      </c>
      <c r="DMV18" t="s">
        <v>3302</v>
      </c>
      <c r="DMW18" t="s">
        <v>3303</v>
      </c>
      <c r="DMX18" t="s">
        <v>3304</v>
      </c>
      <c r="DMY18" t="s">
        <v>3305</v>
      </c>
      <c r="DMZ18" t="s">
        <v>3306</v>
      </c>
      <c r="DNA18" t="s">
        <v>3307</v>
      </c>
      <c r="DNB18" t="s">
        <v>3308</v>
      </c>
      <c r="DNC18" t="s">
        <v>3309</v>
      </c>
      <c r="DND18" t="s">
        <v>3310</v>
      </c>
      <c r="DNE18" t="s">
        <v>3311</v>
      </c>
      <c r="DNF18" t="s">
        <v>3312</v>
      </c>
      <c r="DNG18" t="s">
        <v>3313</v>
      </c>
      <c r="DNH18" t="s">
        <v>3314</v>
      </c>
      <c r="DNI18" t="s">
        <v>3315</v>
      </c>
      <c r="DNJ18" t="s">
        <v>3316</v>
      </c>
      <c r="DNK18" t="s">
        <v>3317</v>
      </c>
      <c r="DNL18" t="s">
        <v>3318</v>
      </c>
      <c r="DNM18" t="s">
        <v>3319</v>
      </c>
      <c r="DNN18" t="s">
        <v>3320</v>
      </c>
      <c r="DNO18" t="s">
        <v>3321</v>
      </c>
      <c r="DNP18" t="s">
        <v>3322</v>
      </c>
      <c r="DNQ18" t="s">
        <v>3323</v>
      </c>
      <c r="DNR18" t="s">
        <v>3324</v>
      </c>
      <c r="DNS18" t="s">
        <v>3325</v>
      </c>
      <c r="DNT18" t="s">
        <v>3326</v>
      </c>
      <c r="DNU18" t="s">
        <v>3327</v>
      </c>
      <c r="DNV18" t="s">
        <v>3328</v>
      </c>
      <c r="DNW18" t="s">
        <v>3329</v>
      </c>
      <c r="DNX18" t="s">
        <v>3330</v>
      </c>
      <c r="DNY18" t="s">
        <v>3331</v>
      </c>
      <c r="DNZ18" t="s">
        <v>3332</v>
      </c>
      <c r="DOA18" t="s">
        <v>3333</v>
      </c>
      <c r="DOB18" t="s">
        <v>3334</v>
      </c>
      <c r="DOC18" t="s">
        <v>3335</v>
      </c>
      <c r="DOD18" t="s">
        <v>3336</v>
      </c>
      <c r="DOE18" t="s">
        <v>3337</v>
      </c>
      <c r="DOF18" t="s">
        <v>3338</v>
      </c>
      <c r="DOG18" t="s">
        <v>3339</v>
      </c>
      <c r="DOH18" t="s">
        <v>3340</v>
      </c>
      <c r="DOI18" t="s">
        <v>3341</v>
      </c>
      <c r="DOJ18" t="s">
        <v>3342</v>
      </c>
      <c r="DOK18" t="s">
        <v>3343</v>
      </c>
      <c r="DOL18" t="s">
        <v>3344</v>
      </c>
      <c r="DOM18" t="s">
        <v>3345</v>
      </c>
      <c r="DON18" t="s">
        <v>3346</v>
      </c>
      <c r="DOO18" t="s">
        <v>3347</v>
      </c>
      <c r="DOP18" t="s">
        <v>3348</v>
      </c>
      <c r="DOQ18" t="s">
        <v>3349</v>
      </c>
      <c r="DOR18" t="s">
        <v>3350</v>
      </c>
      <c r="DOS18" t="s">
        <v>3351</v>
      </c>
      <c r="DOT18" t="s">
        <v>3352</v>
      </c>
      <c r="DOU18" t="s">
        <v>3353</v>
      </c>
      <c r="DOV18" t="s">
        <v>3354</v>
      </c>
      <c r="DOW18" t="s">
        <v>3355</v>
      </c>
      <c r="DOX18" t="s">
        <v>3356</v>
      </c>
      <c r="DOY18" t="s">
        <v>3357</v>
      </c>
      <c r="DOZ18" t="s">
        <v>3358</v>
      </c>
      <c r="DPA18" t="s">
        <v>3359</v>
      </c>
      <c r="DPB18" t="s">
        <v>3360</v>
      </c>
      <c r="DPC18" t="s">
        <v>3361</v>
      </c>
      <c r="DPD18" t="s">
        <v>3362</v>
      </c>
      <c r="DPE18" t="s">
        <v>3363</v>
      </c>
      <c r="DPF18" t="s">
        <v>3364</v>
      </c>
      <c r="DPG18" t="s">
        <v>3365</v>
      </c>
      <c r="DPH18" t="s">
        <v>3366</v>
      </c>
      <c r="DPI18" t="s">
        <v>3367</v>
      </c>
      <c r="DPJ18" t="s">
        <v>3368</v>
      </c>
      <c r="DPK18" t="s">
        <v>3369</v>
      </c>
      <c r="DPL18" t="s">
        <v>3370</v>
      </c>
      <c r="DPM18" t="s">
        <v>3371</v>
      </c>
      <c r="DPN18" t="s">
        <v>3372</v>
      </c>
      <c r="DPO18" t="s">
        <v>3373</v>
      </c>
      <c r="DPP18" t="s">
        <v>3374</v>
      </c>
      <c r="DPQ18" t="s">
        <v>3375</v>
      </c>
      <c r="DPR18" t="s">
        <v>3376</v>
      </c>
      <c r="DPS18" t="s">
        <v>3377</v>
      </c>
      <c r="DPT18" t="s">
        <v>3378</v>
      </c>
      <c r="DPU18" t="s">
        <v>3379</v>
      </c>
      <c r="DPV18" t="s">
        <v>3380</v>
      </c>
      <c r="DPW18" t="s">
        <v>3381</v>
      </c>
      <c r="DPX18" t="s">
        <v>3382</v>
      </c>
      <c r="DPY18" t="s">
        <v>3383</v>
      </c>
      <c r="DPZ18" t="s">
        <v>3384</v>
      </c>
      <c r="DQA18" t="s">
        <v>3385</v>
      </c>
      <c r="DQB18" t="s">
        <v>3386</v>
      </c>
      <c r="DQC18" t="s">
        <v>3387</v>
      </c>
      <c r="DQD18" t="s">
        <v>3388</v>
      </c>
      <c r="DQE18" t="s">
        <v>3389</v>
      </c>
      <c r="DQF18" t="s">
        <v>3390</v>
      </c>
      <c r="DQG18" t="s">
        <v>3391</v>
      </c>
      <c r="DQH18" t="s">
        <v>3392</v>
      </c>
      <c r="DQI18" t="s">
        <v>3393</v>
      </c>
      <c r="DQJ18" t="s">
        <v>3394</v>
      </c>
      <c r="DQK18" t="s">
        <v>3395</v>
      </c>
      <c r="DQL18" t="s">
        <v>3396</v>
      </c>
      <c r="DQM18" t="s">
        <v>3397</v>
      </c>
      <c r="DQN18" t="s">
        <v>3398</v>
      </c>
      <c r="DQO18" t="s">
        <v>3399</v>
      </c>
      <c r="DQP18" t="s">
        <v>3400</v>
      </c>
      <c r="DQQ18" t="s">
        <v>3401</v>
      </c>
      <c r="DQR18" t="s">
        <v>3402</v>
      </c>
      <c r="DQS18" t="s">
        <v>3403</v>
      </c>
      <c r="DQT18" t="s">
        <v>3404</v>
      </c>
      <c r="DQU18" t="s">
        <v>3405</v>
      </c>
      <c r="DQV18" t="s">
        <v>3406</v>
      </c>
      <c r="DQW18" t="s">
        <v>3407</v>
      </c>
      <c r="DQX18" t="s">
        <v>3408</v>
      </c>
      <c r="DQY18" t="s">
        <v>3409</v>
      </c>
      <c r="DQZ18" t="s">
        <v>3410</v>
      </c>
      <c r="DRA18" t="s">
        <v>3411</v>
      </c>
      <c r="DRB18" t="s">
        <v>3412</v>
      </c>
      <c r="DRC18" t="s">
        <v>3413</v>
      </c>
      <c r="DRD18" t="s">
        <v>3414</v>
      </c>
      <c r="DRE18" t="s">
        <v>3415</v>
      </c>
      <c r="DRF18" t="s">
        <v>3416</v>
      </c>
      <c r="DRG18" t="s">
        <v>3417</v>
      </c>
      <c r="DRH18" t="s">
        <v>3418</v>
      </c>
      <c r="DRI18" t="s">
        <v>3419</v>
      </c>
      <c r="DRJ18" t="s">
        <v>3420</v>
      </c>
      <c r="DRK18" t="s">
        <v>3421</v>
      </c>
      <c r="DRL18" t="s">
        <v>3422</v>
      </c>
      <c r="DRM18" t="s">
        <v>3423</v>
      </c>
      <c r="DRN18" t="s">
        <v>3424</v>
      </c>
      <c r="DRO18" t="s">
        <v>3425</v>
      </c>
      <c r="DRP18" t="s">
        <v>3426</v>
      </c>
      <c r="DRQ18" t="s">
        <v>3427</v>
      </c>
      <c r="DRR18" t="s">
        <v>3428</v>
      </c>
      <c r="DRS18" t="s">
        <v>3429</v>
      </c>
      <c r="DRT18" t="s">
        <v>3430</v>
      </c>
      <c r="DRU18" t="s">
        <v>3431</v>
      </c>
      <c r="DRV18" t="s">
        <v>3432</v>
      </c>
      <c r="DRW18" t="s">
        <v>3433</v>
      </c>
      <c r="DRX18" t="s">
        <v>3434</v>
      </c>
      <c r="DRY18" t="s">
        <v>3435</v>
      </c>
      <c r="DRZ18" t="s">
        <v>3436</v>
      </c>
      <c r="DSA18" t="s">
        <v>3437</v>
      </c>
      <c r="DSB18" t="s">
        <v>3438</v>
      </c>
      <c r="DSC18" t="s">
        <v>3439</v>
      </c>
      <c r="DSD18" t="s">
        <v>3440</v>
      </c>
      <c r="DSE18" t="s">
        <v>3441</v>
      </c>
      <c r="DSF18" t="s">
        <v>3442</v>
      </c>
      <c r="DSG18" t="s">
        <v>3443</v>
      </c>
      <c r="DSH18" t="s">
        <v>3444</v>
      </c>
      <c r="DSI18" t="s">
        <v>3445</v>
      </c>
      <c r="DSJ18" t="s">
        <v>3446</v>
      </c>
      <c r="DSK18" t="s">
        <v>3447</v>
      </c>
      <c r="DSL18" t="s">
        <v>3448</v>
      </c>
      <c r="DSM18" t="s">
        <v>3449</v>
      </c>
      <c r="DSN18" t="s">
        <v>3450</v>
      </c>
      <c r="DSO18" t="s">
        <v>3451</v>
      </c>
      <c r="DSP18" t="s">
        <v>3452</v>
      </c>
      <c r="DSQ18" t="s">
        <v>3453</v>
      </c>
      <c r="DSR18" t="s">
        <v>3454</v>
      </c>
      <c r="DSS18" t="s">
        <v>3455</v>
      </c>
      <c r="DST18" t="s">
        <v>3456</v>
      </c>
      <c r="DSU18" t="s">
        <v>3457</v>
      </c>
      <c r="DSV18" t="s">
        <v>3458</v>
      </c>
      <c r="DSW18" t="s">
        <v>3459</v>
      </c>
      <c r="DSX18" t="s">
        <v>3460</v>
      </c>
      <c r="DSY18" t="s">
        <v>3461</v>
      </c>
      <c r="DSZ18" t="s">
        <v>3462</v>
      </c>
      <c r="DTA18" t="s">
        <v>3463</v>
      </c>
      <c r="DTB18" t="s">
        <v>3464</v>
      </c>
      <c r="DTC18" t="s">
        <v>3465</v>
      </c>
      <c r="DTD18" t="s">
        <v>3466</v>
      </c>
      <c r="DTE18" t="s">
        <v>3467</v>
      </c>
      <c r="DTF18" t="s">
        <v>3468</v>
      </c>
      <c r="DTG18" t="s">
        <v>3469</v>
      </c>
      <c r="DTH18" t="s">
        <v>3470</v>
      </c>
      <c r="DTI18" t="s">
        <v>3471</v>
      </c>
      <c r="DTJ18" t="s">
        <v>3472</v>
      </c>
      <c r="DTK18" t="s">
        <v>3473</v>
      </c>
      <c r="DTL18" t="s">
        <v>3474</v>
      </c>
      <c r="DTM18" t="s">
        <v>3475</v>
      </c>
      <c r="DTN18" t="s">
        <v>3476</v>
      </c>
      <c r="DTO18" t="s">
        <v>3477</v>
      </c>
      <c r="DTP18" t="s">
        <v>3478</v>
      </c>
      <c r="DTQ18" t="s">
        <v>3479</v>
      </c>
      <c r="DTR18" t="s">
        <v>3480</v>
      </c>
      <c r="DTS18" t="s">
        <v>3481</v>
      </c>
      <c r="DTT18" t="s">
        <v>3482</v>
      </c>
      <c r="DTU18" t="s">
        <v>3483</v>
      </c>
      <c r="DTV18" t="s">
        <v>3484</v>
      </c>
      <c r="DTW18" t="s">
        <v>3485</v>
      </c>
      <c r="DTX18" t="s">
        <v>3486</v>
      </c>
      <c r="DTY18" t="s">
        <v>3487</v>
      </c>
      <c r="DTZ18" t="s">
        <v>3488</v>
      </c>
      <c r="DUA18" t="s">
        <v>3489</v>
      </c>
      <c r="DUB18" t="s">
        <v>3490</v>
      </c>
      <c r="DUC18" t="s">
        <v>3491</v>
      </c>
      <c r="DUD18" t="s">
        <v>3492</v>
      </c>
      <c r="DUE18" t="s">
        <v>3493</v>
      </c>
      <c r="DUF18" t="s">
        <v>3494</v>
      </c>
      <c r="DUG18" t="s">
        <v>3495</v>
      </c>
      <c r="DUH18" t="s">
        <v>3496</v>
      </c>
      <c r="DUI18" t="s">
        <v>3497</v>
      </c>
      <c r="DUJ18" t="s">
        <v>3498</v>
      </c>
      <c r="DUK18" t="s">
        <v>3499</v>
      </c>
      <c r="DUL18" t="s">
        <v>3500</v>
      </c>
      <c r="DUM18" t="s">
        <v>3501</v>
      </c>
      <c r="DUN18" t="s">
        <v>3502</v>
      </c>
      <c r="DUO18" t="s">
        <v>3503</v>
      </c>
      <c r="DUP18" t="s">
        <v>3504</v>
      </c>
      <c r="DUQ18" t="s">
        <v>3505</v>
      </c>
      <c r="DUR18" t="s">
        <v>3506</v>
      </c>
      <c r="DUS18" t="s">
        <v>3507</v>
      </c>
      <c r="DUT18" t="s">
        <v>3508</v>
      </c>
      <c r="DUU18" t="s">
        <v>3509</v>
      </c>
      <c r="DUV18" t="s">
        <v>3510</v>
      </c>
      <c r="DUW18" t="s">
        <v>3511</v>
      </c>
      <c r="DUX18" t="s">
        <v>3512</v>
      </c>
      <c r="DUY18" t="s">
        <v>3513</v>
      </c>
      <c r="DUZ18" t="s">
        <v>3514</v>
      </c>
      <c r="DVA18" t="s">
        <v>3515</v>
      </c>
      <c r="DVB18" t="s">
        <v>3516</v>
      </c>
      <c r="DVC18" t="s">
        <v>3517</v>
      </c>
      <c r="DVD18" t="s">
        <v>3518</v>
      </c>
      <c r="DVE18" t="s">
        <v>3519</v>
      </c>
      <c r="DVF18" t="s">
        <v>3520</v>
      </c>
      <c r="DVG18" t="s">
        <v>3521</v>
      </c>
      <c r="DVH18" t="s">
        <v>3522</v>
      </c>
      <c r="DVI18" t="s">
        <v>3523</v>
      </c>
      <c r="DVJ18" t="s">
        <v>3524</v>
      </c>
      <c r="DVK18" t="s">
        <v>3525</v>
      </c>
      <c r="DVL18" t="s">
        <v>3526</v>
      </c>
      <c r="DVM18" t="s">
        <v>3527</v>
      </c>
      <c r="DVN18" t="s">
        <v>3528</v>
      </c>
      <c r="DVO18" t="s">
        <v>3529</v>
      </c>
      <c r="DVP18" t="s">
        <v>3530</v>
      </c>
      <c r="DVQ18" t="s">
        <v>3531</v>
      </c>
      <c r="DVR18" t="s">
        <v>3532</v>
      </c>
      <c r="DVS18" t="s">
        <v>3533</v>
      </c>
      <c r="DVT18" t="s">
        <v>3534</v>
      </c>
      <c r="DVU18" t="s">
        <v>3535</v>
      </c>
      <c r="DVV18" t="s">
        <v>3536</v>
      </c>
      <c r="DVW18" t="s">
        <v>3537</v>
      </c>
      <c r="DVX18" t="s">
        <v>3538</v>
      </c>
      <c r="DVY18" t="s">
        <v>3539</v>
      </c>
      <c r="DVZ18" t="s">
        <v>3540</v>
      </c>
      <c r="DWA18" t="s">
        <v>3541</v>
      </c>
      <c r="DWB18" t="s">
        <v>3542</v>
      </c>
      <c r="DWC18" t="s">
        <v>3543</v>
      </c>
      <c r="DWD18" t="s">
        <v>3544</v>
      </c>
      <c r="DWE18" t="s">
        <v>3545</v>
      </c>
      <c r="DWF18" t="s">
        <v>3546</v>
      </c>
      <c r="DWG18" t="s">
        <v>3547</v>
      </c>
      <c r="DWH18" t="s">
        <v>3548</v>
      </c>
      <c r="DWI18" t="s">
        <v>3549</v>
      </c>
      <c r="DWJ18" t="s">
        <v>3550</v>
      </c>
      <c r="DWK18" t="s">
        <v>3551</v>
      </c>
      <c r="DWL18" t="s">
        <v>3552</v>
      </c>
      <c r="DWM18" t="s">
        <v>3553</v>
      </c>
      <c r="DWN18" t="s">
        <v>3554</v>
      </c>
      <c r="DWO18" t="s">
        <v>3555</v>
      </c>
      <c r="DWP18" t="s">
        <v>3556</v>
      </c>
      <c r="DWQ18" t="s">
        <v>3557</v>
      </c>
      <c r="DWR18" t="s">
        <v>3558</v>
      </c>
      <c r="DWS18" t="s">
        <v>3559</v>
      </c>
      <c r="DWT18" t="s">
        <v>3560</v>
      </c>
      <c r="DWU18" t="s">
        <v>3561</v>
      </c>
      <c r="DWV18" t="s">
        <v>3562</v>
      </c>
      <c r="DWW18" t="s">
        <v>3563</v>
      </c>
      <c r="DWX18" t="s">
        <v>3564</v>
      </c>
      <c r="DWY18" t="s">
        <v>3565</v>
      </c>
      <c r="DWZ18" t="s">
        <v>3566</v>
      </c>
      <c r="DXA18" t="s">
        <v>3567</v>
      </c>
      <c r="DXB18" t="s">
        <v>3568</v>
      </c>
      <c r="DXC18" t="s">
        <v>3569</v>
      </c>
      <c r="DXD18" t="s">
        <v>3570</v>
      </c>
      <c r="DXE18" t="s">
        <v>3571</v>
      </c>
      <c r="DXF18" t="s">
        <v>3572</v>
      </c>
      <c r="DXG18" t="s">
        <v>3573</v>
      </c>
      <c r="DXH18" t="s">
        <v>3574</v>
      </c>
      <c r="DXI18" t="s">
        <v>3575</v>
      </c>
      <c r="DXJ18" t="s">
        <v>3576</v>
      </c>
      <c r="DXK18" t="s">
        <v>3577</v>
      </c>
      <c r="DXL18" t="s">
        <v>3578</v>
      </c>
      <c r="DXM18" t="s">
        <v>3579</v>
      </c>
      <c r="DXN18" t="s">
        <v>3580</v>
      </c>
      <c r="DXO18" t="s">
        <v>3581</v>
      </c>
      <c r="DXP18" t="s">
        <v>3582</v>
      </c>
      <c r="DXQ18" t="s">
        <v>3583</v>
      </c>
      <c r="DXR18" t="s">
        <v>3584</v>
      </c>
      <c r="DXS18" t="s">
        <v>3585</v>
      </c>
      <c r="DXT18" t="s">
        <v>3586</v>
      </c>
      <c r="DXU18" t="s">
        <v>3587</v>
      </c>
      <c r="DXV18" t="s">
        <v>3588</v>
      </c>
      <c r="DXW18" t="s">
        <v>3589</v>
      </c>
      <c r="DXX18" t="s">
        <v>3590</v>
      </c>
      <c r="DXY18" t="s">
        <v>3591</v>
      </c>
      <c r="DXZ18" t="s">
        <v>3592</v>
      </c>
      <c r="DYA18" t="s">
        <v>3593</v>
      </c>
      <c r="DYB18" t="s">
        <v>3594</v>
      </c>
      <c r="DYC18" t="s">
        <v>3595</v>
      </c>
      <c r="DYD18" t="s">
        <v>3596</v>
      </c>
      <c r="DYE18" t="s">
        <v>3597</v>
      </c>
      <c r="DYF18" t="s">
        <v>3598</v>
      </c>
      <c r="DYG18" t="s">
        <v>3599</v>
      </c>
      <c r="DYH18" t="s">
        <v>3600</v>
      </c>
      <c r="DYI18" t="s">
        <v>3601</v>
      </c>
      <c r="DYJ18" t="s">
        <v>3602</v>
      </c>
      <c r="DYK18" t="s">
        <v>3603</v>
      </c>
      <c r="DYL18" t="s">
        <v>3604</v>
      </c>
      <c r="DYM18" t="s">
        <v>3605</v>
      </c>
      <c r="DYN18" t="s">
        <v>3606</v>
      </c>
      <c r="DYO18" t="s">
        <v>3607</v>
      </c>
      <c r="DYP18" t="s">
        <v>3608</v>
      </c>
      <c r="DYQ18" t="s">
        <v>3609</v>
      </c>
      <c r="DYR18" t="s">
        <v>3610</v>
      </c>
      <c r="DYS18" t="s">
        <v>3611</v>
      </c>
      <c r="DYT18" t="s">
        <v>3612</v>
      </c>
      <c r="DYU18" t="s">
        <v>3613</v>
      </c>
      <c r="DYV18" t="s">
        <v>3614</v>
      </c>
      <c r="DYW18" t="s">
        <v>3615</v>
      </c>
      <c r="DYX18" t="s">
        <v>3616</v>
      </c>
      <c r="DYY18" t="s">
        <v>3617</v>
      </c>
      <c r="DYZ18" t="s">
        <v>3618</v>
      </c>
      <c r="DZA18" t="s">
        <v>3619</v>
      </c>
      <c r="DZB18" t="s">
        <v>3620</v>
      </c>
      <c r="DZC18" t="s">
        <v>3621</v>
      </c>
      <c r="DZD18" t="s">
        <v>3622</v>
      </c>
      <c r="DZE18" t="s">
        <v>3623</v>
      </c>
      <c r="DZF18" t="s">
        <v>3624</v>
      </c>
      <c r="DZG18" t="s">
        <v>3625</v>
      </c>
      <c r="DZH18" t="s">
        <v>3626</v>
      </c>
      <c r="DZI18" t="s">
        <v>3627</v>
      </c>
      <c r="DZJ18" t="s">
        <v>3628</v>
      </c>
      <c r="DZK18" t="s">
        <v>3629</v>
      </c>
      <c r="DZL18" t="s">
        <v>3630</v>
      </c>
      <c r="DZM18" t="s">
        <v>3631</v>
      </c>
      <c r="DZN18" t="s">
        <v>3632</v>
      </c>
      <c r="DZO18" t="s">
        <v>3633</v>
      </c>
      <c r="DZP18" t="s">
        <v>3634</v>
      </c>
      <c r="DZQ18" t="s">
        <v>3635</v>
      </c>
      <c r="DZR18" t="s">
        <v>3636</v>
      </c>
      <c r="DZS18" t="s">
        <v>3637</v>
      </c>
      <c r="DZT18" t="s">
        <v>3638</v>
      </c>
      <c r="DZU18" t="s">
        <v>3639</v>
      </c>
      <c r="DZV18" t="s">
        <v>3640</v>
      </c>
      <c r="DZW18" t="s">
        <v>3641</v>
      </c>
      <c r="DZX18" t="s">
        <v>3642</v>
      </c>
      <c r="DZY18" t="s">
        <v>3643</v>
      </c>
      <c r="DZZ18" t="s">
        <v>3644</v>
      </c>
      <c r="EAA18" t="s">
        <v>3645</v>
      </c>
      <c r="EAB18" t="s">
        <v>3646</v>
      </c>
      <c r="EAC18" t="s">
        <v>3647</v>
      </c>
      <c r="EAD18" t="s">
        <v>3648</v>
      </c>
      <c r="EAE18" t="s">
        <v>3649</v>
      </c>
      <c r="EAF18" t="s">
        <v>3650</v>
      </c>
      <c r="EAG18" t="s">
        <v>3651</v>
      </c>
      <c r="EAH18" t="s">
        <v>3652</v>
      </c>
      <c r="EAI18" t="s">
        <v>3653</v>
      </c>
      <c r="EAJ18" t="s">
        <v>3654</v>
      </c>
      <c r="EAK18" t="s">
        <v>3655</v>
      </c>
      <c r="EAL18" t="s">
        <v>3656</v>
      </c>
      <c r="EAM18" t="s">
        <v>3657</v>
      </c>
      <c r="EAN18" t="s">
        <v>3658</v>
      </c>
      <c r="EAO18" t="s">
        <v>3659</v>
      </c>
      <c r="EAP18" t="s">
        <v>3660</v>
      </c>
      <c r="EAQ18" t="s">
        <v>3661</v>
      </c>
      <c r="EAR18" t="s">
        <v>3662</v>
      </c>
      <c r="EAS18" t="s">
        <v>3663</v>
      </c>
      <c r="EAT18" t="s">
        <v>3664</v>
      </c>
      <c r="EAU18" t="s">
        <v>3665</v>
      </c>
      <c r="EAV18" t="s">
        <v>3666</v>
      </c>
      <c r="EAW18" t="s">
        <v>3667</v>
      </c>
      <c r="EAX18" t="s">
        <v>3668</v>
      </c>
      <c r="EAY18" t="s">
        <v>3669</v>
      </c>
      <c r="EAZ18" t="s">
        <v>3670</v>
      </c>
      <c r="EBA18" t="s">
        <v>3671</v>
      </c>
      <c r="EBB18" t="s">
        <v>3672</v>
      </c>
      <c r="EBC18" t="s">
        <v>3673</v>
      </c>
      <c r="EBD18" t="s">
        <v>3674</v>
      </c>
      <c r="EBE18" t="s">
        <v>3675</v>
      </c>
      <c r="EBF18" t="s">
        <v>3676</v>
      </c>
      <c r="EBG18" t="s">
        <v>3677</v>
      </c>
      <c r="EBH18" t="s">
        <v>3678</v>
      </c>
      <c r="EBI18" t="s">
        <v>3679</v>
      </c>
      <c r="EBJ18" t="s">
        <v>3680</v>
      </c>
      <c r="EBK18" t="s">
        <v>3681</v>
      </c>
      <c r="EBL18" t="s">
        <v>3682</v>
      </c>
      <c r="EBM18" t="s">
        <v>3683</v>
      </c>
      <c r="EBN18" t="s">
        <v>3684</v>
      </c>
      <c r="EBO18" t="s">
        <v>3685</v>
      </c>
      <c r="EBP18" t="s">
        <v>3686</v>
      </c>
      <c r="EBQ18" t="s">
        <v>3687</v>
      </c>
      <c r="EBR18" t="s">
        <v>3688</v>
      </c>
      <c r="EBS18" t="s">
        <v>3689</v>
      </c>
      <c r="EBT18" t="s">
        <v>3690</v>
      </c>
      <c r="EBU18" t="s">
        <v>3691</v>
      </c>
      <c r="EBV18" t="s">
        <v>3692</v>
      </c>
      <c r="EBW18" t="s">
        <v>3693</v>
      </c>
      <c r="EBX18" t="s">
        <v>3694</v>
      </c>
      <c r="EBY18" t="s">
        <v>3695</v>
      </c>
      <c r="EBZ18" t="s">
        <v>3696</v>
      </c>
      <c r="ECA18" t="s">
        <v>3697</v>
      </c>
      <c r="ECB18" t="s">
        <v>3698</v>
      </c>
      <c r="ECC18" t="s">
        <v>3699</v>
      </c>
      <c r="ECD18" t="s">
        <v>3700</v>
      </c>
      <c r="ECE18" t="s">
        <v>3701</v>
      </c>
      <c r="ECF18" t="s">
        <v>3702</v>
      </c>
      <c r="ECG18" t="s">
        <v>3703</v>
      </c>
      <c r="ECH18" t="s">
        <v>3704</v>
      </c>
      <c r="ECI18" t="s">
        <v>3705</v>
      </c>
      <c r="ECJ18" t="s">
        <v>3706</v>
      </c>
      <c r="ECK18" t="s">
        <v>3707</v>
      </c>
      <c r="ECL18" t="s">
        <v>3708</v>
      </c>
      <c r="ECM18" t="s">
        <v>3709</v>
      </c>
      <c r="ECN18" t="s">
        <v>3710</v>
      </c>
      <c r="ECO18" t="s">
        <v>3711</v>
      </c>
      <c r="ECP18" t="s">
        <v>3712</v>
      </c>
      <c r="ECQ18" t="s">
        <v>3713</v>
      </c>
      <c r="ECR18" t="s">
        <v>3714</v>
      </c>
      <c r="ECS18" t="s">
        <v>3715</v>
      </c>
      <c r="ECT18" t="s">
        <v>3716</v>
      </c>
      <c r="ECU18" t="s">
        <v>3717</v>
      </c>
      <c r="ECV18" t="s">
        <v>3718</v>
      </c>
      <c r="ECW18" t="s">
        <v>3719</v>
      </c>
      <c r="ECX18" t="s">
        <v>3720</v>
      </c>
      <c r="ECY18" t="s">
        <v>3721</v>
      </c>
      <c r="ECZ18" t="s">
        <v>3722</v>
      </c>
      <c r="EDA18" t="s">
        <v>3723</v>
      </c>
      <c r="EDB18" t="s">
        <v>3724</v>
      </c>
      <c r="EDC18" t="s">
        <v>3725</v>
      </c>
      <c r="EDD18" t="s">
        <v>3726</v>
      </c>
      <c r="EDE18" t="s">
        <v>3727</v>
      </c>
      <c r="EDF18" t="s">
        <v>3728</v>
      </c>
      <c r="EDG18" t="s">
        <v>3729</v>
      </c>
      <c r="EDH18" t="s">
        <v>3730</v>
      </c>
      <c r="EDI18" t="s">
        <v>3731</v>
      </c>
      <c r="EDJ18" t="s">
        <v>3732</v>
      </c>
      <c r="EDK18" t="s">
        <v>3733</v>
      </c>
      <c r="EDL18" t="s">
        <v>3734</v>
      </c>
      <c r="EDM18" t="s">
        <v>3735</v>
      </c>
      <c r="EDN18" t="s">
        <v>3736</v>
      </c>
      <c r="EDO18" t="s">
        <v>3737</v>
      </c>
      <c r="EDP18" t="s">
        <v>3738</v>
      </c>
      <c r="EDQ18" t="s">
        <v>3739</v>
      </c>
      <c r="EDR18" t="s">
        <v>3740</v>
      </c>
      <c r="EDS18" t="s">
        <v>3741</v>
      </c>
      <c r="EDT18" t="s">
        <v>3742</v>
      </c>
      <c r="EDU18" t="s">
        <v>3743</v>
      </c>
      <c r="EDV18" t="s">
        <v>3744</v>
      </c>
      <c r="EDW18" t="s">
        <v>3745</v>
      </c>
      <c r="EDX18" t="s">
        <v>3746</v>
      </c>
      <c r="EDY18" t="s">
        <v>3747</v>
      </c>
      <c r="EDZ18" t="s">
        <v>3748</v>
      </c>
      <c r="EEA18" t="s">
        <v>3749</v>
      </c>
      <c r="EEB18" t="s">
        <v>3750</v>
      </c>
      <c r="EEC18" t="s">
        <v>3751</v>
      </c>
      <c r="EED18" t="s">
        <v>3752</v>
      </c>
      <c r="EEE18" t="s">
        <v>3753</v>
      </c>
      <c r="EEF18" t="s">
        <v>3754</v>
      </c>
      <c r="EEG18" t="s">
        <v>3755</v>
      </c>
      <c r="EEH18" t="s">
        <v>3756</v>
      </c>
      <c r="EEI18" t="s">
        <v>3757</v>
      </c>
      <c r="EEJ18" t="s">
        <v>3758</v>
      </c>
      <c r="EEK18" t="s">
        <v>3759</v>
      </c>
      <c r="EEL18" t="s">
        <v>3760</v>
      </c>
      <c r="EEM18" t="s">
        <v>3761</v>
      </c>
      <c r="EEN18" t="s">
        <v>3762</v>
      </c>
      <c r="EEO18" t="s">
        <v>3763</v>
      </c>
      <c r="EEP18" t="s">
        <v>3764</v>
      </c>
      <c r="EEQ18" t="s">
        <v>3765</v>
      </c>
      <c r="EER18" t="s">
        <v>3766</v>
      </c>
      <c r="EES18" t="s">
        <v>3767</v>
      </c>
      <c r="EET18" t="s">
        <v>3768</v>
      </c>
      <c r="EEU18" t="s">
        <v>3769</v>
      </c>
      <c r="EEV18" t="s">
        <v>3770</v>
      </c>
      <c r="EEW18" t="s">
        <v>3771</v>
      </c>
      <c r="EEX18" t="s">
        <v>3772</v>
      </c>
      <c r="EEY18" t="s">
        <v>3773</v>
      </c>
      <c r="EEZ18" t="s">
        <v>3774</v>
      </c>
      <c r="EFA18" t="s">
        <v>3775</v>
      </c>
      <c r="EFB18" t="s">
        <v>3776</v>
      </c>
      <c r="EFC18" t="s">
        <v>3777</v>
      </c>
      <c r="EFD18" t="s">
        <v>3778</v>
      </c>
      <c r="EFE18" t="s">
        <v>3779</v>
      </c>
      <c r="EFF18" t="s">
        <v>3780</v>
      </c>
      <c r="EFG18" t="s">
        <v>3781</v>
      </c>
      <c r="EFH18" t="s">
        <v>3782</v>
      </c>
      <c r="EFI18" t="s">
        <v>3783</v>
      </c>
      <c r="EFJ18" t="s">
        <v>3784</v>
      </c>
      <c r="EFK18" t="s">
        <v>3785</v>
      </c>
      <c r="EFL18" t="s">
        <v>3786</v>
      </c>
      <c r="EFM18" t="s">
        <v>3787</v>
      </c>
      <c r="EFN18" t="s">
        <v>3788</v>
      </c>
      <c r="EFO18" t="s">
        <v>3789</v>
      </c>
      <c r="EFP18" t="s">
        <v>3790</v>
      </c>
      <c r="EFQ18" t="s">
        <v>3791</v>
      </c>
      <c r="EFR18" t="s">
        <v>3792</v>
      </c>
      <c r="EFS18" t="s">
        <v>3793</v>
      </c>
      <c r="EFT18" t="s">
        <v>3794</v>
      </c>
      <c r="EFU18" t="s">
        <v>3795</v>
      </c>
      <c r="EFV18" t="s">
        <v>3796</v>
      </c>
      <c r="EFW18" t="s">
        <v>3797</v>
      </c>
      <c r="EFX18" t="s">
        <v>3798</v>
      </c>
      <c r="EFY18" t="s">
        <v>3799</v>
      </c>
      <c r="EFZ18" t="s">
        <v>3800</v>
      </c>
      <c r="EGA18" t="s">
        <v>3801</v>
      </c>
      <c r="EGB18" t="s">
        <v>3802</v>
      </c>
      <c r="EGC18" t="s">
        <v>3803</v>
      </c>
      <c r="EGD18" t="s">
        <v>3804</v>
      </c>
      <c r="EGE18" t="s">
        <v>3805</v>
      </c>
      <c r="EGF18" t="s">
        <v>3806</v>
      </c>
      <c r="EGG18" t="s">
        <v>3807</v>
      </c>
      <c r="EGH18" t="s">
        <v>3808</v>
      </c>
      <c r="EGI18" t="s">
        <v>3809</v>
      </c>
      <c r="EGJ18" t="s">
        <v>3810</v>
      </c>
      <c r="EGK18" t="s">
        <v>3811</v>
      </c>
      <c r="EGL18" t="s">
        <v>3812</v>
      </c>
      <c r="EGM18" t="s">
        <v>3813</v>
      </c>
      <c r="EGN18" t="s">
        <v>3814</v>
      </c>
      <c r="EGO18" t="s">
        <v>3815</v>
      </c>
      <c r="EGP18" t="s">
        <v>3816</v>
      </c>
      <c r="EGQ18" t="s">
        <v>3817</v>
      </c>
      <c r="EGR18" t="s">
        <v>3818</v>
      </c>
      <c r="EGS18" t="s">
        <v>3819</v>
      </c>
      <c r="EGT18" t="s">
        <v>3820</v>
      </c>
      <c r="EGU18" t="s">
        <v>3821</v>
      </c>
      <c r="EGV18" t="s">
        <v>3822</v>
      </c>
      <c r="EGW18" t="s">
        <v>3823</v>
      </c>
      <c r="EGX18" t="s">
        <v>3824</v>
      </c>
      <c r="EGY18" t="s">
        <v>3825</v>
      </c>
      <c r="EGZ18" t="s">
        <v>3826</v>
      </c>
      <c r="EHA18" t="s">
        <v>3827</v>
      </c>
      <c r="EHB18" t="s">
        <v>3828</v>
      </c>
      <c r="EHC18" t="s">
        <v>3829</v>
      </c>
      <c r="EHD18" t="s">
        <v>3830</v>
      </c>
      <c r="EHE18" t="s">
        <v>3831</v>
      </c>
      <c r="EHF18" t="s">
        <v>3832</v>
      </c>
      <c r="EHG18" t="s">
        <v>3833</v>
      </c>
      <c r="EHH18" t="s">
        <v>3834</v>
      </c>
      <c r="EHI18" t="s">
        <v>3835</v>
      </c>
      <c r="EHJ18" t="s">
        <v>3836</v>
      </c>
      <c r="EHK18" t="s">
        <v>3837</v>
      </c>
      <c r="EHL18" t="s">
        <v>3838</v>
      </c>
      <c r="EHM18" t="s">
        <v>3839</v>
      </c>
      <c r="EHN18" t="s">
        <v>3840</v>
      </c>
      <c r="EHO18" t="s">
        <v>3841</v>
      </c>
      <c r="EHP18" t="s">
        <v>3842</v>
      </c>
      <c r="EHQ18" t="s">
        <v>3843</v>
      </c>
      <c r="EHR18" t="s">
        <v>3844</v>
      </c>
      <c r="EHS18" t="s">
        <v>3845</v>
      </c>
      <c r="EHT18" t="s">
        <v>3846</v>
      </c>
      <c r="EHU18" t="s">
        <v>3847</v>
      </c>
      <c r="EHV18" t="s">
        <v>3848</v>
      </c>
      <c r="EHW18" t="s">
        <v>3849</v>
      </c>
      <c r="EHX18" t="s">
        <v>3850</v>
      </c>
      <c r="EHY18" t="s">
        <v>3851</v>
      </c>
      <c r="EHZ18" t="s">
        <v>3852</v>
      </c>
      <c r="EIA18" t="s">
        <v>3853</v>
      </c>
      <c r="EIB18" t="s">
        <v>3854</v>
      </c>
      <c r="EIC18" t="s">
        <v>3855</v>
      </c>
      <c r="EID18" t="s">
        <v>3856</v>
      </c>
      <c r="EIE18" t="s">
        <v>3857</v>
      </c>
      <c r="EIF18" t="s">
        <v>3858</v>
      </c>
      <c r="EIG18" t="s">
        <v>3859</v>
      </c>
      <c r="EIH18" t="s">
        <v>3860</v>
      </c>
      <c r="EII18" t="s">
        <v>3861</v>
      </c>
      <c r="EIJ18" t="s">
        <v>3862</v>
      </c>
      <c r="EIK18" t="s">
        <v>3863</v>
      </c>
      <c r="EIL18" t="s">
        <v>3864</v>
      </c>
      <c r="EIM18" t="s">
        <v>3865</v>
      </c>
      <c r="EIN18" t="s">
        <v>3866</v>
      </c>
      <c r="EIO18" t="s">
        <v>3867</v>
      </c>
      <c r="EIP18" t="s">
        <v>3868</v>
      </c>
      <c r="EIQ18" t="s">
        <v>3869</v>
      </c>
      <c r="EIR18" t="s">
        <v>3870</v>
      </c>
      <c r="EIS18" t="s">
        <v>3871</v>
      </c>
      <c r="EIT18" t="s">
        <v>3872</v>
      </c>
      <c r="EIU18" t="s">
        <v>3873</v>
      </c>
      <c r="EIV18" t="s">
        <v>3874</v>
      </c>
      <c r="EIW18" t="s">
        <v>3875</v>
      </c>
      <c r="EIX18" t="s">
        <v>3876</v>
      </c>
      <c r="EIY18" t="s">
        <v>3877</v>
      </c>
      <c r="EIZ18" t="s">
        <v>3878</v>
      </c>
      <c r="EJA18" t="s">
        <v>3879</v>
      </c>
      <c r="EJB18" t="s">
        <v>3880</v>
      </c>
      <c r="EJC18" t="s">
        <v>3881</v>
      </c>
      <c r="EJD18" t="s">
        <v>3882</v>
      </c>
      <c r="EJE18" t="s">
        <v>3883</v>
      </c>
      <c r="EJF18" t="s">
        <v>3884</v>
      </c>
      <c r="EJG18" t="s">
        <v>3885</v>
      </c>
      <c r="EJH18" t="s">
        <v>3886</v>
      </c>
      <c r="EJI18" t="s">
        <v>3887</v>
      </c>
      <c r="EJJ18" t="s">
        <v>3888</v>
      </c>
      <c r="EJK18" t="s">
        <v>3889</v>
      </c>
      <c r="EJL18" t="s">
        <v>3890</v>
      </c>
      <c r="EJM18" t="s">
        <v>3891</v>
      </c>
      <c r="EJN18" t="s">
        <v>3892</v>
      </c>
      <c r="EJO18" t="s">
        <v>3893</v>
      </c>
      <c r="EJP18" t="s">
        <v>3894</v>
      </c>
      <c r="EJQ18" t="s">
        <v>3895</v>
      </c>
      <c r="EJR18" t="s">
        <v>3896</v>
      </c>
      <c r="EJS18" t="s">
        <v>3897</v>
      </c>
      <c r="EJT18" t="s">
        <v>3898</v>
      </c>
      <c r="EJU18" t="s">
        <v>3899</v>
      </c>
      <c r="EJV18" t="s">
        <v>3900</v>
      </c>
      <c r="EJW18" t="s">
        <v>3901</v>
      </c>
      <c r="EJX18" t="s">
        <v>3902</v>
      </c>
      <c r="EJY18" t="s">
        <v>3903</v>
      </c>
      <c r="EJZ18" t="s">
        <v>3904</v>
      </c>
      <c r="EKA18" t="s">
        <v>3905</v>
      </c>
      <c r="EKB18" t="s">
        <v>3906</v>
      </c>
      <c r="EKC18" t="s">
        <v>3907</v>
      </c>
      <c r="EKD18" t="s">
        <v>3908</v>
      </c>
      <c r="EKE18" t="s">
        <v>3909</v>
      </c>
      <c r="EKF18" t="s">
        <v>3910</v>
      </c>
      <c r="EKG18" t="s">
        <v>3911</v>
      </c>
      <c r="EKH18" t="s">
        <v>3912</v>
      </c>
      <c r="EKI18" t="s">
        <v>3913</v>
      </c>
      <c r="EKJ18" t="s">
        <v>3914</v>
      </c>
      <c r="EKK18" t="s">
        <v>3915</v>
      </c>
      <c r="EKL18" t="s">
        <v>3916</v>
      </c>
      <c r="EKM18" t="s">
        <v>3917</v>
      </c>
      <c r="EKN18" t="s">
        <v>3918</v>
      </c>
      <c r="EKO18" t="s">
        <v>3919</v>
      </c>
      <c r="EKP18" t="s">
        <v>3920</v>
      </c>
      <c r="EKQ18" t="s">
        <v>3921</v>
      </c>
      <c r="EKR18" t="s">
        <v>3922</v>
      </c>
      <c r="EKS18" t="s">
        <v>3923</v>
      </c>
      <c r="EKT18" t="s">
        <v>3924</v>
      </c>
      <c r="EKU18" t="s">
        <v>3925</v>
      </c>
      <c r="EKV18" t="s">
        <v>3926</v>
      </c>
      <c r="EKW18" t="s">
        <v>3927</v>
      </c>
      <c r="EKX18" t="s">
        <v>3928</v>
      </c>
      <c r="EKY18" t="s">
        <v>3929</v>
      </c>
      <c r="EKZ18" t="s">
        <v>3930</v>
      </c>
      <c r="ELA18" t="s">
        <v>3931</v>
      </c>
      <c r="ELB18" t="s">
        <v>3932</v>
      </c>
      <c r="ELC18" t="s">
        <v>3933</v>
      </c>
      <c r="ELD18" t="s">
        <v>3934</v>
      </c>
      <c r="ELE18" t="s">
        <v>3935</v>
      </c>
      <c r="ELF18" t="s">
        <v>3936</v>
      </c>
      <c r="ELG18" t="s">
        <v>3937</v>
      </c>
      <c r="ELH18" t="s">
        <v>3938</v>
      </c>
      <c r="ELI18" t="s">
        <v>3939</v>
      </c>
      <c r="ELJ18" t="s">
        <v>3940</v>
      </c>
      <c r="ELK18" t="s">
        <v>3941</v>
      </c>
      <c r="ELL18" t="s">
        <v>3942</v>
      </c>
      <c r="ELM18" t="s">
        <v>3943</v>
      </c>
      <c r="ELN18" t="s">
        <v>3944</v>
      </c>
      <c r="ELO18" t="s">
        <v>3945</v>
      </c>
      <c r="ELP18" t="s">
        <v>3946</v>
      </c>
      <c r="ELQ18" t="s">
        <v>3947</v>
      </c>
      <c r="ELR18" t="s">
        <v>3948</v>
      </c>
      <c r="ELS18" t="s">
        <v>3949</v>
      </c>
      <c r="ELT18" t="s">
        <v>3950</v>
      </c>
      <c r="ELU18" t="s">
        <v>3951</v>
      </c>
      <c r="ELV18" t="s">
        <v>3952</v>
      </c>
      <c r="ELW18" t="s">
        <v>3953</v>
      </c>
      <c r="ELX18" t="s">
        <v>3954</v>
      </c>
      <c r="ELY18" t="s">
        <v>3955</v>
      </c>
      <c r="ELZ18" t="s">
        <v>3956</v>
      </c>
      <c r="EMA18" t="s">
        <v>3957</v>
      </c>
      <c r="EMB18" t="s">
        <v>3958</v>
      </c>
      <c r="EMC18" t="s">
        <v>3959</v>
      </c>
      <c r="EMD18" t="s">
        <v>3960</v>
      </c>
      <c r="EME18" t="s">
        <v>3961</v>
      </c>
      <c r="EMF18" t="s">
        <v>3962</v>
      </c>
      <c r="EMG18" t="s">
        <v>3963</v>
      </c>
      <c r="EMH18" t="s">
        <v>3964</v>
      </c>
      <c r="EMI18" t="s">
        <v>3965</v>
      </c>
      <c r="EMJ18" t="s">
        <v>3966</v>
      </c>
      <c r="EMK18" t="s">
        <v>3967</v>
      </c>
      <c r="EML18" t="s">
        <v>3968</v>
      </c>
      <c r="EMM18" t="s">
        <v>3969</v>
      </c>
      <c r="EMN18" t="s">
        <v>3970</v>
      </c>
      <c r="EMO18" t="s">
        <v>3971</v>
      </c>
      <c r="EMP18" t="s">
        <v>3972</v>
      </c>
      <c r="EMQ18" t="s">
        <v>3973</v>
      </c>
      <c r="EMR18" t="s">
        <v>3974</v>
      </c>
      <c r="EMS18" t="s">
        <v>3975</v>
      </c>
      <c r="EMT18" t="s">
        <v>3976</v>
      </c>
      <c r="EMU18" t="s">
        <v>3977</v>
      </c>
      <c r="EMV18" t="s">
        <v>3978</v>
      </c>
      <c r="EMW18" t="s">
        <v>3979</v>
      </c>
      <c r="EMX18" t="s">
        <v>3980</v>
      </c>
      <c r="EMY18" t="s">
        <v>3981</v>
      </c>
      <c r="EMZ18" t="s">
        <v>3982</v>
      </c>
      <c r="ENA18" t="s">
        <v>3983</v>
      </c>
      <c r="ENB18" t="s">
        <v>3984</v>
      </c>
      <c r="ENC18" t="s">
        <v>3985</v>
      </c>
      <c r="END18" t="s">
        <v>3986</v>
      </c>
      <c r="ENE18" t="s">
        <v>3987</v>
      </c>
      <c r="ENF18" t="s">
        <v>3988</v>
      </c>
      <c r="ENG18" t="s">
        <v>3989</v>
      </c>
      <c r="ENH18" t="s">
        <v>3990</v>
      </c>
      <c r="ENI18" t="s">
        <v>3991</v>
      </c>
      <c r="ENJ18" t="s">
        <v>3992</v>
      </c>
      <c r="ENK18" t="s">
        <v>3993</v>
      </c>
      <c r="ENL18" t="s">
        <v>3994</v>
      </c>
      <c r="ENM18" t="s">
        <v>3995</v>
      </c>
      <c r="ENN18" t="s">
        <v>3996</v>
      </c>
      <c r="ENO18" t="s">
        <v>3997</v>
      </c>
      <c r="ENP18" t="s">
        <v>3998</v>
      </c>
      <c r="ENQ18" t="s">
        <v>3999</v>
      </c>
      <c r="ENR18" t="s">
        <v>4000</v>
      </c>
      <c r="ENS18" t="s">
        <v>4001</v>
      </c>
      <c r="ENT18" t="s">
        <v>4002</v>
      </c>
      <c r="ENU18" t="s">
        <v>4003</v>
      </c>
      <c r="ENV18" t="s">
        <v>4004</v>
      </c>
      <c r="ENW18" t="s">
        <v>4005</v>
      </c>
      <c r="ENX18" t="s">
        <v>4006</v>
      </c>
      <c r="ENY18" t="s">
        <v>4007</v>
      </c>
      <c r="ENZ18" t="s">
        <v>4008</v>
      </c>
      <c r="EOA18" t="s">
        <v>4009</v>
      </c>
      <c r="EOB18" t="s">
        <v>4010</v>
      </c>
      <c r="EOC18" t="s">
        <v>4011</v>
      </c>
      <c r="EOD18" t="s">
        <v>4012</v>
      </c>
      <c r="EOE18" t="s">
        <v>4013</v>
      </c>
      <c r="EOF18" t="s">
        <v>4014</v>
      </c>
      <c r="EOG18" t="s">
        <v>4015</v>
      </c>
      <c r="EOH18" t="s">
        <v>4016</v>
      </c>
      <c r="EOI18" t="s">
        <v>4017</v>
      </c>
      <c r="EOJ18" t="s">
        <v>4018</v>
      </c>
      <c r="EOK18" t="s">
        <v>4019</v>
      </c>
      <c r="EOL18" t="s">
        <v>4020</v>
      </c>
      <c r="EOM18" t="s">
        <v>4021</v>
      </c>
      <c r="EON18" t="s">
        <v>4022</v>
      </c>
      <c r="EOO18" t="s">
        <v>4023</v>
      </c>
      <c r="EOP18" t="s">
        <v>4024</v>
      </c>
      <c r="EOQ18" t="s">
        <v>4025</v>
      </c>
      <c r="EOR18" t="s">
        <v>4026</v>
      </c>
      <c r="EOS18" t="s">
        <v>4027</v>
      </c>
      <c r="EOT18" t="s">
        <v>4028</v>
      </c>
      <c r="EOU18" t="s">
        <v>4029</v>
      </c>
      <c r="EOV18" t="s">
        <v>4030</v>
      </c>
      <c r="EOW18" t="s">
        <v>4031</v>
      </c>
      <c r="EOX18" t="s">
        <v>4032</v>
      </c>
      <c r="EOY18" t="s">
        <v>4033</v>
      </c>
      <c r="EOZ18" t="s">
        <v>4034</v>
      </c>
      <c r="EPA18" t="s">
        <v>4035</v>
      </c>
      <c r="EPB18" t="s">
        <v>4036</v>
      </c>
      <c r="EPC18" t="s">
        <v>4037</v>
      </c>
      <c r="EPD18" t="s">
        <v>4038</v>
      </c>
      <c r="EPE18" t="s">
        <v>4039</v>
      </c>
      <c r="EPF18" t="s">
        <v>4040</v>
      </c>
      <c r="EPG18" t="s">
        <v>4041</v>
      </c>
      <c r="EPH18" t="s">
        <v>4042</v>
      </c>
      <c r="EPI18" t="s">
        <v>4043</v>
      </c>
      <c r="EPJ18" t="s">
        <v>4044</v>
      </c>
      <c r="EPK18" t="s">
        <v>4045</v>
      </c>
      <c r="EPL18" t="s">
        <v>4046</v>
      </c>
      <c r="EPM18" t="s">
        <v>4047</v>
      </c>
      <c r="EPN18" t="s">
        <v>4048</v>
      </c>
      <c r="EPO18" t="s">
        <v>4049</v>
      </c>
      <c r="EPP18" t="s">
        <v>4050</v>
      </c>
      <c r="EPQ18" t="s">
        <v>4051</v>
      </c>
      <c r="EPR18" t="s">
        <v>4052</v>
      </c>
      <c r="EPS18" t="s">
        <v>4053</v>
      </c>
      <c r="EPT18" t="s">
        <v>4054</v>
      </c>
      <c r="EPU18" t="s">
        <v>4055</v>
      </c>
      <c r="EPV18" t="s">
        <v>4056</v>
      </c>
      <c r="EPW18" t="s">
        <v>4057</v>
      </c>
      <c r="EPX18" t="s">
        <v>4058</v>
      </c>
      <c r="EPY18" t="s">
        <v>4059</v>
      </c>
      <c r="EPZ18" t="s">
        <v>4060</v>
      </c>
      <c r="EQA18" t="s">
        <v>4061</v>
      </c>
      <c r="EQB18" t="s">
        <v>4062</v>
      </c>
      <c r="EQC18" t="s">
        <v>4063</v>
      </c>
      <c r="EQD18" t="s">
        <v>4064</v>
      </c>
      <c r="EQE18" t="s">
        <v>4065</v>
      </c>
      <c r="EQF18" t="s">
        <v>4066</v>
      </c>
      <c r="EQG18" t="s">
        <v>4067</v>
      </c>
      <c r="EQH18" t="s">
        <v>4068</v>
      </c>
      <c r="EQI18" t="s">
        <v>4069</v>
      </c>
      <c r="EQJ18" t="s">
        <v>4070</v>
      </c>
      <c r="EQK18" t="s">
        <v>4071</v>
      </c>
      <c r="EQL18" t="s">
        <v>4072</v>
      </c>
      <c r="EQM18" t="s">
        <v>4073</v>
      </c>
      <c r="EQN18" t="s">
        <v>4074</v>
      </c>
      <c r="EQO18" t="s">
        <v>4075</v>
      </c>
      <c r="EQP18" t="s">
        <v>4076</v>
      </c>
      <c r="EQQ18" t="s">
        <v>4077</v>
      </c>
      <c r="EQR18" t="s">
        <v>4078</v>
      </c>
      <c r="EQS18" t="s">
        <v>4079</v>
      </c>
      <c r="EQT18" t="s">
        <v>4080</v>
      </c>
      <c r="EQU18" t="s">
        <v>4081</v>
      </c>
      <c r="EQV18" t="s">
        <v>4082</v>
      </c>
      <c r="EQW18" t="s">
        <v>4083</v>
      </c>
      <c r="EQX18" t="s">
        <v>4084</v>
      </c>
      <c r="EQY18" t="s">
        <v>4085</v>
      </c>
      <c r="EQZ18" t="s">
        <v>4086</v>
      </c>
      <c r="ERA18" t="s">
        <v>4087</v>
      </c>
      <c r="ERB18" t="s">
        <v>4088</v>
      </c>
      <c r="ERC18" t="s">
        <v>4089</v>
      </c>
      <c r="ERD18" t="s">
        <v>4090</v>
      </c>
      <c r="ERE18" t="s">
        <v>4091</v>
      </c>
      <c r="ERF18" t="s">
        <v>4092</v>
      </c>
      <c r="ERG18" t="s">
        <v>4093</v>
      </c>
      <c r="ERH18" t="s">
        <v>4094</v>
      </c>
      <c r="ERI18" t="s">
        <v>4095</v>
      </c>
      <c r="ERJ18" t="s">
        <v>4096</v>
      </c>
      <c r="ERK18" t="s">
        <v>4097</v>
      </c>
      <c r="ERL18" t="s">
        <v>4098</v>
      </c>
      <c r="ERM18" t="s">
        <v>4099</v>
      </c>
      <c r="ERN18" t="s">
        <v>4100</v>
      </c>
      <c r="ERO18" t="s">
        <v>4101</v>
      </c>
      <c r="ERP18" t="s">
        <v>4102</v>
      </c>
      <c r="ERQ18" t="s">
        <v>4103</v>
      </c>
      <c r="ERR18" t="s">
        <v>4104</v>
      </c>
      <c r="ERS18" t="s">
        <v>4105</v>
      </c>
      <c r="ERT18" t="s">
        <v>4106</v>
      </c>
      <c r="ERU18" t="s">
        <v>4107</v>
      </c>
      <c r="ERV18" t="s">
        <v>4108</v>
      </c>
      <c r="ERW18" t="s">
        <v>4109</v>
      </c>
      <c r="ERX18" t="s">
        <v>4110</v>
      </c>
      <c r="ERY18" t="s">
        <v>4111</v>
      </c>
      <c r="ERZ18" t="s">
        <v>4112</v>
      </c>
      <c r="ESA18" t="s">
        <v>4113</v>
      </c>
      <c r="ESB18" t="s">
        <v>4114</v>
      </c>
      <c r="ESC18" t="s">
        <v>4115</v>
      </c>
      <c r="ESD18" t="s">
        <v>4116</v>
      </c>
      <c r="ESE18" t="s">
        <v>4117</v>
      </c>
      <c r="ESF18" t="s">
        <v>4118</v>
      </c>
      <c r="ESG18" t="s">
        <v>4119</v>
      </c>
      <c r="ESH18" t="s">
        <v>4120</v>
      </c>
      <c r="ESI18" t="s">
        <v>4121</v>
      </c>
      <c r="ESJ18" t="s">
        <v>4122</v>
      </c>
      <c r="ESK18" t="s">
        <v>4123</v>
      </c>
      <c r="ESL18" t="s">
        <v>4124</v>
      </c>
      <c r="ESM18" t="s">
        <v>4125</v>
      </c>
      <c r="ESN18" t="s">
        <v>4126</v>
      </c>
      <c r="ESO18" t="s">
        <v>4127</v>
      </c>
      <c r="ESP18" t="s">
        <v>4128</v>
      </c>
      <c r="ESQ18" t="s">
        <v>4129</v>
      </c>
      <c r="ESR18" t="s">
        <v>4130</v>
      </c>
      <c r="ESS18" t="s">
        <v>4131</v>
      </c>
      <c r="EST18" t="s">
        <v>4132</v>
      </c>
      <c r="ESU18" t="s">
        <v>4133</v>
      </c>
      <c r="ESV18" t="s">
        <v>4134</v>
      </c>
      <c r="ESW18" t="s">
        <v>4135</v>
      </c>
      <c r="ESX18" t="s">
        <v>4136</v>
      </c>
      <c r="ESY18" t="s">
        <v>4137</v>
      </c>
      <c r="ESZ18" t="s">
        <v>4138</v>
      </c>
      <c r="ETA18" t="s">
        <v>4139</v>
      </c>
      <c r="ETB18" t="s">
        <v>4140</v>
      </c>
      <c r="ETC18" t="s">
        <v>4141</v>
      </c>
      <c r="ETD18" t="s">
        <v>4142</v>
      </c>
      <c r="ETE18" t="s">
        <v>4143</v>
      </c>
      <c r="ETF18" t="s">
        <v>4144</v>
      </c>
      <c r="ETG18" t="s">
        <v>4145</v>
      </c>
      <c r="ETH18" t="s">
        <v>4146</v>
      </c>
      <c r="ETI18" t="s">
        <v>4147</v>
      </c>
      <c r="ETJ18" t="s">
        <v>4148</v>
      </c>
      <c r="ETK18" t="s">
        <v>4149</v>
      </c>
      <c r="ETL18" t="s">
        <v>4150</v>
      </c>
      <c r="ETM18" t="s">
        <v>4151</v>
      </c>
      <c r="ETN18" t="s">
        <v>4152</v>
      </c>
      <c r="ETO18" t="s">
        <v>4153</v>
      </c>
      <c r="ETP18" t="s">
        <v>4154</v>
      </c>
      <c r="ETQ18" t="s">
        <v>4155</v>
      </c>
      <c r="ETR18" t="s">
        <v>4156</v>
      </c>
      <c r="ETS18" t="s">
        <v>4157</v>
      </c>
      <c r="ETT18" t="s">
        <v>4158</v>
      </c>
      <c r="ETU18" t="s">
        <v>4159</v>
      </c>
      <c r="ETV18" t="s">
        <v>4160</v>
      </c>
      <c r="ETW18" t="s">
        <v>4161</v>
      </c>
      <c r="ETX18" t="s">
        <v>4162</v>
      </c>
      <c r="ETY18" t="s">
        <v>4163</v>
      </c>
      <c r="ETZ18" t="s">
        <v>4164</v>
      </c>
      <c r="EUA18" t="s">
        <v>4165</v>
      </c>
      <c r="EUB18" t="s">
        <v>4166</v>
      </c>
      <c r="EUC18" t="s">
        <v>4167</v>
      </c>
      <c r="EUD18" t="s">
        <v>4168</v>
      </c>
      <c r="EUE18" t="s">
        <v>4169</v>
      </c>
      <c r="EUF18" t="s">
        <v>4170</v>
      </c>
      <c r="EUG18" t="s">
        <v>4171</v>
      </c>
      <c r="EUH18" t="s">
        <v>4172</v>
      </c>
      <c r="EUI18" t="s">
        <v>4173</v>
      </c>
      <c r="EUJ18" t="s">
        <v>4174</v>
      </c>
      <c r="EUK18" t="s">
        <v>4175</v>
      </c>
      <c r="EUL18" t="s">
        <v>4176</v>
      </c>
      <c r="EUM18" t="s">
        <v>4177</v>
      </c>
      <c r="EUN18" t="s">
        <v>4178</v>
      </c>
      <c r="EUO18" t="s">
        <v>4179</v>
      </c>
      <c r="EUP18" t="s">
        <v>4180</v>
      </c>
      <c r="EUQ18" t="s">
        <v>4181</v>
      </c>
      <c r="EUR18" t="s">
        <v>4182</v>
      </c>
      <c r="EUS18" t="s">
        <v>4183</v>
      </c>
      <c r="EUT18" t="s">
        <v>4184</v>
      </c>
      <c r="EUU18" t="s">
        <v>4185</v>
      </c>
      <c r="EUV18" t="s">
        <v>4186</v>
      </c>
      <c r="EUW18" t="s">
        <v>4187</v>
      </c>
      <c r="EUX18" t="s">
        <v>4188</v>
      </c>
      <c r="EUY18" t="s">
        <v>4189</v>
      </c>
      <c r="EUZ18" t="s">
        <v>4190</v>
      </c>
      <c r="EVA18" t="s">
        <v>4191</v>
      </c>
      <c r="EVB18" t="s">
        <v>4192</v>
      </c>
      <c r="EVC18" t="s">
        <v>4193</v>
      </c>
      <c r="EVD18" t="s">
        <v>4194</v>
      </c>
      <c r="EVE18" t="s">
        <v>4195</v>
      </c>
      <c r="EVF18" t="s">
        <v>4196</v>
      </c>
      <c r="EVG18" t="s">
        <v>4197</v>
      </c>
      <c r="EVH18" t="s">
        <v>4198</v>
      </c>
      <c r="EVI18" t="s">
        <v>4199</v>
      </c>
      <c r="EVJ18" t="s">
        <v>4200</v>
      </c>
      <c r="EVK18" t="s">
        <v>4201</v>
      </c>
      <c r="EVL18" t="s">
        <v>4202</v>
      </c>
      <c r="EVM18" t="s">
        <v>4203</v>
      </c>
      <c r="EVN18" t="s">
        <v>4204</v>
      </c>
      <c r="EVO18" t="s">
        <v>4205</v>
      </c>
      <c r="EVP18" t="s">
        <v>4206</v>
      </c>
      <c r="EVQ18" t="s">
        <v>4207</v>
      </c>
      <c r="EVR18" t="s">
        <v>4208</v>
      </c>
      <c r="EVS18" t="s">
        <v>4209</v>
      </c>
      <c r="EVT18" t="s">
        <v>4210</v>
      </c>
      <c r="EVU18" t="s">
        <v>4211</v>
      </c>
      <c r="EVV18" t="s">
        <v>4212</v>
      </c>
      <c r="EVW18" t="s">
        <v>4213</v>
      </c>
      <c r="EVX18" t="s">
        <v>4214</v>
      </c>
      <c r="EVY18" t="s">
        <v>4215</v>
      </c>
      <c r="EVZ18" t="s">
        <v>4216</v>
      </c>
      <c r="EWA18" t="s">
        <v>4217</v>
      </c>
      <c r="EWB18" t="s">
        <v>4218</v>
      </c>
      <c r="EWC18" t="s">
        <v>4219</v>
      </c>
      <c r="EWD18" t="s">
        <v>4220</v>
      </c>
      <c r="EWE18" t="s">
        <v>4221</v>
      </c>
      <c r="EWF18" t="s">
        <v>4222</v>
      </c>
      <c r="EWG18" t="s">
        <v>4223</v>
      </c>
      <c r="EWH18" t="s">
        <v>4224</v>
      </c>
      <c r="EWI18" t="s">
        <v>4225</v>
      </c>
      <c r="EWJ18" t="s">
        <v>4226</v>
      </c>
      <c r="EWK18" t="s">
        <v>4227</v>
      </c>
      <c r="EWL18" t="s">
        <v>4228</v>
      </c>
      <c r="EWM18" t="s">
        <v>4229</v>
      </c>
      <c r="EWN18" t="s">
        <v>4230</v>
      </c>
      <c r="EWO18" t="s">
        <v>4231</v>
      </c>
      <c r="EWP18" t="s">
        <v>4232</v>
      </c>
      <c r="EWQ18" t="s">
        <v>4233</v>
      </c>
      <c r="EWR18" t="s">
        <v>4234</v>
      </c>
      <c r="EWS18" t="s">
        <v>4235</v>
      </c>
      <c r="EWT18" t="s">
        <v>4236</v>
      </c>
      <c r="EWU18" t="s">
        <v>4237</v>
      </c>
      <c r="EWV18" t="s">
        <v>4238</v>
      </c>
      <c r="EWW18" t="s">
        <v>4239</v>
      </c>
      <c r="EWX18" t="s">
        <v>4240</v>
      </c>
      <c r="EWY18" t="s">
        <v>4241</v>
      </c>
      <c r="EWZ18" t="s">
        <v>4242</v>
      </c>
      <c r="EXA18" t="s">
        <v>4243</v>
      </c>
      <c r="EXB18" t="s">
        <v>4244</v>
      </c>
      <c r="EXC18" t="s">
        <v>4245</v>
      </c>
      <c r="EXD18" t="s">
        <v>4246</v>
      </c>
      <c r="EXE18" t="s">
        <v>4247</v>
      </c>
      <c r="EXF18" t="s">
        <v>4248</v>
      </c>
      <c r="EXG18" t="s">
        <v>4249</v>
      </c>
      <c r="EXH18" t="s">
        <v>4250</v>
      </c>
      <c r="EXI18" t="s">
        <v>4251</v>
      </c>
      <c r="EXJ18" t="s">
        <v>4252</v>
      </c>
      <c r="EXK18" t="s">
        <v>4253</v>
      </c>
      <c r="EXL18" t="s">
        <v>4254</v>
      </c>
      <c r="EXM18" t="s">
        <v>4255</v>
      </c>
      <c r="EXN18" t="s">
        <v>4256</v>
      </c>
      <c r="EXO18" t="s">
        <v>4257</v>
      </c>
      <c r="EXP18" t="s">
        <v>4258</v>
      </c>
      <c r="EXQ18" t="s">
        <v>4259</v>
      </c>
      <c r="EXR18" t="s">
        <v>4260</v>
      </c>
      <c r="EXS18" t="s">
        <v>4261</v>
      </c>
      <c r="EXT18" t="s">
        <v>4262</v>
      </c>
      <c r="EXU18" t="s">
        <v>4263</v>
      </c>
      <c r="EXV18" t="s">
        <v>4264</v>
      </c>
      <c r="EXW18" t="s">
        <v>4265</v>
      </c>
      <c r="EXX18" t="s">
        <v>4266</v>
      </c>
      <c r="EXY18" t="s">
        <v>4267</v>
      </c>
      <c r="EXZ18" t="s">
        <v>4268</v>
      </c>
      <c r="EYA18" t="s">
        <v>4269</v>
      </c>
      <c r="EYB18" t="s">
        <v>4270</v>
      </c>
      <c r="EYC18" t="s">
        <v>4271</v>
      </c>
      <c r="EYD18" t="s">
        <v>4272</v>
      </c>
      <c r="EYE18" t="s">
        <v>4273</v>
      </c>
      <c r="EYF18" t="s">
        <v>4274</v>
      </c>
      <c r="EYG18" t="s">
        <v>4275</v>
      </c>
      <c r="EYH18" t="s">
        <v>4276</v>
      </c>
      <c r="EYI18" t="s">
        <v>4277</v>
      </c>
      <c r="EYJ18" t="s">
        <v>4278</v>
      </c>
      <c r="EYK18" t="s">
        <v>4279</v>
      </c>
      <c r="EYL18" t="s">
        <v>4280</v>
      </c>
      <c r="EYM18" t="s">
        <v>4281</v>
      </c>
      <c r="EYN18" t="s">
        <v>4282</v>
      </c>
      <c r="EYO18" t="s">
        <v>4283</v>
      </c>
      <c r="EYP18" t="s">
        <v>4284</v>
      </c>
      <c r="EYQ18" t="s">
        <v>4285</v>
      </c>
      <c r="EYR18" t="s">
        <v>4286</v>
      </c>
      <c r="EYS18" t="s">
        <v>4287</v>
      </c>
      <c r="EYT18" t="s">
        <v>4288</v>
      </c>
      <c r="EYU18" t="s">
        <v>4289</v>
      </c>
      <c r="EYV18" t="s">
        <v>4290</v>
      </c>
      <c r="EYW18" t="s">
        <v>4291</v>
      </c>
      <c r="EYX18" t="s">
        <v>4292</v>
      </c>
      <c r="EYY18" t="s">
        <v>4293</v>
      </c>
      <c r="EYZ18" t="s">
        <v>4294</v>
      </c>
      <c r="EZA18" t="s">
        <v>4295</v>
      </c>
      <c r="EZB18" t="s">
        <v>4296</v>
      </c>
      <c r="EZC18" t="s">
        <v>4297</v>
      </c>
      <c r="EZD18" t="s">
        <v>4298</v>
      </c>
      <c r="EZE18" t="s">
        <v>4299</v>
      </c>
      <c r="EZF18" t="s">
        <v>4300</v>
      </c>
      <c r="EZG18" t="s">
        <v>4301</v>
      </c>
      <c r="EZH18" t="s">
        <v>4302</v>
      </c>
      <c r="EZI18" t="s">
        <v>4303</v>
      </c>
      <c r="EZJ18" t="s">
        <v>4304</v>
      </c>
      <c r="EZK18" t="s">
        <v>4305</v>
      </c>
      <c r="EZL18" t="s">
        <v>4306</v>
      </c>
      <c r="EZM18" t="s">
        <v>4307</v>
      </c>
      <c r="EZN18" t="s">
        <v>4308</v>
      </c>
      <c r="EZO18" t="s">
        <v>4309</v>
      </c>
      <c r="EZP18" t="s">
        <v>4310</v>
      </c>
      <c r="EZQ18" t="s">
        <v>4311</v>
      </c>
      <c r="EZR18" t="s">
        <v>4312</v>
      </c>
      <c r="EZS18" t="s">
        <v>4313</v>
      </c>
      <c r="EZT18" t="s">
        <v>4314</v>
      </c>
      <c r="EZU18" t="s">
        <v>4315</v>
      </c>
      <c r="EZV18" t="s">
        <v>4316</v>
      </c>
      <c r="EZW18" t="s">
        <v>4317</v>
      </c>
      <c r="EZX18" t="s">
        <v>4318</v>
      </c>
      <c r="EZY18" t="s">
        <v>4319</v>
      </c>
      <c r="EZZ18" t="s">
        <v>4320</v>
      </c>
      <c r="FAA18" t="s">
        <v>4321</v>
      </c>
      <c r="FAB18" t="s">
        <v>4322</v>
      </c>
      <c r="FAC18" t="s">
        <v>4323</v>
      </c>
      <c r="FAD18" t="s">
        <v>4324</v>
      </c>
      <c r="FAE18" t="s">
        <v>4325</v>
      </c>
      <c r="FAF18" t="s">
        <v>4326</v>
      </c>
      <c r="FAG18" t="s">
        <v>4327</v>
      </c>
      <c r="FAH18" t="s">
        <v>4328</v>
      </c>
      <c r="FAI18" t="s">
        <v>4329</v>
      </c>
      <c r="FAJ18" t="s">
        <v>4330</v>
      </c>
      <c r="FAK18" t="s">
        <v>4331</v>
      </c>
      <c r="FAL18" t="s">
        <v>4332</v>
      </c>
      <c r="FAM18" t="s">
        <v>4333</v>
      </c>
      <c r="FAN18" t="s">
        <v>4334</v>
      </c>
      <c r="FAO18" t="s">
        <v>4335</v>
      </c>
      <c r="FAP18" t="s">
        <v>4336</v>
      </c>
      <c r="FAQ18" t="s">
        <v>4337</v>
      </c>
      <c r="FAR18" t="s">
        <v>4338</v>
      </c>
      <c r="FAS18" t="s">
        <v>4339</v>
      </c>
      <c r="FAT18" t="s">
        <v>4340</v>
      </c>
      <c r="FAU18" t="s">
        <v>4341</v>
      </c>
      <c r="FAV18" t="s">
        <v>4342</v>
      </c>
      <c r="FAW18" t="s">
        <v>4343</v>
      </c>
      <c r="FAX18" t="s">
        <v>4344</v>
      </c>
      <c r="FAY18" t="s">
        <v>4345</v>
      </c>
      <c r="FAZ18" t="s">
        <v>4346</v>
      </c>
      <c r="FBA18" t="s">
        <v>4347</v>
      </c>
      <c r="FBB18" t="s">
        <v>4348</v>
      </c>
      <c r="FBC18" t="s">
        <v>4349</v>
      </c>
      <c r="FBD18" t="s">
        <v>4350</v>
      </c>
      <c r="FBE18" t="s">
        <v>4351</v>
      </c>
      <c r="FBF18" t="s">
        <v>4352</v>
      </c>
      <c r="FBG18" t="s">
        <v>4353</v>
      </c>
      <c r="FBH18" t="s">
        <v>4354</v>
      </c>
      <c r="FBI18" t="s">
        <v>4355</v>
      </c>
      <c r="FBJ18" t="s">
        <v>4356</v>
      </c>
      <c r="FBK18" t="s">
        <v>4357</v>
      </c>
      <c r="FBL18" t="s">
        <v>4358</v>
      </c>
      <c r="FBM18" t="s">
        <v>4359</v>
      </c>
      <c r="FBN18" t="s">
        <v>4360</v>
      </c>
      <c r="FBO18" t="s">
        <v>4361</v>
      </c>
      <c r="FBP18" t="s">
        <v>4362</v>
      </c>
      <c r="FBQ18" t="s">
        <v>4363</v>
      </c>
      <c r="FBR18" t="s">
        <v>4364</v>
      </c>
      <c r="FBS18" t="s">
        <v>4365</v>
      </c>
      <c r="FBT18" t="s">
        <v>4366</v>
      </c>
      <c r="FBU18" t="s">
        <v>4367</v>
      </c>
      <c r="FBV18" t="s">
        <v>4368</v>
      </c>
      <c r="FBW18" t="s">
        <v>4369</v>
      </c>
      <c r="FBX18" t="s">
        <v>4370</v>
      </c>
      <c r="FBY18" t="s">
        <v>4371</v>
      </c>
      <c r="FBZ18" t="s">
        <v>4372</v>
      </c>
      <c r="FCA18" t="s">
        <v>4373</v>
      </c>
      <c r="FCB18" t="s">
        <v>4374</v>
      </c>
      <c r="FCC18" t="s">
        <v>4375</v>
      </c>
      <c r="FCD18" t="s">
        <v>4376</v>
      </c>
      <c r="FCE18" t="s">
        <v>4377</v>
      </c>
      <c r="FCF18" t="s">
        <v>4378</v>
      </c>
      <c r="FCG18" t="s">
        <v>4379</v>
      </c>
      <c r="FCH18" t="s">
        <v>4380</v>
      </c>
      <c r="FCI18" t="s">
        <v>4381</v>
      </c>
      <c r="FCJ18" t="s">
        <v>4382</v>
      </c>
      <c r="FCK18" t="s">
        <v>4383</v>
      </c>
      <c r="FCL18" t="s">
        <v>4384</v>
      </c>
      <c r="FCM18" t="s">
        <v>4385</v>
      </c>
      <c r="FCN18" t="s">
        <v>4386</v>
      </c>
      <c r="FCO18" t="s">
        <v>4387</v>
      </c>
      <c r="FCP18" t="s">
        <v>4388</v>
      </c>
      <c r="FCQ18" t="s">
        <v>4389</v>
      </c>
      <c r="FCR18" t="s">
        <v>4390</v>
      </c>
      <c r="FCS18" t="s">
        <v>4391</v>
      </c>
      <c r="FCT18" t="s">
        <v>4392</v>
      </c>
      <c r="FCU18" t="s">
        <v>4393</v>
      </c>
      <c r="FCV18" t="s">
        <v>4394</v>
      </c>
      <c r="FCW18" t="s">
        <v>4395</v>
      </c>
      <c r="FCX18" t="s">
        <v>4396</v>
      </c>
      <c r="FCY18" t="s">
        <v>4397</v>
      </c>
      <c r="FCZ18" t="s">
        <v>4398</v>
      </c>
      <c r="FDA18" t="s">
        <v>4399</v>
      </c>
      <c r="FDB18" t="s">
        <v>4400</v>
      </c>
      <c r="FDC18" t="s">
        <v>4401</v>
      </c>
      <c r="FDD18" t="s">
        <v>4402</v>
      </c>
      <c r="FDE18" t="s">
        <v>4403</v>
      </c>
      <c r="FDF18" t="s">
        <v>4404</v>
      </c>
      <c r="FDG18" t="s">
        <v>4405</v>
      </c>
      <c r="FDH18" t="s">
        <v>4406</v>
      </c>
      <c r="FDI18" t="s">
        <v>4407</v>
      </c>
      <c r="FDJ18" t="s">
        <v>4408</v>
      </c>
      <c r="FDK18" t="s">
        <v>4409</v>
      </c>
      <c r="FDL18" t="s">
        <v>4410</v>
      </c>
      <c r="FDM18" t="s">
        <v>4411</v>
      </c>
      <c r="FDN18" t="s">
        <v>4412</v>
      </c>
      <c r="FDO18" t="s">
        <v>4413</v>
      </c>
      <c r="FDP18" t="s">
        <v>4414</v>
      </c>
      <c r="FDQ18" t="s">
        <v>4415</v>
      </c>
      <c r="FDR18" t="s">
        <v>4416</v>
      </c>
      <c r="FDS18" t="s">
        <v>4417</v>
      </c>
      <c r="FDT18" t="s">
        <v>4418</v>
      </c>
      <c r="FDU18" t="s">
        <v>4419</v>
      </c>
      <c r="FDV18" t="s">
        <v>4420</v>
      </c>
      <c r="FDW18" t="s">
        <v>4421</v>
      </c>
      <c r="FDX18" t="s">
        <v>4422</v>
      </c>
      <c r="FDY18" t="s">
        <v>4423</v>
      </c>
      <c r="FDZ18" t="s">
        <v>4424</v>
      </c>
      <c r="FEA18" t="s">
        <v>4425</v>
      </c>
      <c r="FEB18" t="s">
        <v>4426</v>
      </c>
      <c r="FEC18" t="s">
        <v>4427</v>
      </c>
      <c r="FED18" t="s">
        <v>4428</v>
      </c>
      <c r="FEE18" t="s">
        <v>4429</v>
      </c>
      <c r="FEF18" t="s">
        <v>4430</v>
      </c>
      <c r="FEG18" t="s">
        <v>4431</v>
      </c>
      <c r="FEH18" t="s">
        <v>4432</v>
      </c>
      <c r="FEI18" t="s">
        <v>4433</v>
      </c>
      <c r="FEJ18" t="s">
        <v>4434</v>
      </c>
      <c r="FEK18" t="s">
        <v>4435</v>
      </c>
      <c r="FEL18" t="s">
        <v>4436</v>
      </c>
      <c r="FEM18" t="s">
        <v>4437</v>
      </c>
      <c r="FEN18" t="s">
        <v>4438</v>
      </c>
      <c r="FEO18" t="s">
        <v>4439</v>
      </c>
      <c r="FEP18" t="s">
        <v>4440</v>
      </c>
      <c r="FEQ18" t="s">
        <v>4441</v>
      </c>
      <c r="FER18" t="s">
        <v>4442</v>
      </c>
      <c r="FES18" t="s">
        <v>4443</v>
      </c>
      <c r="FET18" t="s">
        <v>4444</v>
      </c>
      <c r="FEU18" t="s">
        <v>4445</v>
      </c>
      <c r="FEV18" t="s">
        <v>4446</v>
      </c>
      <c r="FEW18" t="s">
        <v>4447</v>
      </c>
      <c r="FEX18" t="s">
        <v>4448</v>
      </c>
      <c r="FEY18" t="s">
        <v>4449</v>
      </c>
      <c r="FEZ18" t="s">
        <v>4450</v>
      </c>
      <c r="FFA18" t="s">
        <v>4451</v>
      </c>
      <c r="FFB18" t="s">
        <v>4452</v>
      </c>
      <c r="FFC18" t="s">
        <v>4453</v>
      </c>
      <c r="FFD18" t="s">
        <v>4454</v>
      </c>
      <c r="FFE18" t="s">
        <v>4455</v>
      </c>
      <c r="FFF18" t="s">
        <v>4456</v>
      </c>
      <c r="FFG18" t="s">
        <v>4457</v>
      </c>
      <c r="FFH18" t="s">
        <v>4458</v>
      </c>
      <c r="FFI18" t="s">
        <v>4459</v>
      </c>
      <c r="FFJ18" t="s">
        <v>4460</v>
      </c>
      <c r="FFK18" t="s">
        <v>4461</v>
      </c>
      <c r="FFL18" t="s">
        <v>4462</v>
      </c>
      <c r="FFM18" t="s">
        <v>4463</v>
      </c>
      <c r="FFN18" t="s">
        <v>4464</v>
      </c>
      <c r="FFO18" t="s">
        <v>4465</v>
      </c>
      <c r="FFP18" t="s">
        <v>4466</v>
      </c>
      <c r="FFQ18" t="s">
        <v>4467</v>
      </c>
      <c r="FFR18" t="s">
        <v>4468</v>
      </c>
      <c r="FFS18" t="s">
        <v>4469</v>
      </c>
      <c r="FFT18" t="s">
        <v>4470</v>
      </c>
      <c r="FFU18" t="s">
        <v>4471</v>
      </c>
      <c r="FFV18" t="s">
        <v>4472</v>
      </c>
      <c r="FFW18" t="s">
        <v>4473</v>
      </c>
      <c r="FFX18" t="s">
        <v>4474</v>
      </c>
      <c r="FFY18" t="s">
        <v>4475</v>
      </c>
      <c r="FFZ18" t="s">
        <v>4476</v>
      </c>
      <c r="FGA18" t="s">
        <v>4477</v>
      </c>
      <c r="FGB18" t="s">
        <v>4478</v>
      </c>
      <c r="FGC18" t="s">
        <v>4479</v>
      </c>
      <c r="FGD18" t="s">
        <v>4480</v>
      </c>
      <c r="FGE18" t="s">
        <v>4481</v>
      </c>
      <c r="FGF18" t="s">
        <v>4482</v>
      </c>
      <c r="FGG18" t="s">
        <v>4483</v>
      </c>
      <c r="FGH18" t="s">
        <v>4484</v>
      </c>
      <c r="FGI18" t="s">
        <v>4485</v>
      </c>
      <c r="FGJ18" t="s">
        <v>4486</v>
      </c>
      <c r="FGK18" t="s">
        <v>4487</v>
      </c>
      <c r="FGL18" t="s">
        <v>4488</v>
      </c>
      <c r="FGM18" t="s">
        <v>4489</v>
      </c>
      <c r="FGN18" t="s">
        <v>4490</v>
      </c>
      <c r="FGO18" t="s">
        <v>4491</v>
      </c>
      <c r="FGP18" t="s">
        <v>4492</v>
      </c>
      <c r="FGQ18" t="s">
        <v>4493</v>
      </c>
      <c r="FGR18" t="s">
        <v>4494</v>
      </c>
      <c r="FGS18" t="s">
        <v>4495</v>
      </c>
      <c r="FGT18" t="s">
        <v>4496</v>
      </c>
      <c r="FGU18" t="s">
        <v>4497</v>
      </c>
      <c r="FGV18" t="s">
        <v>4498</v>
      </c>
      <c r="FGW18" t="s">
        <v>4499</v>
      </c>
      <c r="FGX18" t="s">
        <v>4500</v>
      </c>
      <c r="FGY18" t="s">
        <v>4501</v>
      </c>
      <c r="FGZ18" t="s">
        <v>4502</v>
      </c>
      <c r="FHA18" t="s">
        <v>4503</v>
      </c>
      <c r="FHB18" t="s">
        <v>4504</v>
      </c>
      <c r="FHC18" t="s">
        <v>4505</v>
      </c>
      <c r="FHD18" t="s">
        <v>4506</v>
      </c>
      <c r="FHE18" t="s">
        <v>4507</v>
      </c>
      <c r="FHF18" t="s">
        <v>4508</v>
      </c>
      <c r="FHG18" t="s">
        <v>4509</v>
      </c>
      <c r="FHH18" t="s">
        <v>4510</v>
      </c>
      <c r="FHI18" t="s">
        <v>4511</v>
      </c>
      <c r="FHJ18" t="s">
        <v>4512</v>
      </c>
      <c r="FHK18" t="s">
        <v>4513</v>
      </c>
      <c r="FHL18" t="s">
        <v>4514</v>
      </c>
      <c r="FHM18" t="s">
        <v>4515</v>
      </c>
      <c r="FHN18" t="s">
        <v>4516</v>
      </c>
      <c r="FHO18" t="s">
        <v>4517</v>
      </c>
      <c r="FHP18" t="s">
        <v>4518</v>
      </c>
      <c r="FHQ18" t="s">
        <v>4519</v>
      </c>
      <c r="FHR18" t="s">
        <v>4520</v>
      </c>
      <c r="FHS18" t="s">
        <v>4521</v>
      </c>
      <c r="FHT18" t="s">
        <v>4522</v>
      </c>
      <c r="FHU18" t="s">
        <v>4523</v>
      </c>
      <c r="FHV18" t="s">
        <v>4524</v>
      </c>
      <c r="FHW18" t="s">
        <v>4525</v>
      </c>
      <c r="FHX18" t="s">
        <v>4526</v>
      </c>
      <c r="FHY18" t="s">
        <v>4527</v>
      </c>
      <c r="FHZ18" t="s">
        <v>4528</v>
      </c>
      <c r="FIA18" t="s">
        <v>4529</v>
      </c>
      <c r="FIB18" t="s">
        <v>4530</v>
      </c>
      <c r="FIC18" t="s">
        <v>4531</v>
      </c>
      <c r="FID18" t="s">
        <v>4532</v>
      </c>
      <c r="FIE18" t="s">
        <v>4533</v>
      </c>
      <c r="FIF18" t="s">
        <v>4534</v>
      </c>
      <c r="FIG18" t="s">
        <v>4535</v>
      </c>
      <c r="FIH18" t="s">
        <v>4536</v>
      </c>
      <c r="FII18" t="s">
        <v>4537</v>
      </c>
      <c r="FIJ18" t="s">
        <v>4538</v>
      </c>
      <c r="FIK18" t="s">
        <v>4539</v>
      </c>
      <c r="FIL18" t="s">
        <v>4540</v>
      </c>
      <c r="FIM18" t="s">
        <v>4541</v>
      </c>
      <c r="FIN18" t="s">
        <v>4542</v>
      </c>
      <c r="FIO18" t="s">
        <v>4543</v>
      </c>
      <c r="FIP18" t="s">
        <v>4544</v>
      </c>
      <c r="FIQ18" t="s">
        <v>4545</v>
      </c>
      <c r="FIR18" t="s">
        <v>4546</v>
      </c>
      <c r="FIS18" t="s">
        <v>4547</v>
      </c>
      <c r="FIT18" t="s">
        <v>4548</v>
      </c>
      <c r="FIU18" t="s">
        <v>4549</v>
      </c>
      <c r="FIV18" t="s">
        <v>4550</v>
      </c>
      <c r="FIW18" t="s">
        <v>4551</v>
      </c>
      <c r="FIX18" t="s">
        <v>4552</v>
      </c>
      <c r="FIY18" t="s">
        <v>4553</v>
      </c>
      <c r="FIZ18" t="s">
        <v>4554</v>
      </c>
      <c r="FJA18" t="s">
        <v>4555</v>
      </c>
      <c r="FJB18" t="s">
        <v>4556</v>
      </c>
      <c r="FJC18" t="s">
        <v>4557</v>
      </c>
      <c r="FJD18" t="s">
        <v>4558</v>
      </c>
      <c r="FJE18" t="s">
        <v>4559</v>
      </c>
      <c r="FJF18" t="s">
        <v>4560</v>
      </c>
      <c r="FJG18" t="s">
        <v>4561</v>
      </c>
      <c r="FJH18" t="s">
        <v>4562</v>
      </c>
      <c r="FJI18" t="s">
        <v>4563</v>
      </c>
      <c r="FJJ18" t="s">
        <v>4564</v>
      </c>
      <c r="FJK18" t="s">
        <v>4565</v>
      </c>
      <c r="FJL18" t="s">
        <v>4566</v>
      </c>
      <c r="FJM18" t="s">
        <v>4567</v>
      </c>
      <c r="FJN18" t="s">
        <v>4568</v>
      </c>
      <c r="FJO18" t="s">
        <v>4569</v>
      </c>
      <c r="FJP18" t="s">
        <v>4570</v>
      </c>
      <c r="FJQ18" t="s">
        <v>4571</v>
      </c>
      <c r="FJR18" t="s">
        <v>4572</v>
      </c>
      <c r="FJS18" t="s">
        <v>4573</v>
      </c>
      <c r="FJT18" t="s">
        <v>4574</v>
      </c>
      <c r="FJU18" t="s">
        <v>4575</v>
      </c>
      <c r="FJV18" t="s">
        <v>4576</v>
      </c>
      <c r="FJW18" t="s">
        <v>4577</v>
      </c>
      <c r="FJX18" t="s">
        <v>4578</v>
      </c>
      <c r="FJY18" t="s">
        <v>4579</v>
      </c>
      <c r="FJZ18" t="s">
        <v>4580</v>
      </c>
      <c r="FKA18" t="s">
        <v>4581</v>
      </c>
      <c r="FKB18" t="s">
        <v>4582</v>
      </c>
      <c r="FKC18" t="s">
        <v>4583</v>
      </c>
      <c r="FKD18" t="s">
        <v>4584</v>
      </c>
      <c r="FKE18" t="s">
        <v>4585</v>
      </c>
      <c r="FKF18" t="s">
        <v>4586</v>
      </c>
      <c r="FKG18" t="s">
        <v>4587</v>
      </c>
      <c r="FKH18" t="s">
        <v>4588</v>
      </c>
      <c r="FKI18" t="s">
        <v>4589</v>
      </c>
      <c r="FKJ18" t="s">
        <v>4590</v>
      </c>
      <c r="FKK18" t="s">
        <v>4591</v>
      </c>
      <c r="FKL18" t="s">
        <v>4592</v>
      </c>
      <c r="FKM18" t="s">
        <v>4593</v>
      </c>
      <c r="FKN18" t="s">
        <v>4594</v>
      </c>
      <c r="FKO18" t="s">
        <v>4595</v>
      </c>
      <c r="FKP18" t="s">
        <v>4596</v>
      </c>
      <c r="FKQ18" t="s">
        <v>4597</v>
      </c>
      <c r="FKR18" t="s">
        <v>4598</v>
      </c>
      <c r="FKS18" t="s">
        <v>4599</v>
      </c>
      <c r="FKT18" t="s">
        <v>4600</v>
      </c>
      <c r="FKU18" t="s">
        <v>4601</v>
      </c>
      <c r="FKV18" t="s">
        <v>4602</v>
      </c>
      <c r="FKW18" t="s">
        <v>4603</v>
      </c>
      <c r="FKX18" t="s">
        <v>4604</v>
      </c>
      <c r="FKY18" t="s">
        <v>4605</v>
      </c>
      <c r="FKZ18" t="s">
        <v>4606</v>
      </c>
      <c r="FLA18" t="s">
        <v>4607</v>
      </c>
      <c r="FLB18" t="s">
        <v>4608</v>
      </c>
      <c r="FLC18" t="s">
        <v>4609</v>
      </c>
      <c r="FLD18" t="s">
        <v>4610</v>
      </c>
      <c r="FLE18" t="s">
        <v>4611</v>
      </c>
      <c r="FLF18" t="s">
        <v>4612</v>
      </c>
      <c r="FLG18" t="s">
        <v>4613</v>
      </c>
      <c r="FLH18" t="s">
        <v>4614</v>
      </c>
      <c r="FLI18" t="s">
        <v>4615</v>
      </c>
      <c r="FLJ18" t="s">
        <v>4616</v>
      </c>
      <c r="FLK18" t="s">
        <v>4617</v>
      </c>
      <c r="FLL18" t="s">
        <v>4618</v>
      </c>
      <c r="FLM18" t="s">
        <v>4619</v>
      </c>
      <c r="FLN18" t="s">
        <v>4620</v>
      </c>
      <c r="FLO18" t="s">
        <v>4621</v>
      </c>
      <c r="FLP18" t="s">
        <v>4622</v>
      </c>
      <c r="FLQ18" t="s">
        <v>4623</v>
      </c>
      <c r="FLR18" t="s">
        <v>4624</v>
      </c>
      <c r="FLS18" t="s">
        <v>4625</v>
      </c>
      <c r="FLT18" t="s">
        <v>4626</v>
      </c>
      <c r="FLU18" t="s">
        <v>4627</v>
      </c>
      <c r="FLV18" t="s">
        <v>4628</v>
      </c>
      <c r="FLW18" t="s">
        <v>4629</v>
      </c>
      <c r="FLX18" t="s">
        <v>4630</v>
      </c>
      <c r="FLY18" t="s">
        <v>4631</v>
      </c>
      <c r="FLZ18" t="s">
        <v>4632</v>
      </c>
      <c r="FMA18" t="s">
        <v>4633</v>
      </c>
      <c r="FMB18" t="s">
        <v>4634</v>
      </c>
      <c r="FMC18" t="s">
        <v>4635</v>
      </c>
      <c r="FMD18" t="s">
        <v>4636</v>
      </c>
      <c r="FME18" t="s">
        <v>4637</v>
      </c>
      <c r="FMF18" t="s">
        <v>4638</v>
      </c>
      <c r="FMG18" t="s">
        <v>4639</v>
      </c>
      <c r="FMH18" t="s">
        <v>4640</v>
      </c>
      <c r="FMI18" t="s">
        <v>4641</v>
      </c>
      <c r="FMJ18" t="s">
        <v>4642</v>
      </c>
      <c r="FMK18" t="s">
        <v>4643</v>
      </c>
      <c r="FML18" t="s">
        <v>4644</v>
      </c>
      <c r="FMM18" t="s">
        <v>4645</v>
      </c>
      <c r="FMN18" t="s">
        <v>4646</v>
      </c>
      <c r="FMO18" t="s">
        <v>4647</v>
      </c>
      <c r="FMP18" t="s">
        <v>4648</v>
      </c>
      <c r="FMQ18" t="s">
        <v>4649</v>
      </c>
      <c r="FMR18" t="s">
        <v>4650</v>
      </c>
      <c r="FMS18" t="s">
        <v>4651</v>
      </c>
      <c r="FMT18" t="s">
        <v>4652</v>
      </c>
      <c r="FMU18" t="s">
        <v>4653</v>
      </c>
      <c r="FMV18" t="s">
        <v>4654</v>
      </c>
      <c r="FMW18" t="s">
        <v>4655</v>
      </c>
      <c r="FMX18" t="s">
        <v>4656</v>
      </c>
      <c r="FMY18" t="s">
        <v>4657</v>
      </c>
      <c r="FMZ18" t="s">
        <v>4658</v>
      </c>
      <c r="FNA18" t="s">
        <v>4659</v>
      </c>
      <c r="FNB18" t="s">
        <v>4660</v>
      </c>
      <c r="FNC18" t="s">
        <v>4661</v>
      </c>
      <c r="FND18" t="s">
        <v>4662</v>
      </c>
      <c r="FNE18" t="s">
        <v>4663</v>
      </c>
      <c r="FNF18" t="s">
        <v>4664</v>
      </c>
      <c r="FNG18" t="s">
        <v>4665</v>
      </c>
      <c r="FNH18" t="s">
        <v>4666</v>
      </c>
      <c r="FNI18" t="s">
        <v>4667</v>
      </c>
      <c r="FNJ18" t="s">
        <v>4668</v>
      </c>
      <c r="FNK18" t="s">
        <v>4669</v>
      </c>
      <c r="FNL18" t="s">
        <v>4670</v>
      </c>
      <c r="FNM18" t="s">
        <v>4671</v>
      </c>
      <c r="FNN18" t="s">
        <v>4672</v>
      </c>
      <c r="FNO18" t="s">
        <v>4673</v>
      </c>
      <c r="FNP18" t="s">
        <v>4674</v>
      </c>
      <c r="FNQ18" t="s">
        <v>4675</v>
      </c>
      <c r="FNR18" t="s">
        <v>4676</v>
      </c>
      <c r="FNS18" t="s">
        <v>4677</v>
      </c>
      <c r="FNT18" t="s">
        <v>4678</v>
      </c>
      <c r="FNU18" t="s">
        <v>4679</v>
      </c>
      <c r="FNV18" t="s">
        <v>4680</v>
      </c>
      <c r="FNW18" t="s">
        <v>4681</v>
      </c>
      <c r="FNX18" t="s">
        <v>4682</v>
      </c>
      <c r="FNY18" t="s">
        <v>4683</v>
      </c>
      <c r="FNZ18" t="s">
        <v>4684</v>
      </c>
      <c r="FOA18" t="s">
        <v>4685</v>
      </c>
      <c r="FOB18" t="s">
        <v>4686</v>
      </c>
      <c r="FOC18" t="s">
        <v>4687</v>
      </c>
      <c r="FOD18" t="s">
        <v>4688</v>
      </c>
      <c r="FOE18" t="s">
        <v>4689</v>
      </c>
      <c r="FOF18" t="s">
        <v>4690</v>
      </c>
      <c r="FOG18" t="s">
        <v>4691</v>
      </c>
      <c r="FOH18" t="s">
        <v>4692</v>
      </c>
      <c r="FOI18" t="s">
        <v>4693</v>
      </c>
      <c r="FOJ18" t="s">
        <v>4694</v>
      </c>
      <c r="FOK18" t="s">
        <v>4695</v>
      </c>
      <c r="FOL18" t="s">
        <v>4696</v>
      </c>
      <c r="FOM18" t="s">
        <v>4697</v>
      </c>
      <c r="FON18" t="s">
        <v>4698</v>
      </c>
      <c r="FOO18" t="s">
        <v>4699</v>
      </c>
      <c r="FOP18" t="s">
        <v>4700</v>
      </c>
      <c r="FOQ18" t="s">
        <v>4701</v>
      </c>
      <c r="FOR18" t="s">
        <v>4702</v>
      </c>
      <c r="FOS18" t="s">
        <v>4703</v>
      </c>
      <c r="FOT18" t="s">
        <v>4704</v>
      </c>
      <c r="FOU18" t="s">
        <v>4705</v>
      </c>
      <c r="FOV18" t="s">
        <v>4706</v>
      </c>
      <c r="FOW18" t="s">
        <v>4707</v>
      </c>
      <c r="FOX18" t="s">
        <v>4708</v>
      </c>
      <c r="FOY18" t="s">
        <v>4709</v>
      </c>
      <c r="FOZ18" t="s">
        <v>4710</v>
      </c>
      <c r="FPA18" t="s">
        <v>4711</v>
      </c>
      <c r="FPB18" t="s">
        <v>4712</v>
      </c>
      <c r="FPC18" t="s">
        <v>4713</v>
      </c>
      <c r="FPD18" t="s">
        <v>4714</v>
      </c>
      <c r="FPE18" t="s">
        <v>4715</v>
      </c>
      <c r="FPF18" t="s">
        <v>4716</v>
      </c>
      <c r="FPG18" t="s">
        <v>4717</v>
      </c>
      <c r="FPH18" t="s">
        <v>4718</v>
      </c>
      <c r="FPI18" t="s">
        <v>4719</v>
      </c>
      <c r="FPJ18" t="s">
        <v>4720</v>
      </c>
      <c r="FPK18" t="s">
        <v>4721</v>
      </c>
      <c r="FPL18" t="s">
        <v>4722</v>
      </c>
      <c r="FPM18" t="s">
        <v>4723</v>
      </c>
      <c r="FPN18" t="s">
        <v>4724</v>
      </c>
      <c r="FPO18" t="s">
        <v>4725</v>
      </c>
      <c r="FPP18" t="s">
        <v>4726</v>
      </c>
      <c r="FPQ18" t="s">
        <v>4727</v>
      </c>
      <c r="FPR18" t="s">
        <v>4728</v>
      </c>
      <c r="FPS18" t="s">
        <v>4729</v>
      </c>
      <c r="FPT18" t="s">
        <v>4730</v>
      </c>
      <c r="FPU18" t="s">
        <v>4731</v>
      </c>
      <c r="FPV18" t="s">
        <v>4732</v>
      </c>
      <c r="FPW18" t="s">
        <v>4733</v>
      </c>
      <c r="FPX18" t="s">
        <v>4734</v>
      </c>
      <c r="FPY18" t="s">
        <v>4735</v>
      </c>
      <c r="FPZ18" t="s">
        <v>4736</v>
      </c>
      <c r="FQA18" t="s">
        <v>4737</v>
      </c>
      <c r="FQB18" t="s">
        <v>4738</v>
      </c>
      <c r="FQC18" t="s">
        <v>4739</v>
      </c>
      <c r="FQD18" t="s">
        <v>4740</v>
      </c>
      <c r="FQE18" t="s">
        <v>4741</v>
      </c>
      <c r="FQF18" t="s">
        <v>4742</v>
      </c>
      <c r="FQG18" t="s">
        <v>4743</v>
      </c>
      <c r="FQH18" t="s">
        <v>4744</v>
      </c>
      <c r="FQI18" t="s">
        <v>4745</v>
      </c>
      <c r="FQJ18" t="s">
        <v>4746</v>
      </c>
      <c r="FQK18" t="s">
        <v>4747</v>
      </c>
      <c r="FQL18" t="s">
        <v>4748</v>
      </c>
      <c r="FQM18" t="s">
        <v>4749</v>
      </c>
      <c r="FQN18" t="s">
        <v>4750</v>
      </c>
      <c r="FQO18" t="s">
        <v>4751</v>
      </c>
      <c r="FQP18" t="s">
        <v>4752</v>
      </c>
      <c r="FQQ18" t="s">
        <v>4753</v>
      </c>
      <c r="FQR18" t="s">
        <v>4754</v>
      </c>
      <c r="FQS18" t="s">
        <v>4755</v>
      </c>
      <c r="FQT18" t="s">
        <v>4756</v>
      </c>
      <c r="FQU18" t="s">
        <v>4757</v>
      </c>
      <c r="FQV18" t="s">
        <v>4758</v>
      </c>
      <c r="FQW18" t="s">
        <v>4759</v>
      </c>
      <c r="FQX18" t="s">
        <v>4760</v>
      </c>
      <c r="FQY18" t="s">
        <v>4761</v>
      </c>
      <c r="FQZ18" t="s">
        <v>4762</v>
      </c>
      <c r="FRA18" t="s">
        <v>4763</v>
      </c>
      <c r="FRB18" t="s">
        <v>4764</v>
      </c>
      <c r="FRC18" t="s">
        <v>4765</v>
      </c>
      <c r="FRD18" t="s">
        <v>4766</v>
      </c>
      <c r="FRE18" t="s">
        <v>4767</v>
      </c>
      <c r="FRF18" t="s">
        <v>4768</v>
      </c>
      <c r="FRG18" t="s">
        <v>4769</v>
      </c>
      <c r="FRH18" t="s">
        <v>4770</v>
      </c>
      <c r="FRI18" t="s">
        <v>4771</v>
      </c>
      <c r="FRJ18" t="s">
        <v>4772</v>
      </c>
      <c r="FRK18" t="s">
        <v>4773</v>
      </c>
      <c r="FRL18" t="s">
        <v>4774</v>
      </c>
      <c r="FRM18" t="s">
        <v>4775</v>
      </c>
      <c r="FRN18" t="s">
        <v>4776</v>
      </c>
      <c r="FRO18" t="s">
        <v>4777</v>
      </c>
      <c r="FRP18" t="s">
        <v>4778</v>
      </c>
      <c r="FRQ18" t="s">
        <v>4779</v>
      </c>
      <c r="FRR18" t="s">
        <v>4780</v>
      </c>
      <c r="FRS18" t="s">
        <v>4781</v>
      </c>
      <c r="FRT18" t="s">
        <v>4782</v>
      </c>
      <c r="FRU18" t="s">
        <v>4783</v>
      </c>
      <c r="FRV18" t="s">
        <v>4784</v>
      </c>
      <c r="FRW18" t="s">
        <v>4785</v>
      </c>
      <c r="FRX18" t="s">
        <v>4786</v>
      </c>
      <c r="FRY18" t="s">
        <v>4787</v>
      </c>
      <c r="FRZ18" t="s">
        <v>4788</v>
      </c>
      <c r="FSA18" t="s">
        <v>4789</v>
      </c>
      <c r="FSB18" t="s">
        <v>4790</v>
      </c>
      <c r="FSC18" t="s">
        <v>4791</v>
      </c>
      <c r="FSD18" t="s">
        <v>4792</v>
      </c>
      <c r="FSE18" t="s">
        <v>4793</v>
      </c>
      <c r="FSF18" t="s">
        <v>4794</v>
      </c>
      <c r="FSG18" t="s">
        <v>4795</v>
      </c>
      <c r="FSH18" t="s">
        <v>4796</v>
      </c>
      <c r="FSI18" t="s">
        <v>4797</v>
      </c>
      <c r="FSJ18" t="s">
        <v>4798</v>
      </c>
      <c r="FSK18" t="s">
        <v>4799</v>
      </c>
      <c r="FSL18" t="s">
        <v>4800</v>
      </c>
      <c r="FSM18" t="s">
        <v>4801</v>
      </c>
      <c r="FSN18" t="s">
        <v>4802</v>
      </c>
      <c r="FSO18" t="s">
        <v>4803</v>
      </c>
      <c r="FSP18" t="s">
        <v>4804</v>
      </c>
      <c r="FSQ18" t="s">
        <v>4805</v>
      </c>
      <c r="FSR18" t="s">
        <v>4806</v>
      </c>
      <c r="FSS18" t="s">
        <v>4807</v>
      </c>
      <c r="FST18" t="s">
        <v>4808</v>
      </c>
      <c r="FSU18" t="s">
        <v>4809</v>
      </c>
      <c r="FSV18" t="s">
        <v>4810</v>
      </c>
      <c r="FSW18" t="s">
        <v>4811</v>
      </c>
      <c r="FSX18" t="s">
        <v>4812</v>
      </c>
      <c r="FSY18" t="s">
        <v>4813</v>
      </c>
      <c r="FSZ18" t="s">
        <v>4814</v>
      </c>
      <c r="FTA18" t="s">
        <v>4815</v>
      </c>
      <c r="FTB18" t="s">
        <v>4816</v>
      </c>
      <c r="FTC18" t="s">
        <v>4817</v>
      </c>
      <c r="FTD18" t="s">
        <v>4818</v>
      </c>
      <c r="FTE18" t="s">
        <v>4819</v>
      </c>
      <c r="FTF18" t="s">
        <v>4820</v>
      </c>
      <c r="FTG18" t="s">
        <v>4821</v>
      </c>
      <c r="FTH18" t="s">
        <v>4822</v>
      </c>
      <c r="FTI18" t="s">
        <v>4823</v>
      </c>
      <c r="FTJ18" t="s">
        <v>4824</v>
      </c>
      <c r="FTK18" t="s">
        <v>4825</v>
      </c>
      <c r="FTL18" t="s">
        <v>4826</v>
      </c>
      <c r="FTM18" t="s">
        <v>4827</v>
      </c>
      <c r="FTN18" t="s">
        <v>4828</v>
      </c>
      <c r="FTO18" t="s">
        <v>4829</v>
      </c>
      <c r="FTP18" t="s">
        <v>4830</v>
      </c>
      <c r="FTQ18" t="s">
        <v>4831</v>
      </c>
      <c r="FTR18" t="s">
        <v>4832</v>
      </c>
      <c r="FTS18" t="s">
        <v>4833</v>
      </c>
      <c r="FTT18" t="s">
        <v>4834</v>
      </c>
      <c r="FTU18" t="s">
        <v>4835</v>
      </c>
      <c r="FTV18" t="s">
        <v>4836</v>
      </c>
      <c r="FTW18" t="s">
        <v>4837</v>
      </c>
      <c r="FTX18" t="s">
        <v>4838</v>
      </c>
      <c r="FTY18" t="s">
        <v>4839</v>
      </c>
      <c r="FTZ18" t="s">
        <v>4840</v>
      </c>
      <c r="FUA18" t="s">
        <v>4841</v>
      </c>
      <c r="FUB18" t="s">
        <v>4842</v>
      </c>
      <c r="FUC18" t="s">
        <v>4843</v>
      </c>
      <c r="FUD18" t="s">
        <v>4844</v>
      </c>
      <c r="FUE18" t="s">
        <v>4845</v>
      </c>
      <c r="FUF18" t="s">
        <v>4846</v>
      </c>
      <c r="FUG18" t="s">
        <v>4847</v>
      </c>
      <c r="FUH18" t="s">
        <v>4848</v>
      </c>
      <c r="FUI18" t="s">
        <v>4849</v>
      </c>
      <c r="FUJ18" t="s">
        <v>4850</v>
      </c>
      <c r="FUK18" t="s">
        <v>4851</v>
      </c>
      <c r="FUL18" t="s">
        <v>4852</v>
      </c>
      <c r="FUM18" t="s">
        <v>4853</v>
      </c>
      <c r="FUN18" t="s">
        <v>4854</v>
      </c>
      <c r="FUO18" t="s">
        <v>4855</v>
      </c>
      <c r="FUP18" t="s">
        <v>4856</v>
      </c>
      <c r="FUQ18" t="s">
        <v>4857</v>
      </c>
      <c r="FUR18" t="s">
        <v>4858</v>
      </c>
      <c r="FUS18" t="s">
        <v>4859</v>
      </c>
      <c r="FUT18" t="s">
        <v>4860</v>
      </c>
      <c r="FUU18" t="s">
        <v>4861</v>
      </c>
      <c r="FUV18" t="s">
        <v>4862</v>
      </c>
      <c r="FUW18" t="s">
        <v>4863</v>
      </c>
      <c r="FUX18" t="s">
        <v>4864</v>
      </c>
      <c r="FUY18" t="s">
        <v>4865</v>
      </c>
      <c r="FUZ18" t="s">
        <v>4866</v>
      </c>
      <c r="FVA18" t="s">
        <v>4867</v>
      </c>
      <c r="FVB18" t="s">
        <v>4868</v>
      </c>
      <c r="FVC18" t="s">
        <v>4869</v>
      </c>
      <c r="FVD18" t="s">
        <v>4870</v>
      </c>
      <c r="FVE18" t="s">
        <v>4871</v>
      </c>
      <c r="FVF18" t="s">
        <v>4872</v>
      </c>
      <c r="FVG18" t="s">
        <v>4873</v>
      </c>
      <c r="FVH18" t="s">
        <v>4874</v>
      </c>
      <c r="FVI18" t="s">
        <v>4875</v>
      </c>
      <c r="FVJ18" t="s">
        <v>4876</v>
      </c>
      <c r="FVK18" t="s">
        <v>4877</v>
      </c>
      <c r="FVL18" t="s">
        <v>4878</v>
      </c>
      <c r="FVM18" t="s">
        <v>4879</v>
      </c>
      <c r="FVN18" t="s">
        <v>4880</v>
      </c>
      <c r="FVO18" t="s">
        <v>4881</v>
      </c>
      <c r="FVP18" t="s">
        <v>4882</v>
      </c>
      <c r="FVQ18" t="s">
        <v>4883</v>
      </c>
      <c r="FVR18" t="s">
        <v>4884</v>
      </c>
      <c r="FVS18" t="s">
        <v>4885</v>
      </c>
      <c r="FVT18" t="s">
        <v>4886</v>
      </c>
      <c r="FVU18" t="s">
        <v>4887</v>
      </c>
      <c r="FVV18" t="s">
        <v>4888</v>
      </c>
      <c r="FVW18" t="s">
        <v>4889</v>
      </c>
      <c r="FVX18" t="s">
        <v>4890</v>
      </c>
      <c r="FVY18" t="s">
        <v>4891</v>
      </c>
      <c r="FVZ18" t="s">
        <v>4892</v>
      </c>
      <c r="FWA18" t="s">
        <v>4893</v>
      </c>
      <c r="FWB18" t="s">
        <v>4894</v>
      </c>
      <c r="FWC18" t="s">
        <v>4895</v>
      </c>
      <c r="FWD18" t="s">
        <v>4896</v>
      </c>
      <c r="FWE18" t="s">
        <v>4897</v>
      </c>
      <c r="FWF18" t="s">
        <v>4898</v>
      </c>
      <c r="FWG18" t="s">
        <v>4899</v>
      </c>
      <c r="FWH18" t="s">
        <v>4900</v>
      </c>
      <c r="FWI18" t="s">
        <v>4901</v>
      </c>
      <c r="FWJ18" t="s">
        <v>4902</v>
      </c>
      <c r="FWK18" t="s">
        <v>4903</v>
      </c>
      <c r="FWL18" t="s">
        <v>4904</v>
      </c>
      <c r="FWM18" t="s">
        <v>4905</v>
      </c>
      <c r="FWN18" t="s">
        <v>4906</v>
      </c>
      <c r="FWO18" t="s">
        <v>4907</v>
      </c>
      <c r="FWP18" t="s">
        <v>4908</v>
      </c>
      <c r="FWQ18" t="s">
        <v>4909</v>
      </c>
      <c r="FWR18" t="s">
        <v>4910</v>
      </c>
      <c r="FWS18" t="s">
        <v>4911</v>
      </c>
      <c r="FWT18" t="s">
        <v>4912</v>
      </c>
      <c r="FWU18" t="s">
        <v>4913</v>
      </c>
      <c r="FWV18" t="s">
        <v>4914</v>
      </c>
      <c r="FWW18" t="s">
        <v>4915</v>
      </c>
      <c r="FWX18" t="s">
        <v>4916</v>
      </c>
      <c r="FWY18" t="s">
        <v>4917</v>
      </c>
      <c r="FWZ18" t="s">
        <v>4918</v>
      </c>
      <c r="FXA18" t="s">
        <v>4919</v>
      </c>
      <c r="FXB18" t="s">
        <v>4920</v>
      </c>
      <c r="FXC18" t="s">
        <v>4921</v>
      </c>
      <c r="FXD18" t="s">
        <v>4922</v>
      </c>
      <c r="FXE18" t="s">
        <v>4923</v>
      </c>
      <c r="FXF18" t="s">
        <v>4924</v>
      </c>
      <c r="FXG18" t="s">
        <v>4925</v>
      </c>
      <c r="FXH18" t="s">
        <v>4926</v>
      </c>
      <c r="FXI18" t="s">
        <v>4927</v>
      </c>
      <c r="FXJ18" t="s">
        <v>4928</v>
      </c>
      <c r="FXK18" t="s">
        <v>4929</v>
      </c>
      <c r="FXL18" t="s">
        <v>4930</v>
      </c>
      <c r="FXM18" t="s">
        <v>4931</v>
      </c>
      <c r="FXN18" t="s">
        <v>4932</v>
      </c>
      <c r="FXO18" t="s">
        <v>4933</v>
      </c>
      <c r="FXP18" t="s">
        <v>4934</v>
      </c>
      <c r="FXQ18" t="s">
        <v>4935</v>
      </c>
      <c r="FXR18" t="s">
        <v>4936</v>
      </c>
      <c r="FXS18" t="s">
        <v>4937</v>
      </c>
      <c r="FXT18" t="s">
        <v>4938</v>
      </c>
      <c r="FXU18" t="s">
        <v>4939</v>
      </c>
      <c r="FXV18" t="s">
        <v>4940</v>
      </c>
      <c r="FXW18" t="s">
        <v>4941</v>
      </c>
      <c r="FXX18" t="s">
        <v>4942</v>
      </c>
      <c r="FXY18" t="s">
        <v>4943</v>
      </c>
      <c r="FXZ18" t="s">
        <v>4944</v>
      </c>
      <c r="FYA18" t="s">
        <v>4945</v>
      </c>
      <c r="FYB18" t="s">
        <v>4946</v>
      </c>
      <c r="FYC18" t="s">
        <v>4947</v>
      </c>
      <c r="FYD18" t="s">
        <v>4948</v>
      </c>
      <c r="FYE18" t="s">
        <v>4949</v>
      </c>
      <c r="FYF18" t="s">
        <v>4950</v>
      </c>
      <c r="FYG18" t="s">
        <v>4951</v>
      </c>
      <c r="FYH18" t="s">
        <v>4952</v>
      </c>
      <c r="FYI18" t="s">
        <v>4953</v>
      </c>
      <c r="FYJ18" t="s">
        <v>4954</v>
      </c>
      <c r="FYK18" t="s">
        <v>4955</v>
      </c>
      <c r="FYL18" t="s">
        <v>4956</v>
      </c>
      <c r="FYM18" t="s">
        <v>4957</v>
      </c>
      <c r="FYN18" t="s">
        <v>4958</v>
      </c>
      <c r="FYO18" t="s">
        <v>4959</v>
      </c>
      <c r="FYP18" t="s">
        <v>4960</v>
      </c>
      <c r="FYQ18" t="s">
        <v>4961</v>
      </c>
      <c r="FYR18" t="s">
        <v>4962</v>
      </c>
      <c r="FYS18" t="s">
        <v>4963</v>
      </c>
      <c r="FYT18" t="s">
        <v>4964</v>
      </c>
      <c r="FYU18" t="s">
        <v>4965</v>
      </c>
      <c r="FYV18" t="s">
        <v>4966</v>
      </c>
      <c r="FYW18" t="s">
        <v>4967</v>
      </c>
      <c r="FYX18" t="s">
        <v>4968</v>
      </c>
      <c r="FYY18" t="s">
        <v>4969</v>
      </c>
      <c r="FYZ18" t="s">
        <v>4970</v>
      </c>
      <c r="FZA18" t="s">
        <v>4971</v>
      </c>
      <c r="FZB18" t="s">
        <v>4972</v>
      </c>
      <c r="FZC18" t="s">
        <v>4973</v>
      </c>
      <c r="FZD18" t="s">
        <v>4974</v>
      </c>
      <c r="FZE18" t="s">
        <v>4975</v>
      </c>
      <c r="FZF18" t="s">
        <v>4976</v>
      </c>
      <c r="FZG18" t="s">
        <v>4977</v>
      </c>
      <c r="FZH18" t="s">
        <v>4978</v>
      </c>
      <c r="FZI18" t="s">
        <v>4979</v>
      </c>
      <c r="FZJ18" t="s">
        <v>4980</v>
      </c>
      <c r="FZK18" t="s">
        <v>4981</v>
      </c>
      <c r="FZL18" t="s">
        <v>4982</v>
      </c>
      <c r="FZM18" t="s">
        <v>4983</v>
      </c>
      <c r="FZN18" t="s">
        <v>4984</v>
      </c>
      <c r="FZO18" t="s">
        <v>4985</v>
      </c>
      <c r="FZP18" t="s">
        <v>4986</v>
      </c>
      <c r="FZQ18" t="s">
        <v>4987</v>
      </c>
      <c r="FZR18" t="s">
        <v>4988</v>
      </c>
      <c r="FZS18" t="s">
        <v>4989</v>
      </c>
      <c r="FZT18" t="s">
        <v>4990</v>
      </c>
      <c r="FZU18" t="s">
        <v>4991</v>
      </c>
      <c r="FZV18" t="s">
        <v>4992</v>
      </c>
      <c r="FZW18" t="s">
        <v>4993</v>
      </c>
      <c r="FZX18" t="s">
        <v>4994</v>
      </c>
      <c r="FZY18" t="s">
        <v>4995</v>
      </c>
      <c r="FZZ18" t="s">
        <v>4996</v>
      </c>
      <c r="GAA18" t="s">
        <v>4997</v>
      </c>
      <c r="GAB18" t="s">
        <v>4998</v>
      </c>
      <c r="GAC18" t="s">
        <v>4999</v>
      </c>
      <c r="GAD18" t="s">
        <v>5000</v>
      </c>
      <c r="GAE18" t="s">
        <v>5001</v>
      </c>
      <c r="GAF18" t="s">
        <v>5002</v>
      </c>
      <c r="GAG18" t="s">
        <v>5003</v>
      </c>
      <c r="GAH18" t="s">
        <v>5004</v>
      </c>
      <c r="GAI18" t="s">
        <v>5005</v>
      </c>
      <c r="GAJ18" t="s">
        <v>5006</v>
      </c>
      <c r="GAK18" t="s">
        <v>5007</v>
      </c>
      <c r="GAL18" t="s">
        <v>5008</v>
      </c>
      <c r="GAM18" t="s">
        <v>5009</v>
      </c>
      <c r="GAN18" t="s">
        <v>5010</v>
      </c>
      <c r="GAO18" t="s">
        <v>5011</v>
      </c>
      <c r="GAP18" t="s">
        <v>5012</v>
      </c>
      <c r="GAQ18" t="s">
        <v>5013</v>
      </c>
      <c r="GAR18" t="s">
        <v>5014</v>
      </c>
      <c r="GAS18" t="s">
        <v>5015</v>
      </c>
      <c r="GAT18" t="s">
        <v>5016</v>
      </c>
      <c r="GAU18" t="s">
        <v>5017</v>
      </c>
      <c r="GAV18" t="s">
        <v>5018</v>
      </c>
      <c r="GAW18" t="s">
        <v>5019</v>
      </c>
      <c r="GAX18" t="s">
        <v>5020</v>
      </c>
      <c r="GAY18" t="s">
        <v>5021</v>
      </c>
      <c r="GAZ18" t="s">
        <v>5022</v>
      </c>
      <c r="GBA18" t="s">
        <v>5023</v>
      </c>
      <c r="GBB18" t="s">
        <v>5024</v>
      </c>
      <c r="GBC18" t="s">
        <v>5025</v>
      </c>
      <c r="GBD18" t="s">
        <v>5026</v>
      </c>
      <c r="GBE18" t="s">
        <v>5027</v>
      </c>
      <c r="GBF18" t="s">
        <v>5028</v>
      </c>
      <c r="GBG18" t="s">
        <v>5029</v>
      </c>
      <c r="GBH18" t="s">
        <v>5030</v>
      </c>
      <c r="GBI18" t="s">
        <v>5031</v>
      </c>
      <c r="GBJ18" t="s">
        <v>5032</v>
      </c>
      <c r="GBK18" t="s">
        <v>5033</v>
      </c>
      <c r="GBL18" t="s">
        <v>5034</v>
      </c>
      <c r="GBM18" t="s">
        <v>5035</v>
      </c>
      <c r="GBN18" t="s">
        <v>5036</v>
      </c>
      <c r="GBO18" t="s">
        <v>5037</v>
      </c>
      <c r="GBP18" t="s">
        <v>5038</v>
      </c>
      <c r="GBQ18" t="s">
        <v>5039</v>
      </c>
      <c r="GBR18" t="s">
        <v>5040</v>
      </c>
      <c r="GBS18" t="s">
        <v>5041</v>
      </c>
      <c r="GBT18" t="s">
        <v>5042</v>
      </c>
      <c r="GBU18" t="s">
        <v>5043</v>
      </c>
      <c r="GBV18" t="s">
        <v>5044</v>
      </c>
      <c r="GBW18" t="s">
        <v>5045</v>
      </c>
      <c r="GBX18" t="s">
        <v>5046</v>
      </c>
      <c r="GBY18" t="s">
        <v>5047</v>
      </c>
      <c r="GBZ18" t="s">
        <v>5048</v>
      </c>
      <c r="GCA18" t="s">
        <v>5049</v>
      </c>
      <c r="GCB18" t="s">
        <v>5050</v>
      </c>
      <c r="GCC18" t="s">
        <v>5051</v>
      </c>
      <c r="GCD18" t="s">
        <v>5052</v>
      </c>
      <c r="GCE18" t="s">
        <v>5053</v>
      </c>
      <c r="GCF18" t="s">
        <v>5054</v>
      </c>
      <c r="GCG18" t="s">
        <v>5055</v>
      </c>
      <c r="GCH18" t="s">
        <v>5056</v>
      </c>
      <c r="GCI18" t="s">
        <v>5057</v>
      </c>
      <c r="GCJ18" t="s">
        <v>5058</v>
      </c>
      <c r="GCK18" t="s">
        <v>5059</v>
      </c>
      <c r="GCL18" t="s">
        <v>5060</v>
      </c>
      <c r="GCM18" t="s">
        <v>5061</v>
      </c>
      <c r="GCN18" t="s">
        <v>5062</v>
      </c>
      <c r="GCO18" t="s">
        <v>5063</v>
      </c>
      <c r="GCP18" t="s">
        <v>5064</v>
      </c>
      <c r="GCQ18" t="s">
        <v>5065</v>
      </c>
      <c r="GCR18" t="s">
        <v>5066</v>
      </c>
      <c r="GCS18" t="s">
        <v>5067</v>
      </c>
      <c r="GCT18" t="s">
        <v>5068</v>
      </c>
      <c r="GCU18" t="s">
        <v>5069</v>
      </c>
      <c r="GCV18" t="s">
        <v>5070</v>
      </c>
      <c r="GCW18" t="s">
        <v>5071</v>
      </c>
      <c r="GCX18" t="s">
        <v>5072</v>
      </c>
      <c r="GCY18" t="s">
        <v>5073</v>
      </c>
      <c r="GCZ18" t="s">
        <v>5074</v>
      </c>
      <c r="GDA18" t="s">
        <v>5075</v>
      </c>
      <c r="GDB18" t="s">
        <v>5076</v>
      </c>
      <c r="GDC18" t="s">
        <v>5077</v>
      </c>
      <c r="GDD18" t="s">
        <v>5078</v>
      </c>
      <c r="GDE18" t="s">
        <v>5079</v>
      </c>
      <c r="GDF18" t="s">
        <v>5080</v>
      </c>
      <c r="GDG18" t="s">
        <v>5081</v>
      </c>
      <c r="GDH18" t="s">
        <v>5082</v>
      </c>
      <c r="GDI18" t="s">
        <v>5083</v>
      </c>
      <c r="GDJ18" t="s">
        <v>5084</v>
      </c>
      <c r="GDK18" t="s">
        <v>5085</v>
      </c>
      <c r="GDL18" t="s">
        <v>5086</v>
      </c>
      <c r="GDM18" t="s">
        <v>5087</v>
      </c>
      <c r="GDN18" t="s">
        <v>5088</v>
      </c>
      <c r="GDO18" t="s">
        <v>5089</v>
      </c>
      <c r="GDP18" t="s">
        <v>5090</v>
      </c>
      <c r="GDQ18" t="s">
        <v>5091</v>
      </c>
      <c r="GDR18" t="s">
        <v>5092</v>
      </c>
      <c r="GDS18" t="s">
        <v>5093</v>
      </c>
      <c r="GDT18" t="s">
        <v>5094</v>
      </c>
      <c r="GDU18" t="s">
        <v>5095</v>
      </c>
      <c r="GDV18" t="s">
        <v>5096</v>
      </c>
      <c r="GDW18" t="s">
        <v>5097</v>
      </c>
      <c r="GDX18" t="s">
        <v>5098</v>
      </c>
      <c r="GDY18" t="s">
        <v>5099</v>
      </c>
      <c r="GDZ18" t="s">
        <v>5100</v>
      </c>
      <c r="GEA18" t="s">
        <v>5101</v>
      </c>
      <c r="GEB18" t="s">
        <v>5102</v>
      </c>
      <c r="GEC18" t="s">
        <v>5103</v>
      </c>
      <c r="GED18" t="s">
        <v>5104</v>
      </c>
      <c r="GEE18" t="s">
        <v>5105</v>
      </c>
      <c r="GEF18" t="s">
        <v>5106</v>
      </c>
      <c r="GEG18" t="s">
        <v>5107</v>
      </c>
      <c r="GEH18" t="s">
        <v>5108</v>
      </c>
      <c r="GEI18" t="s">
        <v>5109</v>
      </c>
      <c r="GEJ18" t="s">
        <v>5110</v>
      </c>
      <c r="GEK18" t="s">
        <v>5111</v>
      </c>
      <c r="GEL18" t="s">
        <v>5112</v>
      </c>
      <c r="GEM18" t="s">
        <v>5113</v>
      </c>
      <c r="GEN18" t="s">
        <v>5114</v>
      </c>
      <c r="GEO18" t="s">
        <v>5115</v>
      </c>
      <c r="GEP18" t="s">
        <v>5116</v>
      </c>
      <c r="GEQ18" t="s">
        <v>5117</v>
      </c>
      <c r="GER18" t="s">
        <v>5118</v>
      </c>
      <c r="GES18" t="s">
        <v>5119</v>
      </c>
      <c r="GET18" t="s">
        <v>5120</v>
      </c>
      <c r="GEU18" t="s">
        <v>5121</v>
      </c>
      <c r="GEV18" t="s">
        <v>5122</v>
      </c>
      <c r="GEW18" t="s">
        <v>5123</v>
      </c>
      <c r="GEX18" t="s">
        <v>5124</v>
      </c>
      <c r="GEY18" t="s">
        <v>5125</v>
      </c>
      <c r="GEZ18" t="s">
        <v>5126</v>
      </c>
      <c r="GFA18" t="s">
        <v>5127</v>
      </c>
      <c r="GFB18" t="s">
        <v>5128</v>
      </c>
      <c r="GFC18" t="s">
        <v>5129</v>
      </c>
      <c r="GFD18" t="s">
        <v>5130</v>
      </c>
      <c r="GFE18" t="s">
        <v>5131</v>
      </c>
      <c r="GFF18" t="s">
        <v>5132</v>
      </c>
      <c r="GFG18" t="s">
        <v>5133</v>
      </c>
      <c r="GFH18" t="s">
        <v>5134</v>
      </c>
      <c r="GFI18" t="s">
        <v>5135</v>
      </c>
      <c r="GFJ18" t="s">
        <v>5136</v>
      </c>
      <c r="GFK18" t="s">
        <v>5137</v>
      </c>
      <c r="GFL18" t="s">
        <v>5138</v>
      </c>
      <c r="GFM18" t="s">
        <v>5139</v>
      </c>
      <c r="GFN18" t="s">
        <v>5140</v>
      </c>
      <c r="GFO18" t="s">
        <v>5141</v>
      </c>
      <c r="GFP18" t="s">
        <v>5142</v>
      </c>
      <c r="GFQ18" t="s">
        <v>5143</v>
      </c>
      <c r="GFR18" t="s">
        <v>5144</v>
      </c>
      <c r="GFS18" t="s">
        <v>5145</v>
      </c>
      <c r="GFT18" t="s">
        <v>5146</v>
      </c>
      <c r="GFU18" t="s">
        <v>5147</v>
      </c>
      <c r="GFV18" t="s">
        <v>5148</v>
      </c>
      <c r="GFW18" t="s">
        <v>5149</v>
      </c>
      <c r="GFX18" t="s">
        <v>5150</v>
      </c>
      <c r="GFY18" t="s">
        <v>5151</v>
      </c>
      <c r="GFZ18" t="s">
        <v>5152</v>
      </c>
      <c r="GGA18" t="s">
        <v>5153</v>
      </c>
      <c r="GGB18" t="s">
        <v>5154</v>
      </c>
      <c r="GGC18" t="s">
        <v>5155</v>
      </c>
      <c r="GGD18" t="s">
        <v>5156</v>
      </c>
      <c r="GGE18" t="s">
        <v>5157</v>
      </c>
      <c r="GGF18" t="s">
        <v>5158</v>
      </c>
      <c r="GGG18" t="s">
        <v>5159</v>
      </c>
      <c r="GGH18" t="s">
        <v>5160</v>
      </c>
      <c r="GGI18" t="s">
        <v>5161</v>
      </c>
      <c r="GGJ18" t="s">
        <v>5162</v>
      </c>
      <c r="GGK18" t="s">
        <v>5163</v>
      </c>
      <c r="GGL18" t="s">
        <v>5164</v>
      </c>
      <c r="GGM18" t="s">
        <v>5165</v>
      </c>
      <c r="GGN18" t="s">
        <v>5166</v>
      </c>
      <c r="GGO18" t="s">
        <v>5167</v>
      </c>
      <c r="GGP18" t="s">
        <v>5168</v>
      </c>
      <c r="GGQ18" t="s">
        <v>5169</v>
      </c>
      <c r="GGR18" t="s">
        <v>5170</v>
      </c>
      <c r="GGS18" t="s">
        <v>5171</v>
      </c>
      <c r="GGT18" t="s">
        <v>5172</v>
      </c>
      <c r="GGU18" t="s">
        <v>5173</v>
      </c>
      <c r="GGV18" t="s">
        <v>5174</v>
      </c>
      <c r="GGW18" t="s">
        <v>5175</v>
      </c>
      <c r="GGX18" t="s">
        <v>5176</v>
      </c>
      <c r="GGY18" t="s">
        <v>5177</v>
      </c>
      <c r="GGZ18" t="s">
        <v>5178</v>
      </c>
      <c r="GHA18" t="s">
        <v>5179</v>
      </c>
      <c r="GHB18" t="s">
        <v>5180</v>
      </c>
      <c r="GHC18" t="s">
        <v>5181</v>
      </c>
      <c r="GHD18" t="s">
        <v>5182</v>
      </c>
      <c r="GHE18" t="s">
        <v>5183</v>
      </c>
      <c r="GHF18" t="s">
        <v>5184</v>
      </c>
      <c r="GHG18" t="s">
        <v>5185</v>
      </c>
      <c r="GHH18" t="s">
        <v>5186</v>
      </c>
      <c r="GHI18" t="s">
        <v>5187</v>
      </c>
      <c r="GHJ18" t="s">
        <v>5188</v>
      </c>
      <c r="GHK18" t="s">
        <v>5189</v>
      </c>
      <c r="GHL18" t="s">
        <v>5190</v>
      </c>
      <c r="GHM18" t="s">
        <v>5191</v>
      </c>
      <c r="GHN18" t="s">
        <v>5192</v>
      </c>
      <c r="GHO18" t="s">
        <v>5193</v>
      </c>
      <c r="GHP18" t="s">
        <v>5194</v>
      </c>
      <c r="GHQ18" t="s">
        <v>5195</v>
      </c>
      <c r="GHR18" t="s">
        <v>5196</v>
      </c>
      <c r="GHS18" t="s">
        <v>5197</v>
      </c>
      <c r="GHT18" t="s">
        <v>5198</v>
      </c>
      <c r="GHU18" t="s">
        <v>5199</v>
      </c>
      <c r="GHV18" t="s">
        <v>5200</v>
      </c>
      <c r="GHW18" t="s">
        <v>5201</v>
      </c>
      <c r="GHX18" t="s">
        <v>5202</v>
      </c>
      <c r="GHY18" t="s">
        <v>5203</v>
      </c>
      <c r="GHZ18" t="s">
        <v>5204</v>
      </c>
      <c r="GIA18" t="s">
        <v>5205</v>
      </c>
      <c r="GIB18" t="s">
        <v>5206</v>
      </c>
      <c r="GIC18" t="s">
        <v>5207</v>
      </c>
      <c r="GID18" t="s">
        <v>5208</v>
      </c>
      <c r="GIE18" t="s">
        <v>5209</v>
      </c>
      <c r="GIF18" t="s">
        <v>5210</v>
      </c>
      <c r="GIG18" t="s">
        <v>5211</v>
      </c>
      <c r="GIH18" t="s">
        <v>5212</v>
      </c>
      <c r="GII18" t="s">
        <v>5213</v>
      </c>
      <c r="GIJ18" t="s">
        <v>5214</v>
      </c>
      <c r="GIK18" t="s">
        <v>5215</v>
      </c>
      <c r="GIL18" t="s">
        <v>5216</v>
      </c>
      <c r="GIM18" t="s">
        <v>5217</v>
      </c>
      <c r="GIN18" t="s">
        <v>5218</v>
      </c>
      <c r="GIO18" t="s">
        <v>5219</v>
      </c>
      <c r="GIP18" t="s">
        <v>5220</v>
      </c>
      <c r="GIQ18" t="s">
        <v>5221</v>
      </c>
      <c r="GIR18" t="s">
        <v>5222</v>
      </c>
      <c r="GIS18" t="s">
        <v>5223</v>
      </c>
      <c r="GIT18" t="s">
        <v>5224</v>
      </c>
      <c r="GIU18" t="s">
        <v>5225</v>
      </c>
      <c r="GIV18" t="s">
        <v>5226</v>
      </c>
      <c r="GIW18" t="s">
        <v>5227</v>
      </c>
      <c r="GIX18" t="s">
        <v>5228</v>
      </c>
      <c r="GIY18" t="s">
        <v>5229</v>
      </c>
      <c r="GIZ18" t="s">
        <v>5230</v>
      </c>
      <c r="GJA18" t="s">
        <v>5231</v>
      </c>
      <c r="GJB18" t="s">
        <v>5232</v>
      </c>
      <c r="GJC18" t="s">
        <v>5233</v>
      </c>
      <c r="GJD18" t="s">
        <v>5234</v>
      </c>
      <c r="GJE18" t="s">
        <v>5235</v>
      </c>
      <c r="GJF18" t="s">
        <v>5236</v>
      </c>
      <c r="GJG18" t="s">
        <v>5237</v>
      </c>
      <c r="GJH18" t="s">
        <v>5238</v>
      </c>
      <c r="GJI18" t="s">
        <v>5239</v>
      </c>
      <c r="GJJ18" t="s">
        <v>5240</v>
      </c>
      <c r="GJK18" t="s">
        <v>5241</v>
      </c>
      <c r="GJL18" t="s">
        <v>5242</v>
      </c>
      <c r="GJM18" t="s">
        <v>5243</v>
      </c>
      <c r="GJN18" t="s">
        <v>5244</v>
      </c>
      <c r="GJO18" t="s">
        <v>5245</v>
      </c>
      <c r="GJP18" t="s">
        <v>5246</v>
      </c>
      <c r="GJQ18" t="s">
        <v>5247</v>
      </c>
      <c r="GJR18" t="s">
        <v>5248</v>
      </c>
      <c r="GJS18" t="s">
        <v>5249</v>
      </c>
      <c r="GJT18" t="s">
        <v>5250</v>
      </c>
      <c r="GJU18" t="s">
        <v>5251</v>
      </c>
      <c r="GJV18" t="s">
        <v>5252</v>
      </c>
      <c r="GJW18" t="s">
        <v>5253</v>
      </c>
      <c r="GJX18" t="s">
        <v>5254</v>
      </c>
      <c r="GJY18" t="s">
        <v>5255</v>
      </c>
      <c r="GJZ18" t="s">
        <v>5256</v>
      </c>
      <c r="GKA18" t="s">
        <v>5257</v>
      </c>
      <c r="GKB18" t="s">
        <v>5258</v>
      </c>
      <c r="GKC18" t="s">
        <v>5259</v>
      </c>
      <c r="GKD18" t="s">
        <v>5260</v>
      </c>
      <c r="GKE18" t="s">
        <v>5261</v>
      </c>
      <c r="GKF18" t="s">
        <v>5262</v>
      </c>
      <c r="GKG18" t="s">
        <v>5263</v>
      </c>
      <c r="GKH18" t="s">
        <v>5264</v>
      </c>
      <c r="GKI18" t="s">
        <v>5265</v>
      </c>
      <c r="GKJ18" t="s">
        <v>5266</v>
      </c>
      <c r="GKK18" t="s">
        <v>5267</v>
      </c>
      <c r="GKL18" t="s">
        <v>5268</v>
      </c>
      <c r="GKM18" t="s">
        <v>5269</v>
      </c>
      <c r="GKN18" t="s">
        <v>5270</v>
      </c>
      <c r="GKO18" t="s">
        <v>5271</v>
      </c>
      <c r="GKP18" t="s">
        <v>5272</v>
      </c>
      <c r="GKQ18" t="s">
        <v>5273</v>
      </c>
      <c r="GKR18" t="s">
        <v>5274</v>
      </c>
      <c r="GKS18" t="s">
        <v>5275</v>
      </c>
      <c r="GKT18" t="s">
        <v>5276</v>
      </c>
      <c r="GKU18" t="s">
        <v>5277</v>
      </c>
      <c r="GKV18" t="s">
        <v>5278</v>
      </c>
      <c r="GKW18" t="s">
        <v>5279</v>
      </c>
      <c r="GKX18" t="s">
        <v>5280</v>
      </c>
      <c r="GKY18" t="s">
        <v>5281</v>
      </c>
      <c r="GKZ18" t="s">
        <v>5282</v>
      </c>
      <c r="GLA18" t="s">
        <v>5283</v>
      </c>
      <c r="GLB18" t="s">
        <v>5284</v>
      </c>
      <c r="GLC18" t="s">
        <v>5285</v>
      </c>
      <c r="GLD18" t="s">
        <v>5286</v>
      </c>
      <c r="GLE18" t="s">
        <v>5287</v>
      </c>
      <c r="GLF18" t="s">
        <v>5288</v>
      </c>
      <c r="GLG18" t="s">
        <v>5289</v>
      </c>
      <c r="GLH18" t="s">
        <v>5290</v>
      </c>
      <c r="GLI18" t="s">
        <v>5291</v>
      </c>
      <c r="GLJ18" t="s">
        <v>5292</v>
      </c>
      <c r="GLK18" t="s">
        <v>5293</v>
      </c>
      <c r="GLL18" t="s">
        <v>5294</v>
      </c>
      <c r="GLM18" t="s">
        <v>5295</v>
      </c>
      <c r="GLN18" t="s">
        <v>5296</v>
      </c>
      <c r="GLO18" t="s">
        <v>5297</v>
      </c>
      <c r="GLP18" t="s">
        <v>5298</v>
      </c>
      <c r="GLQ18" t="s">
        <v>5299</v>
      </c>
      <c r="GLR18" t="s">
        <v>5300</v>
      </c>
      <c r="GLS18" t="s">
        <v>5301</v>
      </c>
      <c r="GLT18" t="s">
        <v>5302</v>
      </c>
      <c r="GLU18" t="s">
        <v>5303</v>
      </c>
      <c r="GLV18" t="s">
        <v>5304</v>
      </c>
      <c r="GLW18" t="s">
        <v>5305</v>
      </c>
      <c r="GLX18" t="s">
        <v>5306</v>
      </c>
      <c r="GLY18" t="s">
        <v>5307</v>
      </c>
      <c r="GLZ18" t="s">
        <v>5308</v>
      </c>
      <c r="GMA18" t="s">
        <v>5309</v>
      </c>
      <c r="GMB18" t="s">
        <v>5310</v>
      </c>
      <c r="GMC18" t="s">
        <v>5311</v>
      </c>
      <c r="GMD18" t="s">
        <v>5312</v>
      </c>
      <c r="GME18" t="s">
        <v>5313</v>
      </c>
      <c r="GMF18" t="s">
        <v>5314</v>
      </c>
      <c r="GMG18" t="s">
        <v>5315</v>
      </c>
      <c r="GMH18" t="s">
        <v>5316</v>
      </c>
      <c r="GMI18" t="s">
        <v>5317</v>
      </c>
      <c r="GMJ18" t="s">
        <v>5318</v>
      </c>
      <c r="GMK18" t="s">
        <v>5319</v>
      </c>
      <c r="GML18" t="s">
        <v>5320</v>
      </c>
      <c r="GMM18" t="s">
        <v>5321</v>
      </c>
      <c r="GMN18" t="s">
        <v>5322</v>
      </c>
      <c r="GMO18" t="s">
        <v>5323</v>
      </c>
      <c r="GMP18" t="s">
        <v>5324</v>
      </c>
      <c r="GMQ18" t="s">
        <v>5325</v>
      </c>
      <c r="GMR18" t="s">
        <v>5326</v>
      </c>
      <c r="GMS18" t="s">
        <v>5327</v>
      </c>
      <c r="GMT18" t="s">
        <v>5328</v>
      </c>
      <c r="GMU18" t="s">
        <v>5329</v>
      </c>
      <c r="GMV18" t="s">
        <v>5330</v>
      </c>
      <c r="GMW18" t="s">
        <v>5331</v>
      </c>
      <c r="GMX18" t="s">
        <v>5332</v>
      </c>
      <c r="GMY18" t="s">
        <v>5333</v>
      </c>
      <c r="GMZ18" t="s">
        <v>5334</v>
      </c>
      <c r="GNA18" t="s">
        <v>5335</v>
      </c>
      <c r="GNB18" t="s">
        <v>5336</v>
      </c>
      <c r="GNC18" t="s">
        <v>5337</v>
      </c>
      <c r="GND18" t="s">
        <v>5338</v>
      </c>
      <c r="GNE18" t="s">
        <v>5339</v>
      </c>
      <c r="GNF18" t="s">
        <v>5340</v>
      </c>
      <c r="GNG18" t="s">
        <v>5341</v>
      </c>
      <c r="GNH18" t="s">
        <v>5342</v>
      </c>
      <c r="GNI18" t="s">
        <v>5343</v>
      </c>
      <c r="GNJ18" t="s">
        <v>5344</v>
      </c>
      <c r="GNK18" t="s">
        <v>5345</v>
      </c>
      <c r="GNL18" t="s">
        <v>5346</v>
      </c>
      <c r="GNM18" t="s">
        <v>5347</v>
      </c>
      <c r="GNN18" t="s">
        <v>5348</v>
      </c>
      <c r="GNO18" t="s">
        <v>5349</v>
      </c>
      <c r="GNP18" t="s">
        <v>5350</v>
      </c>
      <c r="GNQ18" t="s">
        <v>5351</v>
      </c>
      <c r="GNR18" t="s">
        <v>5352</v>
      </c>
      <c r="GNS18" t="s">
        <v>5353</v>
      </c>
      <c r="GNT18" t="s">
        <v>5354</v>
      </c>
      <c r="GNU18" t="s">
        <v>5355</v>
      </c>
      <c r="GNV18" t="s">
        <v>5356</v>
      </c>
      <c r="GNW18" t="s">
        <v>5357</v>
      </c>
      <c r="GNX18" t="s">
        <v>5358</v>
      </c>
      <c r="GNY18" t="s">
        <v>5359</v>
      </c>
      <c r="GNZ18" t="s">
        <v>5360</v>
      </c>
      <c r="GOA18" t="s">
        <v>5361</v>
      </c>
      <c r="GOB18" t="s">
        <v>5362</v>
      </c>
      <c r="GOC18" t="s">
        <v>5363</v>
      </c>
      <c r="GOD18" t="s">
        <v>5364</v>
      </c>
      <c r="GOE18" t="s">
        <v>5365</v>
      </c>
      <c r="GOF18" t="s">
        <v>5366</v>
      </c>
      <c r="GOG18" t="s">
        <v>5367</v>
      </c>
      <c r="GOH18" t="s">
        <v>5368</v>
      </c>
      <c r="GOI18" t="s">
        <v>5369</v>
      </c>
      <c r="GOJ18" t="s">
        <v>5370</v>
      </c>
      <c r="GOK18" t="s">
        <v>5371</v>
      </c>
      <c r="GOL18" t="s">
        <v>5372</v>
      </c>
      <c r="GOM18" t="s">
        <v>5373</v>
      </c>
      <c r="GON18" t="s">
        <v>5374</v>
      </c>
      <c r="GOO18" t="s">
        <v>5375</v>
      </c>
      <c r="GOP18" t="s">
        <v>5376</v>
      </c>
      <c r="GOQ18" t="s">
        <v>5377</v>
      </c>
      <c r="GOR18" t="s">
        <v>5378</v>
      </c>
      <c r="GOS18" t="s">
        <v>5379</v>
      </c>
      <c r="GOT18" t="s">
        <v>5380</v>
      </c>
      <c r="GOU18" t="s">
        <v>5381</v>
      </c>
      <c r="GOV18" t="s">
        <v>5382</v>
      </c>
      <c r="GOW18" t="s">
        <v>5383</v>
      </c>
      <c r="GOX18" t="s">
        <v>5384</v>
      </c>
      <c r="GOY18" t="s">
        <v>5385</v>
      </c>
      <c r="GOZ18" t="s">
        <v>5386</v>
      </c>
      <c r="GPA18" t="s">
        <v>5387</v>
      </c>
      <c r="GPB18" t="s">
        <v>5388</v>
      </c>
      <c r="GPC18" t="s">
        <v>5389</v>
      </c>
      <c r="GPD18" t="s">
        <v>5390</v>
      </c>
      <c r="GPE18" t="s">
        <v>5391</v>
      </c>
      <c r="GPF18" t="s">
        <v>5392</v>
      </c>
      <c r="GPG18" t="s">
        <v>5393</v>
      </c>
      <c r="GPH18" t="s">
        <v>5394</v>
      </c>
      <c r="GPI18" t="s">
        <v>5395</v>
      </c>
      <c r="GPJ18" t="s">
        <v>5396</v>
      </c>
      <c r="GPK18" t="s">
        <v>5397</v>
      </c>
      <c r="GPL18" t="s">
        <v>5398</v>
      </c>
      <c r="GPM18" t="s">
        <v>5399</v>
      </c>
      <c r="GPN18" t="s">
        <v>5400</v>
      </c>
      <c r="GPO18" t="s">
        <v>5401</v>
      </c>
      <c r="GPP18" t="s">
        <v>5402</v>
      </c>
      <c r="GPQ18" t="s">
        <v>5403</v>
      </c>
      <c r="GPR18" t="s">
        <v>5404</v>
      </c>
      <c r="GPS18" t="s">
        <v>5405</v>
      </c>
      <c r="GPT18" t="s">
        <v>5406</v>
      </c>
      <c r="GPU18" t="s">
        <v>5407</v>
      </c>
      <c r="GPV18" t="s">
        <v>5408</v>
      </c>
      <c r="GPW18" t="s">
        <v>5409</v>
      </c>
      <c r="GPX18" t="s">
        <v>5410</v>
      </c>
      <c r="GPY18" t="s">
        <v>5411</v>
      </c>
      <c r="GPZ18" t="s">
        <v>5412</v>
      </c>
      <c r="GQA18" t="s">
        <v>5413</v>
      </c>
      <c r="GQB18" t="s">
        <v>5414</v>
      </c>
      <c r="GQC18" t="s">
        <v>5415</v>
      </c>
      <c r="GQD18" t="s">
        <v>5416</v>
      </c>
      <c r="GQE18" t="s">
        <v>5417</v>
      </c>
      <c r="GQF18" t="s">
        <v>5418</v>
      </c>
      <c r="GQG18" t="s">
        <v>5419</v>
      </c>
      <c r="GQH18" t="s">
        <v>5420</v>
      </c>
      <c r="GQI18" t="s">
        <v>5421</v>
      </c>
      <c r="GQJ18" t="s">
        <v>5422</v>
      </c>
      <c r="GQK18" t="s">
        <v>5423</v>
      </c>
      <c r="GQL18" t="s">
        <v>5424</v>
      </c>
      <c r="GQM18" t="s">
        <v>5425</v>
      </c>
      <c r="GQN18" t="s">
        <v>5426</v>
      </c>
      <c r="GQO18" t="s">
        <v>5427</v>
      </c>
      <c r="GQP18" t="s">
        <v>5428</v>
      </c>
      <c r="GQQ18" t="s">
        <v>5429</v>
      </c>
      <c r="GQR18" t="s">
        <v>5430</v>
      </c>
      <c r="GQS18" t="s">
        <v>5431</v>
      </c>
      <c r="GQT18" t="s">
        <v>5432</v>
      </c>
      <c r="GQU18" t="s">
        <v>5433</v>
      </c>
      <c r="GQV18" t="s">
        <v>5434</v>
      </c>
      <c r="GQW18" t="s">
        <v>5435</v>
      </c>
      <c r="GQX18" t="s">
        <v>5436</v>
      </c>
      <c r="GQY18" t="s">
        <v>5437</v>
      </c>
      <c r="GQZ18" t="s">
        <v>5438</v>
      </c>
      <c r="GRA18" t="s">
        <v>5439</v>
      </c>
      <c r="GRB18" t="s">
        <v>5440</v>
      </c>
      <c r="GRC18" t="s">
        <v>5441</v>
      </c>
      <c r="GRD18" t="s">
        <v>5442</v>
      </c>
      <c r="GRE18" t="s">
        <v>5443</v>
      </c>
      <c r="GRF18" t="s">
        <v>5444</v>
      </c>
      <c r="GRG18" t="s">
        <v>5445</v>
      </c>
      <c r="GRH18" t="s">
        <v>5446</v>
      </c>
      <c r="GRI18" t="s">
        <v>5447</v>
      </c>
      <c r="GRJ18" t="s">
        <v>5448</v>
      </c>
      <c r="GRK18" t="s">
        <v>5449</v>
      </c>
      <c r="GRL18" t="s">
        <v>5450</v>
      </c>
      <c r="GRM18" t="s">
        <v>5451</v>
      </c>
      <c r="GRN18" t="s">
        <v>5452</v>
      </c>
      <c r="GRO18" t="s">
        <v>5453</v>
      </c>
      <c r="GRP18" t="s">
        <v>5454</v>
      </c>
      <c r="GRQ18" t="s">
        <v>5455</v>
      </c>
      <c r="GRR18" t="s">
        <v>5456</v>
      </c>
      <c r="GRS18" t="s">
        <v>5457</v>
      </c>
      <c r="GRT18" t="s">
        <v>5458</v>
      </c>
      <c r="GRU18" t="s">
        <v>5459</v>
      </c>
      <c r="GRV18" t="s">
        <v>5460</v>
      </c>
      <c r="GRW18" t="s">
        <v>5461</v>
      </c>
      <c r="GRX18" t="s">
        <v>5462</v>
      </c>
      <c r="GRY18" t="s">
        <v>5463</v>
      </c>
      <c r="GRZ18" t="s">
        <v>5464</v>
      </c>
      <c r="GSA18" t="s">
        <v>5465</v>
      </c>
      <c r="GSB18" t="s">
        <v>5466</v>
      </c>
      <c r="GSC18" t="s">
        <v>5467</v>
      </c>
      <c r="GSD18" t="s">
        <v>5468</v>
      </c>
      <c r="GSE18" t="s">
        <v>5469</v>
      </c>
      <c r="GSF18" t="s">
        <v>5470</v>
      </c>
      <c r="GSG18" t="s">
        <v>5471</v>
      </c>
      <c r="GSH18" t="s">
        <v>5472</v>
      </c>
      <c r="GSI18" t="s">
        <v>5473</v>
      </c>
      <c r="GSJ18" t="s">
        <v>5474</v>
      </c>
      <c r="GSK18" t="s">
        <v>5475</v>
      </c>
      <c r="GSL18" t="s">
        <v>5476</v>
      </c>
      <c r="GSM18" t="s">
        <v>5477</v>
      </c>
      <c r="GSN18" t="s">
        <v>5478</v>
      </c>
      <c r="GSO18" t="s">
        <v>5479</v>
      </c>
      <c r="GSP18" t="s">
        <v>5480</v>
      </c>
      <c r="GSQ18" t="s">
        <v>5481</v>
      </c>
      <c r="GSR18" t="s">
        <v>5482</v>
      </c>
      <c r="GSS18" t="s">
        <v>5483</v>
      </c>
      <c r="GST18" t="s">
        <v>5484</v>
      </c>
      <c r="GSU18" t="s">
        <v>5485</v>
      </c>
      <c r="GSV18" t="s">
        <v>5486</v>
      </c>
      <c r="GSW18" t="s">
        <v>5487</v>
      </c>
      <c r="GSX18" t="s">
        <v>5488</v>
      </c>
      <c r="GSY18" t="s">
        <v>5489</v>
      </c>
      <c r="GSZ18" t="s">
        <v>5490</v>
      </c>
      <c r="GTA18" t="s">
        <v>5491</v>
      </c>
      <c r="GTB18" t="s">
        <v>5492</v>
      </c>
      <c r="GTC18" t="s">
        <v>5493</v>
      </c>
      <c r="GTD18" t="s">
        <v>5494</v>
      </c>
      <c r="GTE18" t="s">
        <v>5495</v>
      </c>
      <c r="GTF18" t="s">
        <v>5496</v>
      </c>
      <c r="GTG18" t="s">
        <v>5497</v>
      </c>
      <c r="GTH18" t="s">
        <v>5498</v>
      </c>
      <c r="GTI18" t="s">
        <v>5499</v>
      </c>
      <c r="GTJ18" t="s">
        <v>5500</v>
      </c>
      <c r="GTK18" t="s">
        <v>5501</v>
      </c>
      <c r="GTL18" t="s">
        <v>5502</v>
      </c>
      <c r="GTM18" t="s">
        <v>5503</v>
      </c>
      <c r="GTN18" t="s">
        <v>5504</v>
      </c>
      <c r="GTO18" t="s">
        <v>5505</v>
      </c>
      <c r="GTP18" t="s">
        <v>5506</v>
      </c>
      <c r="GTQ18" t="s">
        <v>5507</v>
      </c>
      <c r="GTR18" t="s">
        <v>5508</v>
      </c>
      <c r="GTS18" t="s">
        <v>5509</v>
      </c>
      <c r="GTT18" t="s">
        <v>5510</v>
      </c>
      <c r="GTU18" t="s">
        <v>5511</v>
      </c>
      <c r="GTV18" t="s">
        <v>5512</v>
      </c>
      <c r="GTW18" t="s">
        <v>5513</v>
      </c>
      <c r="GTX18" t="s">
        <v>5514</v>
      </c>
      <c r="GTY18" t="s">
        <v>5515</v>
      </c>
      <c r="GTZ18" t="s">
        <v>5516</v>
      </c>
      <c r="GUA18" t="s">
        <v>5517</v>
      </c>
      <c r="GUB18" t="s">
        <v>5518</v>
      </c>
      <c r="GUC18" t="s">
        <v>5519</v>
      </c>
      <c r="GUD18" t="s">
        <v>5520</v>
      </c>
      <c r="GUE18" t="s">
        <v>5521</v>
      </c>
      <c r="GUF18" t="s">
        <v>5522</v>
      </c>
      <c r="GUG18" t="s">
        <v>5523</v>
      </c>
      <c r="GUH18" t="s">
        <v>5524</v>
      </c>
      <c r="GUI18" t="s">
        <v>5525</v>
      </c>
      <c r="GUJ18" t="s">
        <v>5526</v>
      </c>
      <c r="GUK18" t="s">
        <v>5527</v>
      </c>
      <c r="GUL18" t="s">
        <v>5528</v>
      </c>
      <c r="GUM18" t="s">
        <v>5529</v>
      </c>
      <c r="GUN18" t="s">
        <v>5530</v>
      </c>
      <c r="GUO18" t="s">
        <v>5531</v>
      </c>
      <c r="GUP18" t="s">
        <v>5532</v>
      </c>
      <c r="GUQ18" t="s">
        <v>5533</v>
      </c>
      <c r="GUR18" t="s">
        <v>5534</v>
      </c>
      <c r="GUS18" t="s">
        <v>5535</v>
      </c>
      <c r="GUT18" t="s">
        <v>5536</v>
      </c>
      <c r="GUU18" t="s">
        <v>5537</v>
      </c>
      <c r="GUV18" t="s">
        <v>5538</v>
      </c>
      <c r="GUW18" t="s">
        <v>5539</v>
      </c>
      <c r="GUX18" t="s">
        <v>5540</v>
      </c>
      <c r="GUY18" t="s">
        <v>5541</v>
      </c>
      <c r="GUZ18" t="s">
        <v>5542</v>
      </c>
      <c r="GVA18" t="s">
        <v>5543</v>
      </c>
      <c r="GVB18" t="s">
        <v>5544</v>
      </c>
      <c r="GVC18" t="s">
        <v>5545</v>
      </c>
      <c r="GVD18" t="s">
        <v>5546</v>
      </c>
      <c r="GVE18" t="s">
        <v>5547</v>
      </c>
      <c r="GVF18" t="s">
        <v>5548</v>
      </c>
      <c r="GVG18" t="s">
        <v>5549</v>
      </c>
      <c r="GVH18" t="s">
        <v>5550</v>
      </c>
      <c r="GVI18" t="s">
        <v>5551</v>
      </c>
      <c r="GVJ18" t="s">
        <v>5552</v>
      </c>
      <c r="GVK18" t="s">
        <v>5553</v>
      </c>
      <c r="GVL18" t="s">
        <v>5554</v>
      </c>
      <c r="GVM18" t="s">
        <v>5555</v>
      </c>
      <c r="GVN18" t="s">
        <v>5556</v>
      </c>
      <c r="GVO18" t="s">
        <v>5557</v>
      </c>
      <c r="GVP18" t="s">
        <v>5558</v>
      </c>
      <c r="GVQ18" t="s">
        <v>5559</v>
      </c>
      <c r="GVR18" t="s">
        <v>5560</v>
      </c>
      <c r="GVS18" t="s">
        <v>5561</v>
      </c>
      <c r="GVT18" t="s">
        <v>5562</v>
      </c>
      <c r="GVU18" t="s">
        <v>5563</v>
      </c>
      <c r="GVV18" t="s">
        <v>5564</v>
      </c>
      <c r="GVW18" t="s">
        <v>5565</v>
      </c>
      <c r="GVX18" t="s">
        <v>5566</v>
      </c>
      <c r="GVY18" t="s">
        <v>5567</v>
      </c>
      <c r="GVZ18" t="s">
        <v>5568</v>
      </c>
      <c r="GWA18" t="s">
        <v>5569</v>
      </c>
      <c r="GWB18" t="s">
        <v>5570</v>
      </c>
      <c r="GWC18" t="s">
        <v>5571</v>
      </c>
      <c r="GWD18" t="s">
        <v>5572</v>
      </c>
      <c r="GWE18" t="s">
        <v>5573</v>
      </c>
      <c r="GWF18" t="s">
        <v>5574</v>
      </c>
      <c r="GWG18" t="s">
        <v>5575</v>
      </c>
      <c r="GWH18" t="s">
        <v>5576</v>
      </c>
      <c r="GWI18" t="s">
        <v>5577</v>
      </c>
      <c r="GWJ18" t="s">
        <v>5578</v>
      </c>
      <c r="GWK18" t="s">
        <v>5579</v>
      </c>
      <c r="GWL18" t="s">
        <v>5580</v>
      </c>
      <c r="GWM18" t="s">
        <v>5581</v>
      </c>
      <c r="GWN18" t="s">
        <v>5582</v>
      </c>
      <c r="GWO18" t="s">
        <v>5583</v>
      </c>
      <c r="GWP18" t="s">
        <v>5584</v>
      </c>
      <c r="GWQ18" t="s">
        <v>5585</v>
      </c>
      <c r="GWR18" t="s">
        <v>5586</v>
      </c>
      <c r="GWS18" t="s">
        <v>5587</v>
      </c>
      <c r="GWT18" t="s">
        <v>5588</v>
      </c>
      <c r="GWU18" t="s">
        <v>5589</v>
      </c>
      <c r="GWV18" t="s">
        <v>5590</v>
      </c>
      <c r="GWW18" t="s">
        <v>5591</v>
      </c>
      <c r="GWX18" t="s">
        <v>5592</v>
      </c>
      <c r="GWY18" t="s">
        <v>5593</v>
      </c>
      <c r="GWZ18" t="s">
        <v>5594</v>
      </c>
      <c r="GXA18" t="s">
        <v>5595</v>
      </c>
      <c r="GXB18" t="s">
        <v>5596</v>
      </c>
      <c r="GXC18" t="s">
        <v>5597</v>
      </c>
      <c r="GXD18" t="s">
        <v>5598</v>
      </c>
      <c r="GXE18" t="s">
        <v>5599</v>
      </c>
      <c r="GXF18" t="s">
        <v>5600</v>
      </c>
      <c r="GXG18" t="s">
        <v>5601</v>
      </c>
      <c r="GXH18" t="s">
        <v>5602</v>
      </c>
      <c r="GXI18" t="s">
        <v>5603</v>
      </c>
      <c r="GXJ18" t="s">
        <v>5604</v>
      </c>
      <c r="GXK18" t="s">
        <v>5605</v>
      </c>
      <c r="GXL18" t="s">
        <v>5606</v>
      </c>
      <c r="GXM18" t="s">
        <v>5607</v>
      </c>
      <c r="GXN18" t="s">
        <v>5608</v>
      </c>
      <c r="GXO18" t="s">
        <v>5609</v>
      </c>
      <c r="GXP18" t="s">
        <v>5610</v>
      </c>
      <c r="GXQ18" t="s">
        <v>5611</v>
      </c>
      <c r="GXR18" t="s">
        <v>5612</v>
      </c>
      <c r="GXS18" t="s">
        <v>5613</v>
      </c>
      <c r="GXT18" t="s">
        <v>5614</v>
      </c>
      <c r="GXU18" t="s">
        <v>5615</v>
      </c>
      <c r="GXV18" t="s">
        <v>5616</v>
      </c>
      <c r="GXW18" t="s">
        <v>5617</v>
      </c>
      <c r="GXX18" t="s">
        <v>5618</v>
      </c>
      <c r="GXY18" t="s">
        <v>5619</v>
      </c>
      <c r="GXZ18" t="s">
        <v>5620</v>
      </c>
      <c r="GYA18" t="s">
        <v>5621</v>
      </c>
      <c r="GYB18" t="s">
        <v>5622</v>
      </c>
      <c r="GYC18" t="s">
        <v>5623</v>
      </c>
      <c r="GYD18" t="s">
        <v>5624</v>
      </c>
      <c r="GYE18" t="s">
        <v>5625</v>
      </c>
      <c r="GYF18" t="s">
        <v>5626</v>
      </c>
      <c r="GYG18" t="s">
        <v>5627</v>
      </c>
      <c r="GYH18" t="s">
        <v>5628</v>
      </c>
      <c r="GYI18" t="s">
        <v>5629</v>
      </c>
      <c r="GYJ18" t="s">
        <v>5630</v>
      </c>
      <c r="GYK18" t="s">
        <v>5631</v>
      </c>
      <c r="GYL18" t="s">
        <v>5632</v>
      </c>
      <c r="GYM18" t="s">
        <v>5633</v>
      </c>
      <c r="GYN18" t="s">
        <v>5634</v>
      </c>
      <c r="GYO18" t="s">
        <v>5635</v>
      </c>
      <c r="GYP18" t="s">
        <v>5636</v>
      </c>
      <c r="GYQ18" t="s">
        <v>5637</v>
      </c>
      <c r="GYR18" t="s">
        <v>5638</v>
      </c>
      <c r="GYS18" t="s">
        <v>5639</v>
      </c>
      <c r="GYT18" t="s">
        <v>5640</v>
      </c>
      <c r="GYU18" t="s">
        <v>5641</v>
      </c>
      <c r="GYV18" t="s">
        <v>5642</v>
      </c>
      <c r="GYW18" t="s">
        <v>5643</v>
      </c>
      <c r="GYX18" t="s">
        <v>5644</v>
      </c>
      <c r="GYY18" t="s">
        <v>5645</v>
      </c>
      <c r="GYZ18" t="s">
        <v>5646</v>
      </c>
      <c r="GZA18" t="s">
        <v>5647</v>
      </c>
      <c r="GZB18" t="s">
        <v>5648</v>
      </c>
      <c r="GZC18" t="s">
        <v>5649</v>
      </c>
      <c r="GZD18" t="s">
        <v>5650</v>
      </c>
      <c r="GZE18" t="s">
        <v>5651</v>
      </c>
      <c r="GZF18" t="s">
        <v>5652</v>
      </c>
      <c r="GZG18" t="s">
        <v>5653</v>
      </c>
      <c r="GZH18" t="s">
        <v>5654</v>
      </c>
      <c r="GZI18" t="s">
        <v>5655</v>
      </c>
      <c r="GZJ18" t="s">
        <v>5656</v>
      </c>
      <c r="GZK18" t="s">
        <v>5657</v>
      </c>
      <c r="GZL18" t="s">
        <v>5658</v>
      </c>
      <c r="GZM18" t="s">
        <v>5659</v>
      </c>
      <c r="GZN18" t="s">
        <v>5660</v>
      </c>
      <c r="GZO18" t="s">
        <v>5661</v>
      </c>
      <c r="GZP18" t="s">
        <v>5662</v>
      </c>
      <c r="GZQ18" t="s">
        <v>5663</v>
      </c>
      <c r="GZR18" t="s">
        <v>5664</v>
      </c>
      <c r="GZS18" t="s">
        <v>5665</v>
      </c>
      <c r="GZT18" t="s">
        <v>5666</v>
      </c>
      <c r="GZU18" t="s">
        <v>5667</v>
      </c>
      <c r="GZV18" t="s">
        <v>5668</v>
      </c>
      <c r="GZW18" t="s">
        <v>5669</v>
      </c>
      <c r="GZX18" t="s">
        <v>5670</v>
      </c>
      <c r="GZY18" t="s">
        <v>5671</v>
      </c>
      <c r="GZZ18" t="s">
        <v>5672</v>
      </c>
      <c r="HAA18" t="s">
        <v>5673</v>
      </c>
      <c r="HAB18" t="s">
        <v>5674</v>
      </c>
      <c r="HAC18" t="s">
        <v>5675</v>
      </c>
      <c r="HAD18" t="s">
        <v>5676</v>
      </c>
      <c r="HAE18" t="s">
        <v>5677</v>
      </c>
      <c r="HAF18" t="s">
        <v>5678</v>
      </c>
      <c r="HAG18" t="s">
        <v>5679</v>
      </c>
      <c r="HAH18" t="s">
        <v>5680</v>
      </c>
      <c r="HAI18" t="s">
        <v>5681</v>
      </c>
      <c r="HAJ18" t="s">
        <v>5682</v>
      </c>
      <c r="HAK18" t="s">
        <v>5683</v>
      </c>
      <c r="HAL18" t="s">
        <v>5684</v>
      </c>
      <c r="HAM18" t="s">
        <v>5685</v>
      </c>
      <c r="HAN18" t="s">
        <v>5686</v>
      </c>
      <c r="HAO18" t="s">
        <v>5687</v>
      </c>
      <c r="HAP18" t="s">
        <v>5688</v>
      </c>
      <c r="HAQ18" t="s">
        <v>5689</v>
      </c>
      <c r="HAR18" t="s">
        <v>5690</v>
      </c>
      <c r="HAS18" t="s">
        <v>5691</v>
      </c>
      <c r="HAT18" t="s">
        <v>5692</v>
      </c>
      <c r="HAU18" t="s">
        <v>5693</v>
      </c>
      <c r="HAV18" t="s">
        <v>5694</v>
      </c>
      <c r="HAW18" t="s">
        <v>5695</v>
      </c>
      <c r="HAX18" t="s">
        <v>5696</v>
      </c>
      <c r="HAY18" t="s">
        <v>5697</v>
      </c>
      <c r="HAZ18" t="s">
        <v>5698</v>
      </c>
      <c r="HBA18" t="s">
        <v>5699</v>
      </c>
      <c r="HBB18" t="s">
        <v>5700</v>
      </c>
      <c r="HBC18" t="s">
        <v>5701</v>
      </c>
      <c r="HBD18" t="s">
        <v>5702</v>
      </c>
      <c r="HBE18" t="s">
        <v>5703</v>
      </c>
      <c r="HBF18" t="s">
        <v>5704</v>
      </c>
      <c r="HBG18" t="s">
        <v>5705</v>
      </c>
      <c r="HBH18" t="s">
        <v>5706</v>
      </c>
      <c r="HBI18" t="s">
        <v>5707</v>
      </c>
      <c r="HBJ18" t="s">
        <v>5708</v>
      </c>
      <c r="HBK18" t="s">
        <v>5709</v>
      </c>
      <c r="HBL18" t="s">
        <v>5710</v>
      </c>
      <c r="HBM18" t="s">
        <v>5711</v>
      </c>
      <c r="HBN18" t="s">
        <v>5712</v>
      </c>
      <c r="HBO18" t="s">
        <v>5713</v>
      </c>
      <c r="HBP18" t="s">
        <v>5714</v>
      </c>
      <c r="HBQ18" t="s">
        <v>5715</v>
      </c>
      <c r="HBR18" t="s">
        <v>5716</v>
      </c>
      <c r="HBS18" t="s">
        <v>5717</v>
      </c>
      <c r="HBT18" t="s">
        <v>5718</v>
      </c>
      <c r="HBU18" t="s">
        <v>5719</v>
      </c>
      <c r="HBV18" t="s">
        <v>5720</v>
      </c>
      <c r="HBW18" t="s">
        <v>5721</v>
      </c>
      <c r="HBX18" t="s">
        <v>5722</v>
      </c>
      <c r="HBY18" t="s">
        <v>5723</v>
      </c>
      <c r="HBZ18" t="s">
        <v>5724</v>
      </c>
      <c r="HCA18" t="s">
        <v>5725</v>
      </c>
      <c r="HCB18" t="s">
        <v>5726</v>
      </c>
      <c r="HCC18" t="s">
        <v>5727</v>
      </c>
      <c r="HCD18" t="s">
        <v>5728</v>
      </c>
      <c r="HCE18" t="s">
        <v>5729</v>
      </c>
      <c r="HCF18" t="s">
        <v>5730</v>
      </c>
      <c r="HCG18" t="s">
        <v>5731</v>
      </c>
      <c r="HCH18" t="s">
        <v>5732</v>
      </c>
      <c r="HCI18" t="s">
        <v>5733</v>
      </c>
      <c r="HCJ18" t="s">
        <v>5734</v>
      </c>
      <c r="HCK18" t="s">
        <v>5735</v>
      </c>
      <c r="HCL18" t="s">
        <v>5736</v>
      </c>
      <c r="HCM18" t="s">
        <v>5737</v>
      </c>
      <c r="HCN18" t="s">
        <v>5738</v>
      </c>
      <c r="HCO18" t="s">
        <v>5739</v>
      </c>
      <c r="HCP18" t="s">
        <v>5740</v>
      </c>
      <c r="HCQ18" t="s">
        <v>5741</v>
      </c>
      <c r="HCR18" t="s">
        <v>5742</v>
      </c>
      <c r="HCS18" t="s">
        <v>5743</v>
      </c>
      <c r="HCT18" t="s">
        <v>5744</v>
      </c>
      <c r="HCU18" t="s">
        <v>5745</v>
      </c>
      <c r="HCV18" t="s">
        <v>5746</v>
      </c>
      <c r="HCW18" t="s">
        <v>5747</v>
      </c>
      <c r="HCX18" t="s">
        <v>5748</v>
      </c>
      <c r="HCY18" t="s">
        <v>5749</v>
      </c>
      <c r="HCZ18" t="s">
        <v>5750</v>
      </c>
      <c r="HDA18" t="s">
        <v>5751</v>
      </c>
      <c r="HDB18" t="s">
        <v>5752</v>
      </c>
      <c r="HDC18" t="s">
        <v>5753</v>
      </c>
      <c r="HDD18" t="s">
        <v>5754</v>
      </c>
      <c r="HDE18" t="s">
        <v>5755</v>
      </c>
      <c r="HDF18" t="s">
        <v>5756</v>
      </c>
      <c r="HDG18" t="s">
        <v>5757</v>
      </c>
      <c r="HDH18" t="s">
        <v>5758</v>
      </c>
      <c r="HDI18" t="s">
        <v>5759</v>
      </c>
      <c r="HDJ18" t="s">
        <v>5760</v>
      </c>
      <c r="HDK18" t="s">
        <v>5761</v>
      </c>
      <c r="HDL18" t="s">
        <v>5762</v>
      </c>
      <c r="HDM18" t="s">
        <v>5763</v>
      </c>
      <c r="HDN18" t="s">
        <v>5764</v>
      </c>
      <c r="HDO18" t="s">
        <v>5765</v>
      </c>
      <c r="HDP18" t="s">
        <v>5766</v>
      </c>
      <c r="HDQ18" t="s">
        <v>5767</v>
      </c>
      <c r="HDR18" t="s">
        <v>5768</v>
      </c>
      <c r="HDS18" t="s">
        <v>5769</v>
      </c>
      <c r="HDT18" t="s">
        <v>5770</v>
      </c>
      <c r="HDU18" t="s">
        <v>5771</v>
      </c>
      <c r="HDV18" t="s">
        <v>5772</v>
      </c>
      <c r="HDW18" t="s">
        <v>5773</v>
      </c>
      <c r="HDX18" t="s">
        <v>5774</v>
      </c>
      <c r="HDY18" t="s">
        <v>5775</v>
      </c>
      <c r="HDZ18" t="s">
        <v>5776</v>
      </c>
      <c r="HEA18" t="s">
        <v>5777</v>
      </c>
      <c r="HEB18" t="s">
        <v>5778</v>
      </c>
      <c r="HEC18" t="s">
        <v>5779</v>
      </c>
      <c r="HED18" t="s">
        <v>5780</v>
      </c>
      <c r="HEE18" t="s">
        <v>5781</v>
      </c>
      <c r="HEF18" t="s">
        <v>5782</v>
      </c>
      <c r="HEG18" t="s">
        <v>5783</v>
      </c>
      <c r="HEH18" t="s">
        <v>5784</v>
      </c>
      <c r="HEI18" t="s">
        <v>5785</v>
      </c>
      <c r="HEJ18" t="s">
        <v>5786</v>
      </c>
      <c r="HEK18" t="s">
        <v>5787</v>
      </c>
      <c r="HEL18" t="s">
        <v>5788</v>
      </c>
      <c r="HEM18" t="s">
        <v>5789</v>
      </c>
      <c r="HEN18" t="s">
        <v>5790</v>
      </c>
      <c r="HEO18" t="s">
        <v>5791</v>
      </c>
      <c r="HEP18" t="s">
        <v>5792</v>
      </c>
      <c r="HEQ18" t="s">
        <v>5793</v>
      </c>
      <c r="HER18" t="s">
        <v>5794</v>
      </c>
      <c r="HES18" t="s">
        <v>5795</v>
      </c>
      <c r="HET18" t="s">
        <v>5796</v>
      </c>
      <c r="HEU18" t="s">
        <v>5797</v>
      </c>
      <c r="HEV18" t="s">
        <v>5798</v>
      </c>
      <c r="HEW18" t="s">
        <v>5799</v>
      </c>
      <c r="HEX18" t="s">
        <v>5800</v>
      </c>
      <c r="HEY18" t="s">
        <v>5801</v>
      </c>
      <c r="HEZ18" t="s">
        <v>5802</v>
      </c>
      <c r="HFA18" t="s">
        <v>5803</v>
      </c>
      <c r="HFB18" t="s">
        <v>5804</v>
      </c>
      <c r="HFC18" t="s">
        <v>5805</v>
      </c>
      <c r="HFD18" t="s">
        <v>5806</v>
      </c>
      <c r="HFE18" t="s">
        <v>5807</v>
      </c>
      <c r="HFF18" t="s">
        <v>5808</v>
      </c>
      <c r="HFG18" t="s">
        <v>5809</v>
      </c>
      <c r="HFH18" t="s">
        <v>5810</v>
      </c>
      <c r="HFI18" t="s">
        <v>5811</v>
      </c>
      <c r="HFJ18" t="s">
        <v>5812</v>
      </c>
      <c r="HFK18" t="s">
        <v>5813</v>
      </c>
      <c r="HFL18" t="s">
        <v>5814</v>
      </c>
      <c r="HFM18" t="s">
        <v>5815</v>
      </c>
      <c r="HFN18" t="s">
        <v>5816</v>
      </c>
      <c r="HFO18" t="s">
        <v>5817</v>
      </c>
      <c r="HFP18" t="s">
        <v>5818</v>
      </c>
      <c r="HFQ18" t="s">
        <v>5819</v>
      </c>
      <c r="HFR18" t="s">
        <v>5820</v>
      </c>
      <c r="HFS18" t="s">
        <v>5821</v>
      </c>
      <c r="HFT18" t="s">
        <v>5822</v>
      </c>
      <c r="HFU18" t="s">
        <v>5823</v>
      </c>
      <c r="HFV18" t="s">
        <v>5824</v>
      </c>
      <c r="HFW18" t="s">
        <v>5825</v>
      </c>
      <c r="HFX18" t="s">
        <v>5826</v>
      </c>
      <c r="HFY18" t="s">
        <v>5827</v>
      </c>
      <c r="HFZ18" t="s">
        <v>5828</v>
      </c>
      <c r="HGA18" t="s">
        <v>5829</v>
      </c>
      <c r="HGB18" t="s">
        <v>5830</v>
      </c>
      <c r="HGC18" t="s">
        <v>5831</v>
      </c>
      <c r="HGD18" t="s">
        <v>5832</v>
      </c>
      <c r="HGE18" t="s">
        <v>5833</v>
      </c>
      <c r="HGF18" t="s">
        <v>5834</v>
      </c>
      <c r="HGG18" t="s">
        <v>5835</v>
      </c>
      <c r="HGH18" t="s">
        <v>5836</v>
      </c>
      <c r="HGI18" t="s">
        <v>5837</v>
      </c>
      <c r="HGJ18" t="s">
        <v>5838</v>
      </c>
      <c r="HGK18" t="s">
        <v>5839</v>
      </c>
      <c r="HGL18" t="s">
        <v>5840</v>
      </c>
      <c r="HGM18" t="s">
        <v>5841</v>
      </c>
      <c r="HGN18" t="s">
        <v>5842</v>
      </c>
      <c r="HGO18" t="s">
        <v>5843</v>
      </c>
      <c r="HGP18" t="s">
        <v>5844</v>
      </c>
      <c r="HGQ18" t="s">
        <v>5845</v>
      </c>
      <c r="HGR18" t="s">
        <v>5846</v>
      </c>
      <c r="HGS18" t="s">
        <v>5847</v>
      </c>
      <c r="HGT18" t="s">
        <v>5848</v>
      </c>
      <c r="HGU18" t="s">
        <v>5849</v>
      </c>
      <c r="HGV18" t="s">
        <v>5850</v>
      </c>
      <c r="HGW18" t="s">
        <v>5851</v>
      </c>
      <c r="HGX18" t="s">
        <v>5852</v>
      </c>
      <c r="HGY18" t="s">
        <v>5853</v>
      </c>
      <c r="HGZ18" t="s">
        <v>5854</v>
      </c>
      <c r="HHA18" t="s">
        <v>5855</v>
      </c>
      <c r="HHB18" t="s">
        <v>5856</v>
      </c>
      <c r="HHC18" t="s">
        <v>5857</v>
      </c>
      <c r="HHD18" t="s">
        <v>5858</v>
      </c>
      <c r="HHE18" t="s">
        <v>5859</v>
      </c>
      <c r="HHF18" t="s">
        <v>5860</v>
      </c>
      <c r="HHG18" t="s">
        <v>5861</v>
      </c>
      <c r="HHH18" t="s">
        <v>5862</v>
      </c>
      <c r="HHI18" t="s">
        <v>5863</v>
      </c>
      <c r="HHJ18" t="s">
        <v>5864</v>
      </c>
      <c r="HHK18" t="s">
        <v>5865</v>
      </c>
      <c r="HHL18" t="s">
        <v>5866</v>
      </c>
      <c r="HHM18" t="s">
        <v>5867</v>
      </c>
      <c r="HHN18" t="s">
        <v>5868</v>
      </c>
      <c r="HHO18" t="s">
        <v>5869</v>
      </c>
      <c r="HHP18" t="s">
        <v>5870</v>
      </c>
      <c r="HHQ18" t="s">
        <v>5871</v>
      </c>
      <c r="HHR18" t="s">
        <v>5872</v>
      </c>
      <c r="HHS18" t="s">
        <v>5873</v>
      </c>
      <c r="HHT18" t="s">
        <v>5874</v>
      </c>
      <c r="HHU18" t="s">
        <v>5875</v>
      </c>
      <c r="HHV18" t="s">
        <v>5876</v>
      </c>
      <c r="HHW18" t="s">
        <v>5877</v>
      </c>
      <c r="HHX18" t="s">
        <v>5878</v>
      </c>
      <c r="HHY18" t="s">
        <v>5879</v>
      </c>
      <c r="HHZ18" t="s">
        <v>5880</v>
      </c>
      <c r="HIA18" t="s">
        <v>5881</v>
      </c>
      <c r="HIB18" t="s">
        <v>5882</v>
      </c>
      <c r="HIC18" t="s">
        <v>5883</v>
      </c>
      <c r="HID18" t="s">
        <v>5884</v>
      </c>
      <c r="HIE18" t="s">
        <v>5885</v>
      </c>
      <c r="HIF18" t="s">
        <v>5886</v>
      </c>
      <c r="HIG18" t="s">
        <v>5887</v>
      </c>
      <c r="HIH18" t="s">
        <v>5888</v>
      </c>
      <c r="HII18" t="s">
        <v>5889</v>
      </c>
      <c r="HIJ18" t="s">
        <v>5890</v>
      </c>
      <c r="HIK18" t="s">
        <v>5891</v>
      </c>
      <c r="HIL18" t="s">
        <v>5892</v>
      </c>
      <c r="HIM18" t="s">
        <v>5893</v>
      </c>
      <c r="HIN18" t="s">
        <v>5894</v>
      </c>
      <c r="HIO18" t="s">
        <v>5895</v>
      </c>
      <c r="HIP18" t="s">
        <v>5896</v>
      </c>
      <c r="HIQ18" t="s">
        <v>5897</v>
      </c>
      <c r="HIR18" t="s">
        <v>5898</v>
      </c>
      <c r="HIS18" t="s">
        <v>5899</v>
      </c>
      <c r="HIT18" t="s">
        <v>5900</v>
      </c>
      <c r="HIU18" t="s">
        <v>5901</v>
      </c>
      <c r="HIV18" t="s">
        <v>5902</v>
      </c>
      <c r="HIW18" t="s">
        <v>5903</v>
      </c>
      <c r="HIX18" t="s">
        <v>5904</v>
      </c>
      <c r="HIY18" t="s">
        <v>5905</v>
      </c>
      <c r="HIZ18" t="s">
        <v>5906</v>
      </c>
      <c r="HJA18" t="s">
        <v>5907</v>
      </c>
      <c r="HJB18" t="s">
        <v>5908</v>
      </c>
      <c r="HJC18" t="s">
        <v>5909</v>
      </c>
      <c r="HJD18" t="s">
        <v>5910</v>
      </c>
      <c r="HJE18" t="s">
        <v>5911</v>
      </c>
      <c r="HJF18" t="s">
        <v>5912</v>
      </c>
      <c r="HJG18" t="s">
        <v>5913</v>
      </c>
      <c r="HJH18" t="s">
        <v>5914</v>
      </c>
      <c r="HJI18" t="s">
        <v>5915</v>
      </c>
      <c r="HJJ18" t="s">
        <v>5916</v>
      </c>
      <c r="HJK18" t="s">
        <v>5917</v>
      </c>
      <c r="HJL18" t="s">
        <v>5918</v>
      </c>
      <c r="HJM18" t="s">
        <v>5919</v>
      </c>
      <c r="HJN18" t="s">
        <v>5920</v>
      </c>
      <c r="HJO18" t="s">
        <v>5921</v>
      </c>
      <c r="HJP18" t="s">
        <v>5922</v>
      </c>
      <c r="HJQ18" t="s">
        <v>5923</v>
      </c>
      <c r="HJR18" t="s">
        <v>5924</v>
      </c>
      <c r="HJS18" t="s">
        <v>5925</v>
      </c>
      <c r="HJT18" t="s">
        <v>5926</v>
      </c>
      <c r="HJU18" t="s">
        <v>5927</v>
      </c>
      <c r="HJV18" t="s">
        <v>5928</v>
      </c>
      <c r="HJW18" t="s">
        <v>5929</v>
      </c>
      <c r="HJX18" t="s">
        <v>5930</v>
      </c>
      <c r="HJY18" t="s">
        <v>5931</v>
      </c>
      <c r="HJZ18" t="s">
        <v>5932</v>
      </c>
      <c r="HKA18" t="s">
        <v>5933</v>
      </c>
      <c r="HKB18" t="s">
        <v>5934</v>
      </c>
      <c r="HKC18" t="s">
        <v>5935</v>
      </c>
      <c r="HKD18" t="s">
        <v>5936</v>
      </c>
      <c r="HKE18" t="s">
        <v>5937</v>
      </c>
      <c r="HKF18" t="s">
        <v>5938</v>
      </c>
      <c r="HKG18" t="s">
        <v>5939</v>
      </c>
      <c r="HKH18" t="s">
        <v>5940</v>
      </c>
      <c r="HKI18" t="s">
        <v>5941</v>
      </c>
      <c r="HKJ18" t="s">
        <v>5942</v>
      </c>
      <c r="HKK18" t="s">
        <v>5943</v>
      </c>
      <c r="HKL18" t="s">
        <v>5944</v>
      </c>
      <c r="HKM18" t="s">
        <v>5945</v>
      </c>
      <c r="HKN18" t="s">
        <v>5946</v>
      </c>
      <c r="HKO18" t="s">
        <v>5947</v>
      </c>
      <c r="HKP18" t="s">
        <v>5948</v>
      </c>
      <c r="HKQ18" t="s">
        <v>5949</v>
      </c>
      <c r="HKR18" t="s">
        <v>5950</v>
      </c>
      <c r="HKS18" t="s">
        <v>5951</v>
      </c>
      <c r="HKT18" t="s">
        <v>5952</v>
      </c>
      <c r="HKU18" t="s">
        <v>5953</v>
      </c>
      <c r="HKV18" t="s">
        <v>5954</v>
      </c>
      <c r="HKW18" t="s">
        <v>5955</v>
      </c>
      <c r="HKX18" t="s">
        <v>5956</v>
      </c>
      <c r="HKY18" t="s">
        <v>5957</v>
      </c>
      <c r="HKZ18" t="s">
        <v>5958</v>
      </c>
      <c r="HLA18" t="s">
        <v>5959</v>
      </c>
      <c r="HLB18" t="s">
        <v>5960</v>
      </c>
      <c r="HLC18" t="s">
        <v>5961</v>
      </c>
      <c r="HLD18" t="s">
        <v>5962</v>
      </c>
      <c r="HLE18" t="s">
        <v>5963</v>
      </c>
      <c r="HLF18" t="s">
        <v>5964</v>
      </c>
      <c r="HLG18" t="s">
        <v>5965</v>
      </c>
      <c r="HLH18" t="s">
        <v>5966</v>
      </c>
      <c r="HLI18" t="s">
        <v>5967</v>
      </c>
      <c r="HLJ18" t="s">
        <v>5968</v>
      </c>
      <c r="HLK18" t="s">
        <v>5969</v>
      </c>
      <c r="HLL18" t="s">
        <v>5970</v>
      </c>
      <c r="HLM18" t="s">
        <v>5971</v>
      </c>
      <c r="HLN18" t="s">
        <v>5972</v>
      </c>
      <c r="HLO18" t="s">
        <v>5973</v>
      </c>
      <c r="HLP18" t="s">
        <v>5974</v>
      </c>
      <c r="HLQ18" t="s">
        <v>5975</v>
      </c>
      <c r="HLR18" t="s">
        <v>5976</v>
      </c>
      <c r="HLS18" t="s">
        <v>5977</v>
      </c>
      <c r="HLT18" t="s">
        <v>5978</v>
      </c>
      <c r="HLU18" t="s">
        <v>5979</v>
      </c>
      <c r="HLV18" t="s">
        <v>5980</v>
      </c>
      <c r="HLW18" t="s">
        <v>5981</v>
      </c>
      <c r="HLX18" t="s">
        <v>5982</v>
      </c>
      <c r="HLY18" t="s">
        <v>5983</v>
      </c>
      <c r="HLZ18" t="s">
        <v>5984</v>
      </c>
      <c r="HMA18" t="s">
        <v>5985</v>
      </c>
      <c r="HMB18" t="s">
        <v>5986</v>
      </c>
      <c r="HMC18" t="s">
        <v>5987</v>
      </c>
      <c r="HMD18" t="s">
        <v>5988</v>
      </c>
      <c r="HME18" t="s">
        <v>5989</v>
      </c>
      <c r="HMF18" t="s">
        <v>5990</v>
      </c>
      <c r="HMG18" t="s">
        <v>5991</v>
      </c>
      <c r="HMH18" t="s">
        <v>5992</v>
      </c>
      <c r="HMI18" t="s">
        <v>5993</v>
      </c>
      <c r="HMJ18" t="s">
        <v>5994</v>
      </c>
      <c r="HMK18" t="s">
        <v>5995</v>
      </c>
      <c r="HML18" t="s">
        <v>5996</v>
      </c>
      <c r="HMM18" t="s">
        <v>5997</v>
      </c>
      <c r="HMN18" t="s">
        <v>5998</v>
      </c>
      <c r="HMO18" t="s">
        <v>5999</v>
      </c>
      <c r="HMP18" t="s">
        <v>6000</v>
      </c>
      <c r="HMQ18" t="s">
        <v>6001</v>
      </c>
      <c r="HMR18" t="s">
        <v>6002</v>
      </c>
      <c r="HMS18" t="s">
        <v>6003</v>
      </c>
      <c r="HMT18" t="s">
        <v>6004</v>
      </c>
      <c r="HMU18" t="s">
        <v>6005</v>
      </c>
      <c r="HMV18" t="s">
        <v>6006</v>
      </c>
      <c r="HMW18" t="s">
        <v>6007</v>
      </c>
      <c r="HMX18" t="s">
        <v>6008</v>
      </c>
      <c r="HMY18" t="s">
        <v>6009</v>
      </c>
      <c r="HMZ18" t="s">
        <v>6010</v>
      </c>
      <c r="HNA18" t="s">
        <v>6011</v>
      </c>
      <c r="HNB18" t="s">
        <v>6012</v>
      </c>
      <c r="HNC18" t="s">
        <v>6013</v>
      </c>
      <c r="HND18" t="s">
        <v>6014</v>
      </c>
      <c r="HNE18" t="s">
        <v>6015</v>
      </c>
      <c r="HNF18" t="s">
        <v>6016</v>
      </c>
      <c r="HNG18" t="s">
        <v>6017</v>
      </c>
      <c r="HNH18" t="s">
        <v>6018</v>
      </c>
      <c r="HNI18" t="s">
        <v>6019</v>
      </c>
      <c r="HNJ18" t="s">
        <v>6020</v>
      </c>
      <c r="HNK18" t="s">
        <v>6021</v>
      </c>
      <c r="HNL18" t="s">
        <v>6022</v>
      </c>
      <c r="HNM18" t="s">
        <v>6023</v>
      </c>
      <c r="HNN18" t="s">
        <v>6024</v>
      </c>
      <c r="HNO18" t="s">
        <v>6025</v>
      </c>
      <c r="HNP18" t="s">
        <v>6026</v>
      </c>
      <c r="HNQ18" t="s">
        <v>6027</v>
      </c>
      <c r="HNR18" t="s">
        <v>6028</v>
      </c>
      <c r="HNS18" t="s">
        <v>6029</v>
      </c>
      <c r="HNT18" t="s">
        <v>6030</v>
      </c>
      <c r="HNU18" t="s">
        <v>6031</v>
      </c>
      <c r="HNV18" t="s">
        <v>6032</v>
      </c>
      <c r="HNW18" t="s">
        <v>6033</v>
      </c>
      <c r="HNX18" t="s">
        <v>6034</v>
      </c>
      <c r="HNY18" t="s">
        <v>6035</v>
      </c>
      <c r="HNZ18" t="s">
        <v>6036</v>
      </c>
      <c r="HOA18" t="s">
        <v>6037</v>
      </c>
      <c r="HOB18" t="s">
        <v>6038</v>
      </c>
      <c r="HOC18" t="s">
        <v>6039</v>
      </c>
      <c r="HOD18" t="s">
        <v>6040</v>
      </c>
      <c r="HOE18" t="s">
        <v>6041</v>
      </c>
      <c r="HOF18" t="s">
        <v>6042</v>
      </c>
      <c r="HOG18" t="s">
        <v>6043</v>
      </c>
      <c r="HOH18" t="s">
        <v>6044</v>
      </c>
      <c r="HOI18" t="s">
        <v>6045</v>
      </c>
      <c r="HOJ18" t="s">
        <v>6046</v>
      </c>
      <c r="HOK18" t="s">
        <v>6047</v>
      </c>
      <c r="HOL18" t="s">
        <v>6048</v>
      </c>
      <c r="HOM18" t="s">
        <v>6049</v>
      </c>
      <c r="HON18" t="s">
        <v>6050</v>
      </c>
      <c r="HOO18" t="s">
        <v>6051</v>
      </c>
      <c r="HOP18" t="s">
        <v>6052</v>
      </c>
      <c r="HOQ18" t="s">
        <v>6053</v>
      </c>
      <c r="HOR18" t="s">
        <v>6054</v>
      </c>
      <c r="HOS18" t="s">
        <v>6055</v>
      </c>
      <c r="HOT18" t="s">
        <v>6056</v>
      </c>
      <c r="HOU18" t="s">
        <v>6057</v>
      </c>
      <c r="HOV18" t="s">
        <v>6058</v>
      </c>
      <c r="HOW18" t="s">
        <v>6059</v>
      </c>
      <c r="HOX18" t="s">
        <v>6060</v>
      </c>
      <c r="HOY18" t="s">
        <v>6061</v>
      </c>
      <c r="HOZ18" t="s">
        <v>6062</v>
      </c>
      <c r="HPA18" t="s">
        <v>6063</v>
      </c>
      <c r="HPB18" t="s">
        <v>6064</v>
      </c>
      <c r="HPC18" t="s">
        <v>6065</v>
      </c>
      <c r="HPD18" t="s">
        <v>6066</v>
      </c>
      <c r="HPE18" t="s">
        <v>6067</v>
      </c>
      <c r="HPF18" t="s">
        <v>6068</v>
      </c>
      <c r="HPG18" t="s">
        <v>6069</v>
      </c>
      <c r="HPH18" t="s">
        <v>6070</v>
      </c>
      <c r="HPI18" t="s">
        <v>6071</v>
      </c>
      <c r="HPJ18" t="s">
        <v>6072</v>
      </c>
      <c r="HPK18" t="s">
        <v>6073</v>
      </c>
      <c r="HPL18" t="s">
        <v>6074</v>
      </c>
      <c r="HPM18" t="s">
        <v>6075</v>
      </c>
      <c r="HPN18" t="s">
        <v>6076</v>
      </c>
      <c r="HPO18" t="s">
        <v>6077</v>
      </c>
      <c r="HPP18" t="s">
        <v>6078</v>
      </c>
      <c r="HPQ18" t="s">
        <v>6079</v>
      </c>
      <c r="HPR18" t="s">
        <v>6080</v>
      </c>
      <c r="HPS18" t="s">
        <v>6081</v>
      </c>
      <c r="HPT18" t="s">
        <v>6082</v>
      </c>
      <c r="HPU18" t="s">
        <v>6083</v>
      </c>
      <c r="HPV18" t="s">
        <v>6084</v>
      </c>
      <c r="HPW18" t="s">
        <v>6085</v>
      </c>
      <c r="HPX18" t="s">
        <v>6086</v>
      </c>
      <c r="HPY18" t="s">
        <v>6087</v>
      </c>
      <c r="HPZ18" t="s">
        <v>6088</v>
      </c>
      <c r="HQA18" t="s">
        <v>6089</v>
      </c>
      <c r="HQB18" t="s">
        <v>6090</v>
      </c>
      <c r="HQC18" t="s">
        <v>6091</v>
      </c>
      <c r="HQD18" t="s">
        <v>6092</v>
      </c>
      <c r="HQE18" t="s">
        <v>6093</v>
      </c>
      <c r="HQF18" t="s">
        <v>6094</v>
      </c>
      <c r="HQG18" t="s">
        <v>6095</v>
      </c>
      <c r="HQH18" t="s">
        <v>6096</v>
      </c>
      <c r="HQI18" t="s">
        <v>6097</v>
      </c>
      <c r="HQJ18" t="s">
        <v>6098</v>
      </c>
      <c r="HQK18" t="s">
        <v>6099</v>
      </c>
      <c r="HQL18" t="s">
        <v>6100</v>
      </c>
      <c r="HQM18" t="s">
        <v>6101</v>
      </c>
      <c r="HQN18" t="s">
        <v>6102</v>
      </c>
      <c r="HQO18" t="s">
        <v>6103</v>
      </c>
      <c r="HQP18" t="s">
        <v>6104</v>
      </c>
      <c r="HQQ18" t="s">
        <v>6105</v>
      </c>
      <c r="HQR18" t="s">
        <v>6106</v>
      </c>
      <c r="HQS18" t="s">
        <v>6107</v>
      </c>
      <c r="HQT18" t="s">
        <v>6108</v>
      </c>
      <c r="HQU18" t="s">
        <v>6109</v>
      </c>
      <c r="HQV18" t="s">
        <v>6110</v>
      </c>
      <c r="HQW18" t="s">
        <v>6111</v>
      </c>
      <c r="HQX18" t="s">
        <v>6112</v>
      </c>
      <c r="HQY18" t="s">
        <v>6113</v>
      </c>
      <c r="HQZ18" t="s">
        <v>6114</v>
      </c>
      <c r="HRA18" t="s">
        <v>6115</v>
      </c>
      <c r="HRB18" t="s">
        <v>6116</v>
      </c>
      <c r="HRC18" t="s">
        <v>6117</v>
      </c>
      <c r="HRD18" t="s">
        <v>6118</v>
      </c>
      <c r="HRE18" t="s">
        <v>6119</v>
      </c>
      <c r="HRF18" t="s">
        <v>6120</v>
      </c>
      <c r="HRG18" t="s">
        <v>6121</v>
      </c>
      <c r="HRH18" t="s">
        <v>6122</v>
      </c>
      <c r="HRI18" t="s">
        <v>6123</v>
      </c>
      <c r="HRJ18" t="s">
        <v>6124</v>
      </c>
      <c r="HRK18" t="s">
        <v>6125</v>
      </c>
      <c r="HRL18" t="s">
        <v>6126</v>
      </c>
      <c r="HRM18" t="s">
        <v>6127</v>
      </c>
      <c r="HRN18" t="s">
        <v>6128</v>
      </c>
      <c r="HRO18" t="s">
        <v>6129</v>
      </c>
      <c r="HRP18" t="s">
        <v>6130</v>
      </c>
      <c r="HRQ18" t="s">
        <v>6131</v>
      </c>
      <c r="HRR18" t="s">
        <v>6132</v>
      </c>
      <c r="HRS18" t="s">
        <v>6133</v>
      </c>
      <c r="HRT18" t="s">
        <v>6134</v>
      </c>
      <c r="HRU18" t="s">
        <v>6135</v>
      </c>
      <c r="HRV18" t="s">
        <v>6136</v>
      </c>
      <c r="HRW18" t="s">
        <v>6137</v>
      </c>
      <c r="HRX18" t="s">
        <v>6138</v>
      </c>
      <c r="HRY18" t="s">
        <v>6139</v>
      </c>
      <c r="HRZ18" t="s">
        <v>6140</v>
      </c>
      <c r="HSA18" t="s">
        <v>6141</v>
      </c>
      <c r="HSB18" t="s">
        <v>6142</v>
      </c>
      <c r="HSC18" t="s">
        <v>6143</v>
      </c>
      <c r="HSD18" t="s">
        <v>6144</v>
      </c>
      <c r="HSE18" t="s">
        <v>6145</v>
      </c>
      <c r="HSF18" t="s">
        <v>6146</v>
      </c>
      <c r="HSG18" t="s">
        <v>6147</v>
      </c>
      <c r="HSH18" t="s">
        <v>6148</v>
      </c>
      <c r="HSI18" t="s">
        <v>6149</v>
      </c>
      <c r="HSJ18" t="s">
        <v>6150</v>
      </c>
      <c r="HSK18" t="s">
        <v>6151</v>
      </c>
      <c r="HSL18" t="s">
        <v>6152</v>
      </c>
      <c r="HSM18" t="s">
        <v>6153</v>
      </c>
      <c r="HSN18" t="s">
        <v>6154</v>
      </c>
      <c r="HSO18" t="s">
        <v>6155</v>
      </c>
      <c r="HSP18" t="s">
        <v>6156</v>
      </c>
      <c r="HSQ18" t="s">
        <v>6157</v>
      </c>
      <c r="HSR18" t="s">
        <v>6158</v>
      </c>
      <c r="HSS18" t="s">
        <v>6159</v>
      </c>
      <c r="HST18" t="s">
        <v>6160</v>
      </c>
      <c r="HSU18" t="s">
        <v>6161</v>
      </c>
      <c r="HSV18" t="s">
        <v>6162</v>
      </c>
      <c r="HSW18" t="s">
        <v>6163</v>
      </c>
      <c r="HSX18" t="s">
        <v>6164</v>
      </c>
      <c r="HSY18" t="s">
        <v>6165</v>
      </c>
      <c r="HSZ18" t="s">
        <v>6166</v>
      </c>
      <c r="HTA18" t="s">
        <v>6167</v>
      </c>
      <c r="HTB18" t="s">
        <v>6168</v>
      </c>
      <c r="HTC18" t="s">
        <v>6169</v>
      </c>
      <c r="HTD18" t="s">
        <v>6170</v>
      </c>
      <c r="HTE18" t="s">
        <v>6171</v>
      </c>
      <c r="HTF18" t="s">
        <v>6172</v>
      </c>
      <c r="HTG18" t="s">
        <v>6173</v>
      </c>
      <c r="HTH18" t="s">
        <v>6174</v>
      </c>
      <c r="HTI18" t="s">
        <v>6175</v>
      </c>
      <c r="HTJ18" t="s">
        <v>6176</v>
      </c>
      <c r="HTK18" t="s">
        <v>6177</v>
      </c>
      <c r="HTL18" t="s">
        <v>6178</v>
      </c>
      <c r="HTM18" t="s">
        <v>6179</v>
      </c>
      <c r="HTN18" t="s">
        <v>6180</v>
      </c>
      <c r="HTO18" t="s">
        <v>6181</v>
      </c>
      <c r="HTP18" t="s">
        <v>6182</v>
      </c>
      <c r="HTQ18" t="s">
        <v>6183</v>
      </c>
      <c r="HTR18" t="s">
        <v>6184</v>
      </c>
      <c r="HTS18" t="s">
        <v>6185</v>
      </c>
      <c r="HTT18" t="s">
        <v>6186</v>
      </c>
      <c r="HTU18" t="s">
        <v>6187</v>
      </c>
      <c r="HTV18" t="s">
        <v>6188</v>
      </c>
      <c r="HTW18" t="s">
        <v>6189</v>
      </c>
      <c r="HTX18" t="s">
        <v>6190</v>
      </c>
      <c r="HTY18" t="s">
        <v>6191</v>
      </c>
      <c r="HTZ18" t="s">
        <v>6192</v>
      </c>
      <c r="HUA18" t="s">
        <v>6193</v>
      </c>
      <c r="HUB18" t="s">
        <v>6194</v>
      </c>
      <c r="HUC18" t="s">
        <v>6195</v>
      </c>
      <c r="HUD18" t="s">
        <v>6196</v>
      </c>
      <c r="HUE18" t="s">
        <v>6197</v>
      </c>
      <c r="HUF18" t="s">
        <v>6198</v>
      </c>
      <c r="HUG18" t="s">
        <v>6199</v>
      </c>
      <c r="HUH18" t="s">
        <v>6200</v>
      </c>
      <c r="HUI18" t="s">
        <v>6201</v>
      </c>
      <c r="HUJ18" t="s">
        <v>6202</v>
      </c>
      <c r="HUK18" t="s">
        <v>6203</v>
      </c>
      <c r="HUL18" t="s">
        <v>6204</v>
      </c>
      <c r="HUM18" t="s">
        <v>6205</v>
      </c>
      <c r="HUN18" t="s">
        <v>6206</v>
      </c>
      <c r="HUO18" t="s">
        <v>6207</v>
      </c>
      <c r="HUP18" t="s">
        <v>6208</v>
      </c>
      <c r="HUQ18" t="s">
        <v>6209</v>
      </c>
      <c r="HUR18" t="s">
        <v>6210</v>
      </c>
      <c r="HUS18" t="s">
        <v>6211</v>
      </c>
      <c r="HUT18" t="s">
        <v>6212</v>
      </c>
      <c r="HUU18" t="s">
        <v>6213</v>
      </c>
      <c r="HUV18" t="s">
        <v>6214</v>
      </c>
      <c r="HUW18" t="s">
        <v>6215</v>
      </c>
      <c r="HUX18" t="s">
        <v>6216</v>
      </c>
      <c r="HUY18" t="s">
        <v>6217</v>
      </c>
      <c r="HUZ18" t="s">
        <v>6218</v>
      </c>
      <c r="HVA18" t="s">
        <v>6219</v>
      </c>
      <c r="HVB18" t="s">
        <v>6220</v>
      </c>
      <c r="HVC18" t="s">
        <v>6221</v>
      </c>
      <c r="HVD18" t="s">
        <v>6222</v>
      </c>
      <c r="HVE18" t="s">
        <v>6223</v>
      </c>
      <c r="HVF18" t="s">
        <v>6224</v>
      </c>
      <c r="HVG18" t="s">
        <v>6225</v>
      </c>
      <c r="HVH18" t="s">
        <v>6226</v>
      </c>
      <c r="HVI18" t="s">
        <v>6227</v>
      </c>
      <c r="HVJ18" t="s">
        <v>6228</v>
      </c>
      <c r="HVK18" t="s">
        <v>6229</v>
      </c>
      <c r="HVL18" t="s">
        <v>6230</v>
      </c>
      <c r="HVM18" t="s">
        <v>6231</v>
      </c>
      <c r="HVN18" t="s">
        <v>6232</v>
      </c>
      <c r="HVO18" t="s">
        <v>6233</v>
      </c>
      <c r="HVP18" t="s">
        <v>6234</v>
      </c>
      <c r="HVQ18" t="s">
        <v>6235</v>
      </c>
      <c r="HVR18" t="s">
        <v>6236</v>
      </c>
      <c r="HVS18" t="s">
        <v>6237</v>
      </c>
      <c r="HVT18" t="s">
        <v>6238</v>
      </c>
      <c r="HVU18" t="s">
        <v>6239</v>
      </c>
      <c r="HVV18" t="s">
        <v>6240</v>
      </c>
      <c r="HVW18" t="s">
        <v>6241</v>
      </c>
      <c r="HVX18" t="s">
        <v>6242</v>
      </c>
      <c r="HVY18" t="s">
        <v>6243</v>
      </c>
      <c r="HVZ18" t="s">
        <v>6244</v>
      </c>
      <c r="HWA18" t="s">
        <v>6245</v>
      </c>
      <c r="HWB18" t="s">
        <v>6246</v>
      </c>
      <c r="HWC18" t="s">
        <v>6247</v>
      </c>
      <c r="HWD18" t="s">
        <v>6248</v>
      </c>
      <c r="HWE18" t="s">
        <v>6249</v>
      </c>
      <c r="HWF18" t="s">
        <v>6250</v>
      </c>
      <c r="HWG18" t="s">
        <v>6251</v>
      </c>
      <c r="HWH18" t="s">
        <v>6252</v>
      </c>
      <c r="HWI18" t="s">
        <v>6253</v>
      </c>
      <c r="HWJ18" t="s">
        <v>6254</v>
      </c>
      <c r="HWK18" t="s">
        <v>6255</v>
      </c>
      <c r="HWL18" t="s">
        <v>6256</v>
      </c>
      <c r="HWM18" t="s">
        <v>6257</v>
      </c>
      <c r="HWN18" t="s">
        <v>6258</v>
      </c>
      <c r="HWO18" t="s">
        <v>6259</v>
      </c>
      <c r="HWP18" t="s">
        <v>6260</v>
      </c>
      <c r="HWQ18" t="s">
        <v>6261</v>
      </c>
      <c r="HWR18" t="s">
        <v>6262</v>
      </c>
      <c r="HWS18" t="s">
        <v>6263</v>
      </c>
      <c r="HWT18" t="s">
        <v>6264</v>
      </c>
      <c r="HWU18" t="s">
        <v>6265</v>
      </c>
      <c r="HWV18" t="s">
        <v>6266</v>
      </c>
      <c r="HWW18" t="s">
        <v>6267</v>
      </c>
      <c r="HWX18" t="s">
        <v>6268</v>
      </c>
      <c r="HWY18" t="s">
        <v>6269</v>
      </c>
      <c r="HWZ18" t="s">
        <v>6270</v>
      </c>
      <c r="HXA18" t="s">
        <v>6271</v>
      </c>
      <c r="HXB18" t="s">
        <v>6272</v>
      </c>
      <c r="HXC18" t="s">
        <v>6273</v>
      </c>
      <c r="HXD18" t="s">
        <v>6274</v>
      </c>
      <c r="HXE18" t="s">
        <v>6275</v>
      </c>
      <c r="HXF18" t="s">
        <v>6276</v>
      </c>
      <c r="HXG18" t="s">
        <v>6277</v>
      </c>
      <c r="HXH18" t="s">
        <v>6278</v>
      </c>
      <c r="HXI18" t="s">
        <v>6279</v>
      </c>
      <c r="HXJ18" t="s">
        <v>6280</v>
      </c>
      <c r="HXK18" t="s">
        <v>6281</v>
      </c>
      <c r="HXL18" t="s">
        <v>6282</v>
      </c>
      <c r="HXM18" t="s">
        <v>6283</v>
      </c>
      <c r="HXN18" t="s">
        <v>6284</v>
      </c>
      <c r="HXO18" t="s">
        <v>6285</v>
      </c>
      <c r="HXP18" t="s">
        <v>6286</v>
      </c>
      <c r="HXQ18" t="s">
        <v>6287</v>
      </c>
      <c r="HXR18" t="s">
        <v>6288</v>
      </c>
      <c r="HXS18" t="s">
        <v>6289</v>
      </c>
      <c r="HXT18" t="s">
        <v>6290</v>
      </c>
      <c r="HXU18" t="s">
        <v>6291</v>
      </c>
      <c r="HXV18" t="s">
        <v>6292</v>
      </c>
      <c r="HXW18" t="s">
        <v>6293</v>
      </c>
      <c r="HXX18" t="s">
        <v>6294</v>
      </c>
      <c r="HXY18" t="s">
        <v>6295</v>
      </c>
      <c r="HXZ18" t="s">
        <v>6296</v>
      </c>
      <c r="HYA18" t="s">
        <v>6297</v>
      </c>
      <c r="HYB18" t="s">
        <v>6298</v>
      </c>
      <c r="HYC18" t="s">
        <v>6299</v>
      </c>
      <c r="HYD18" t="s">
        <v>6300</v>
      </c>
      <c r="HYE18" t="s">
        <v>6301</v>
      </c>
      <c r="HYF18" t="s">
        <v>6302</v>
      </c>
      <c r="HYG18" t="s">
        <v>6303</v>
      </c>
      <c r="HYH18" t="s">
        <v>6304</v>
      </c>
      <c r="HYI18" t="s">
        <v>6305</v>
      </c>
      <c r="HYJ18" t="s">
        <v>6306</v>
      </c>
      <c r="HYK18" t="s">
        <v>6307</v>
      </c>
      <c r="HYL18" t="s">
        <v>6308</v>
      </c>
      <c r="HYM18" t="s">
        <v>6309</v>
      </c>
      <c r="HYN18" t="s">
        <v>6310</v>
      </c>
      <c r="HYO18" t="s">
        <v>6311</v>
      </c>
      <c r="HYP18" t="s">
        <v>6312</v>
      </c>
      <c r="HYQ18" t="s">
        <v>6313</v>
      </c>
      <c r="HYR18" t="s">
        <v>6314</v>
      </c>
      <c r="HYS18" t="s">
        <v>6315</v>
      </c>
      <c r="HYT18" t="s">
        <v>6316</v>
      </c>
      <c r="HYU18" t="s">
        <v>6317</v>
      </c>
      <c r="HYV18" t="s">
        <v>6318</v>
      </c>
      <c r="HYW18" t="s">
        <v>6319</v>
      </c>
      <c r="HYX18" t="s">
        <v>6320</v>
      </c>
      <c r="HYY18" t="s">
        <v>6321</v>
      </c>
      <c r="HYZ18" t="s">
        <v>6322</v>
      </c>
      <c r="HZA18" t="s">
        <v>6323</v>
      </c>
      <c r="HZB18" t="s">
        <v>6324</v>
      </c>
      <c r="HZC18" t="s">
        <v>6325</v>
      </c>
      <c r="HZD18" t="s">
        <v>6326</v>
      </c>
      <c r="HZE18" t="s">
        <v>6327</v>
      </c>
      <c r="HZF18" t="s">
        <v>6328</v>
      </c>
      <c r="HZG18" t="s">
        <v>6329</v>
      </c>
      <c r="HZH18" t="s">
        <v>6330</v>
      </c>
      <c r="HZI18" t="s">
        <v>6331</v>
      </c>
      <c r="HZJ18" t="s">
        <v>6332</v>
      </c>
      <c r="HZK18" t="s">
        <v>6333</v>
      </c>
      <c r="HZL18" t="s">
        <v>6334</v>
      </c>
      <c r="HZM18" t="s">
        <v>6335</v>
      </c>
      <c r="HZN18" t="s">
        <v>6336</v>
      </c>
      <c r="HZO18" t="s">
        <v>6337</v>
      </c>
      <c r="HZP18" t="s">
        <v>6338</v>
      </c>
      <c r="HZQ18" t="s">
        <v>6339</v>
      </c>
      <c r="HZR18" t="s">
        <v>6340</v>
      </c>
      <c r="HZS18" t="s">
        <v>6341</v>
      </c>
      <c r="HZT18" t="s">
        <v>6342</v>
      </c>
      <c r="HZU18" t="s">
        <v>6343</v>
      </c>
      <c r="HZV18" t="s">
        <v>6344</v>
      </c>
      <c r="HZW18" t="s">
        <v>6345</v>
      </c>
      <c r="HZX18" t="s">
        <v>6346</v>
      </c>
      <c r="HZY18" t="s">
        <v>6347</v>
      </c>
      <c r="HZZ18" t="s">
        <v>6348</v>
      </c>
      <c r="IAA18" t="s">
        <v>6349</v>
      </c>
      <c r="IAB18" t="s">
        <v>6350</v>
      </c>
      <c r="IAC18" t="s">
        <v>6351</v>
      </c>
      <c r="IAD18" t="s">
        <v>6352</v>
      </c>
      <c r="IAE18" t="s">
        <v>6353</v>
      </c>
      <c r="IAF18" t="s">
        <v>6354</v>
      </c>
      <c r="IAG18" t="s">
        <v>6355</v>
      </c>
      <c r="IAH18" t="s">
        <v>6356</v>
      </c>
      <c r="IAI18" t="s">
        <v>6357</v>
      </c>
      <c r="IAJ18" t="s">
        <v>6358</v>
      </c>
      <c r="IAK18" t="s">
        <v>6359</v>
      </c>
      <c r="IAL18" t="s">
        <v>6360</v>
      </c>
      <c r="IAM18" t="s">
        <v>6361</v>
      </c>
      <c r="IAN18" t="s">
        <v>6362</v>
      </c>
      <c r="IAO18" t="s">
        <v>6363</v>
      </c>
      <c r="IAP18" t="s">
        <v>6364</v>
      </c>
      <c r="IAQ18" t="s">
        <v>6365</v>
      </c>
      <c r="IAR18" t="s">
        <v>6366</v>
      </c>
      <c r="IAS18" t="s">
        <v>6367</v>
      </c>
      <c r="IAT18" t="s">
        <v>6368</v>
      </c>
      <c r="IAU18" t="s">
        <v>6369</v>
      </c>
      <c r="IAV18" t="s">
        <v>6370</v>
      </c>
      <c r="IAW18" t="s">
        <v>6371</v>
      </c>
      <c r="IAX18" t="s">
        <v>6372</v>
      </c>
      <c r="IAY18" t="s">
        <v>6373</v>
      </c>
      <c r="IAZ18" t="s">
        <v>6374</v>
      </c>
      <c r="IBA18" t="s">
        <v>6375</v>
      </c>
      <c r="IBB18" t="s">
        <v>6376</v>
      </c>
      <c r="IBC18" t="s">
        <v>6377</v>
      </c>
      <c r="IBD18" t="s">
        <v>6378</v>
      </c>
      <c r="IBE18" t="s">
        <v>6379</v>
      </c>
      <c r="IBF18" t="s">
        <v>6380</v>
      </c>
      <c r="IBG18" t="s">
        <v>6381</v>
      </c>
      <c r="IBH18" t="s">
        <v>6382</v>
      </c>
      <c r="IBI18" t="s">
        <v>6383</v>
      </c>
      <c r="IBJ18" t="s">
        <v>6384</v>
      </c>
      <c r="IBK18" t="s">
        <v>6385</v>
      </c>
      <c r="IBL18" t="s">
        <v>6386</v>
      </c>
      <c r="IBM18" t="s">
        <v>6387</v>
      </c>
      <c r="IBN18" t="s">
        <v>6388</v>
      </c>
      <c r="IBO18" t="s">
        <v>6389</v>
      </c>
      <c r="IBP18" t="s">
        <v>6390</v>
      </c>
      <c r="IBQ18" t="s">
        <v>6391</v>
      </c>
      <c r="IBR18" t="s">
        <v>6392</v>
      </c>
      <c r="IBS18" t="s">
        <v>6393</v>
      </c>
      <c r="IBT18" t="s">
        <v>6394</v>
      </c>
      <c r="IBU18" t="s">
        <v>6395</v>
      </c>
      <c r="IBV18" t="s">
        <v>6396</v>
      </c>
      <c r="IBW18" t="s">
        <v>6397</v>
      </c>
      <c r="IBX18" t="s">
        <v>6398</v>
      </c>
      <c r="IBY18" t="s">
        <v>6399</v>
      </c>
      <c r="IBZ18" t="s">
        <v>6400</v>
      </c>
      <c r="ICA18" t="s">
        <v>6401</v>
      </c>
      <c r="ICB18" t="s">
        <v>6402</v>
      </c>
      <c r="ICC18" t="s">
        <v>6403</v>
      </c>
      <c r="ICD18" t="s">
        <v>6404</v>
      </c>
      <c r="ICE18" t="s">
        <v>6405</v>
      </c>
      <c r="ICF18" t="s">
        <v>6406</v>
      </c>
      <c r="ICG18" t="s">
        <v>6407</v>
      </c>
      <c r="ICH18" t="s">
        <v>6408</v>
      </c>
      <c r="ICI18" t="s">
        <v>6409</v>
      </c>
      <c r="ICJ18" t="s">
        <v>6410</v>
      </c>
      <c r="ICK18" t="s">
        <v>6411</v>
      </c>
      <c r="ICL18" t="s">
        <v>6412</v>
      </c>
      <c r="ICM18" t="s">
        <v>6413</v>
      </c>
      <c r="ICN18" t="s">
        <v>6414</v>
      </c>
      <c r="ICO18" t="s">
        <v>6415</v>
      </c>
      <c r="ICP18" t="s">
        <v>6416</v>
      </c>
      <c r="ICQ18" t="s">
        <v>6417</v>
      </c>
      <c r="ICR18" t="s">
        <v>6418</v>
      </c>
      <c r="ICS18" t="s">
        <v>6419</v>
      </c>
      <c r="ICT18" t="s">
        <v>6420</v>
      </c>
      <c r="ICU18" t="s">
        <v>6421</v>
      </c>
      <c r="ICV18" t="s">
        <v>6422</v>
      </c>
      <c r="ICW18" t="s">
        <v>6423</v>
      </c>
      <c r="ICX18" t="s">
        <v>6424</v>
      </c>
      <c r="ICY18" t="s">
        <v>6425</v>
      </c>
      <c r="ICZ18" t="s">
        <v>6426</v>
      </c>
      <c r="IDA18" t="s">
        <v>6427</v>
      </c>
      <c r="IDB18" t="s">
        <v>6428</v>
      </c>
      <c r="IDC18" t="s">
        <v>6429</v>
      </c>
      <c r="IDD18" t="s">
        <v>6430</v>
      </c>
      <c r="IDE18" t="s">
        <v>6431</v>
      </c>
      <c r="IDF18" t="s">
        <v>6432</v>
      </c>
      <c r="IDG18" t="s">
        <v>6433</v>
      </c>
      <c r="IDH18" t="s">
        <v>6434</v>
      </c>
      <c r="IDI18" t="s">
        <v>6435</v>
      </c>
      <c r="IDJ18" t="s">
        <v>6436</v>
      </c>
      <c r="IDK18" t="s">
        <v>6437</v>
      </c>
      <c r="IDL18" t="s">
        <v>6438</v>
      </c>
      <c r="IDM18" t="s">
        <v>6439</v>
      </c>
      <c r="IDN18" t="s">
        <v>6440</v>
      </c>
      <c r="IDO18" t="s">
        <v>6441</v>
      </c>
      <c r="IDP18" t="s">
        <v>6442</v>
      </c>
      <c r="IDQ18" t="s">
        <v>6443</v>
      </c>
      <c r="IDR18" t="s">
        <v>6444</v>
      </c>
      <c r="IDS18" t="s">
        <v>6445</v>
      </c>
      <c r="IDT18" t="s">
        <v>6446</v>
      </c>
      <c r="IDU18" t="s">
        <v>6447</v>
      </c>
      <c r="IDV18" t="s">
        <v>6448</v>
      </c>
      <c r="IDW18" t="s">
        <v>6449</v>
      </c>
      <c r="IDX18" t="s">
        <v>6450</v>
      </c>
      <c r="IDY18" t="s">
        <v>6451</v>
      </c>
      <c r="IDZ18" t="s">
        <v>6452</v>
      </c>
      <c r="IEA18" t="s">
        <v>6453</v>
      </c>
      <c r="IEB18" t="s">
        <v>6454</v>
      </c>
      <c r="IEC18" t="s">
        <v>6455</v>
      </c>
      <c r="IED18" t="s">
        <v>6456</v>
      </c>
      <c r="IEE18" t="s">
        <v>6457</v>
      </c>
      <c r="IEF18" t="s">
        <v>6458</v>
      </c>
      <c r="IEG18" t="s">
        <v>6459</v>
      </c>
      <c r="IEH18" t="s">
        <v>6460</v>
      </c>
      <c r="IEI18" t="s">
        <v>6461</v>
      </c>
      <c r="IEJ18" t="s">
        <v>6462</v>
      </c>
      <c r="IEK18" t="s">
        <v>6463</v>
      </c>
      <c r="IEL18" t="s">
        <v>6464</v>
      </c>
      <c r="IEM18" t="s">
        <v>6465</v>
      </c>
      <c r="IEN18" t="s">
        <v>6466</v>
      </c>
      <c r="IEO18" t="s">
        <v>6467</v>
      </c>
      <c r="IEP18" t="s">
        <v>6468</v>
      </c>
      <c r="IEQ18" t="s">
        <v>6469</v>
      </c>
      <c r="IER18" t="s">
        <v>6470</v>
      </c>
      <c r="IES18" t="s">
        <v>6471</v>
      </c>
      <c r="IET18" t="s">
        <v>6472</v>
      </c>
      <c r="IEU18" t="s">
        <v>6473</v>
      </c>
      <c r="IEV18" t="s">
        <v>6474</v>
      </c>
      <c r="IEW18" t="s">
        <v>6475</v>
      </c>
      <c r="IEX18" t="s">
        <v>6476</v>
      </c>
      <c r="IEY18" t="s">
        <v>6477</v>
      </c>
      <c r="IEZ18" t="s">
        <v>6478</v>
      </c>
      <c r="IFA18" t="s">
        <v>6479</v>
      </c>
      <c r="IFB18" t="s">
        <v>6480</v>
      </c>
      <c r="IFC18" t="s">
        <v>6481</v>
      </c>
      <c r="IFD18" t="s">
        <v>6482</v>
      </c>
      <c r="IFE18" t="s">
        <v>6483</v>
      </c>
      <c r="IFF18" t="s">
        <v>6484</v>
      </c>
      <c r="IFG18" t="s">
        <v>6485</v>
      </c>
      <c r="IFH18" t="s">
        <v>6486</v>
      </c>
      <c r="IFI18" t="s">
        <v>6487</v>
      </c>
      <c r="IFJ18" t="s">
        <v>6488</v>
      </c>
      <c r="IFK18" t="s">
        <v>6489</v>
      </c>
      <c r="IFL18" t="s">
        <v>6490</v>
      </c>
      <c r="IFM18" t="s">
        <v>6491</v>
      </c>
      <c r="IFN18" t="s">
        <v>6492</v>
      </c>
      <c r="IFO18" t="s">
        <v>6493</v>
      </c>
      <c r="IFP18" t="s">
        <v>6494</v>
      </c>
      <c r="IFQ18" t="s">
        <v>6495</v>
      </c>
      <c r="IFR18" t="s">
        <v>6496</v>
      </c>
      <c r="IFS18" t="s">
        <v>6497</v>
      </c>
      <c r="IFT18" t="s">
        <v>6498</v>
      </c>
      <c r="IFU18" t="s">
        <v>6499</v>
      </c>
      <c r="IFV18" t="s">
        <v>6500</v>
      </c>
      <c r="IFW18" t="s">
        <v>6501</v>
      </c>
      <c r="IFX18" t="s">
        <v>6502</v>
      </c>
      <c r="IFY18" t="s">
        <v>6503</v>
      </c>
      <c r="IFZ18" t="s">
        <v>6504</v>
      </c>
      <c r="IGA18" t="s">
        <v>6505</v>
      </c>
      <c r="IGB18" t="s">
        <v>6506</v>
      </c>
      <c r="IGC18" t="s">
        <v>6507</v>
      </c>
      <c r="IGD18" t="s">
        <v>6508</v>
      </c>
      <c r="IGE18" t="s">
        <v>6509</v>
      </c>
      <c r="IGF18" t="s">
        <v>6510</v>
      </c>
      <c r="IGG18" t="s">
        <v>6511</v>
      </c>
      <c r="IGH18" t="s">
        <v>6512</v>
      </c>
      <c r="IGI18" t="s">
        <v>6513</v>
      </c>
      <c r="IGJ18" t="s">
        <v>6514</v>
      </c>
      <c r="IGK18" t="s">
        <v>6515</v>
      </c>
      <c r="IGL18" t="s">
        <v>6516</v>
      </c>
      <c r="IGM18" t="s">
        <v>6517</v>
      </c>
      <c r="IGN18" t="s">
        <v>6518</v>
      </c>
      <c r="IGO18" t="s">
        <v>6519</v>
      </c>
      <c r="IGP18" t="s">
        <v>6520</v>
      </c>
      <c r="IGQ18" t="s">
        <v>6521</v>
      </c>
      <c r="IGR18" t="s">
        <v>6522</v>
      </c>
      <c r="IGS18" t="s">
        <v>6523</v>
      </c>
      <c r="IGT18" t="s">
        <v>6524</v>
      </c>
      <c r="IGU18" t="s">
        <v>6525</v>
      </c>
      <c r="IGV18" t="s">
        <v>6526</v>
      </c>
      <c r="IGW18" t="s">
        <v>6527</v>
      </c>
      <c r="IGX18" t="s">
        <v>6528</v>
      </c>
      <c r="IGY18" t="s">
        <v>6529</v>
      </c>
      <c r="IGZ18" t="s">
        <v>6530</v>
      </c>
      <c r="IHA18" t="s">
        <v>6531</v>
      </c>
      <c r="IHB18" t="s">
        <v>6532</v>
      </c>
      <c r="IHC18" t="s">
        <v>6533</v>
      </c>
      <c r="IHD18" t="s">
        <v>6534</v>
      </c>
      <c r="IHE18" t="s">
        <v>6535</v>
      </c>
      <c r="IHF18" t="s">
        <v>6536</v>
      </c>
      <c r="IHG18" t="s">
        <v>6537</v>
      </c>
      <c r="IHH18" t="s">
        <v>6538</v>
      </c>
      <c r="IHI18" t="s">
        <v>6539</v>
      </c>
      <c r="IHJ18" t="s">
        <v>6540</v>
      </c>
      <c r="IHK18" t="s">
        <v>6541</v>
      </c>
      <c r="IHL18" t="s">
        <v>6542</v>
      </c>
      <c r="IHM18" t="s">
        <v>6543</v>
      </c>
      <c r="IHN18" t="s">
        <v>6544</v>
      </c>
      <c r="IHO18" t="s">
        <v>6545</v>
      </c>
      <c r="IHP18" t="s">
        <v>6546</v>
      </c>
      <c r="IHQ18" t="s">
        <v>6547</v>
      </c>
      <c r="IHR18" t="s">
        <v>6548</v>
      </c>
      <c r="IHS18" t="s">
        <v>6549</v>
      </c>
      <c r="IHT18" t="s">
        <v>6550</v>
      </c>
      <c r="IHU18" t="s">
        <v>6551</v>
      </c>
      <c r="IHV18" t="s">
        <v>6552</v>
      </c>
      <c r="IHW18" t="s">
        <v>6553</v>
      </c>
      <c r="IHX18" t="s">
        <v>6554</v>
      </c>
      <c r="IHY18" t="s">
        <v>6555</v>
      </c>
      <c r="IHZ18" t="s">
        <v>6556</v>
      </c>
      <c r="IIA18" t="s">
        <v>6557</v>
      </c>
      <c r="IIB18" t="s">
        <v>6558</v>
      </c>
      <c r="IIC18" t="s">
        <v>6559</v>
      </c>
      <c r="IID18" t="s">
        <v>6560</v>
      </c>
      <c r="IIE18" t="s">
        <v>6561</v>
      </c>
      <c r="IIF18" t="s">
        <v>6562</v>
      </c>
      <c r="IIG18" t="s">
        <v>6563</v>
      </c>
      <c r="IIH18" t="s">
        <v>6564</v>
      </c>
      <c r="III18" t="s">
        <v>6565</v>
      </c>
      <c r="IIJ18" t="s">
        <v>6566</v>
      </c>
      <c r="IIK18" t="s">
        <v>6567</v>
      </c>
      <c r="IIL18" t="s">
        <v>6568</v>
      </c>
      <c r="IIM18" t="s">
        <v>6569</v>
      </c>
      <c r="IIN18" t="s">
        <v>6570</v>
      </c>
      <c r="IIO18" t="s">
        <v>6571</v>
      </c>
      <c r="IIP18" t="s">
        <v>6572</v>
      </c>
      <c r="IIQ18" t="s">
        <v>6573</v>
      </c>
      <c r="IIR18" t="s">
        <v>6574</v>
      </c>
      <c r="IIS18" t="s">
        <v>6575</v>
      </c>
      <c r="IIT18" t="s">
        <v>6576</v>
      </c>
      <c r="IIU18" t="s">
        <v>6577</v>
      </c>
      <c r="IIV18" t="s">
        <v>6578</v>
      </c>
      <c r="IIW18" t="s">
        <v>6579</v>
      </c>
      <c r="IIX18" t="s">
        <v>6580</v>
      </c>
      <c r="IIY18" t="s">
        <v>6581</v>
      </c>
      <c r="IIZ18" t="s">
        <v>6582</v>
      </c>
      <c r="IJA18" t="s">
        <v>6583</v>
      </c>
      <c r="IJB18" t="s">
        <v>6584</v>
      </c>
      <c r="IJC18" t="s">
        <v>6585</v>
      </c>
      <c r="IJD18" t="s">
        <v>6586</v>
      </c>
      <c r="IJE18" t="s">
        <v>6587</v>
      </c>
      <c r="IJF18" t="s">
        <v>6588</v>
      </c>
      <c r="IJG18" t="s">
        <v>6589</v>
      </c>
      <c r="IJH18" t="s">
        <v>6590</v>
      </c>
      <c r="IJI18" t="s">
        <v>6591</v>
      </c>
      <c r="IJJ18" t="s">
        <v>6592</v>
      </c>
      <c r="IJK18" t="s">
        <v>6593</v>
      </c>
      <c r="IJL18" t="s">
        <v>6594</v>
      </c>
      <c r="IJM18" t="s">
        <v>6595</v>
      </c>
      <c r="IJN18" t="s">
        <v>6596</v>
      </c>
      <c r="IJO18" t="s">
        <v>6597</v>
      </c>
      <c r="IJP18" t="s">
        <v>6598</v>
      </c>
      <c r="IJQ18" t="s">
        <v>6599</v>
      </c>
      <c r="IJR18" t="s">
        <v>6600</v>
      </c>
      <c r="IJS18" t="s">
        <v>6601</v>
      </c>
      <c r="IJT18" t="s">
        <v>6602</v>
      </c>
      <c r="IJU18" t="s">
        <v>6603</v>
      </c>
      <c r="IJV18" t="s">
        <v>6604</v>
      </c>
      <c r="IJW18" t="s">
        <v>6605</v>
      </c>
      <c r="IJX18" t="s">
        <v>6606</v>
      </c>
      <c r="IJY18" t="s">
        <v>6607</v>
      </c>
      <c r="IJZ18" t="s">
        <v>6608</v>
      </c>
      <c r="IKA18" t="s">
        <v>6609</v>
      </c>
      <c r="IKB18" t="s">
        <v>6610</v>
      </c>
      <c r="IKC18" t="s">
        <v>6611</v>
      </c>
      <c r="IKD18" t="s">
        <v>6612</v>
      </c>
      <c r="IKE18" t="s">
        <v>6613</v>
      </c>
      <c r="IKF18" t="s">
        <v>6614</v>
      </c>
      <c r="IKG18" t="s">
        <v>6615</v>
      </c>
      <c r="IKH18" t="s">
        <v>6616</v>
      </c>
      <c r="IKI18" t="s">
        <v>6617</v>
      </c>
      <c r="IKJ18" t="s">
        <v>6618</v>
      </c>
      <c r="IKK18" t="s">
        <v>6619</v>
      </c>
      <c r="IKL18" t="s">
        <v>6620</v>
      </c>
      <c r="IKM18" t="s">
        <v>6621</v>
      </c>
      <c r="IKN18" t="s">
        <v>6622</v>
      </c>
      <c r="IKO18" t="s">
        <v>6623</v>
      </c>
      <c r="IKP18" t="s">
        <v>6624</v>
      </c>
      <c r="IKQ18" t="s">
        <v>6625</v>
      </c>
      <c r="IKR18" t="s">
        <v>6626</v>
      </c>
      <c r="IKS18" t="s">
        <v>6627</v>
      </c>
      <c r="IKT18" t="s">
        <v>6628</v>
      </c>
      <c r="IKU18" t="s">
        <v>6629</v>
      </c>
      <c r="IKV18" t="s">
        <v>6630</v>
      </c>
      <c r="IKW18" t="s">
        <v>6631</v>
      </c>
      <c r="IKX18" t="s">
        <v>6632</v>
      </c>
      <c r="IKY18" t="s">
        <v>6633</v>
      </c>
      <c r="IKZ18" t="s">
        <v>6634</v>
      </c>
      <c r="ILA18" t="s">
        <v>6635</v>
      </c>
      <c r="ILB18" t="s">
        <v>6636</v>
      </c>
      <c r="ILC18" t="s">
        <v>6637</v>
      </c>
      <c r="ILD18" t="s">
        <v>6638</v>
      </c>
      <c r="ILE18" t="s">
        <v>6639</v>
      </c>
      <c r="ILF18" t="s">
        <v>6640</v>
      </c>
      <c r="ILG18" t="s">
        <v>6641</v>
      </c>
      <c r="ILH18" t="s">
        <v>6642</v>
      </c>
      <c r="ILI18" t="s">
        <v>6643</v>
      </c>
      <c r="ILJ18" t="s">
        <v>6644</v>
      </c>
      <c r="ILK18" t="s">
        <v>6645</v>
      </c>
      <c r="ILL18" t="s">
        <v>6646</v>
      </c>
      <c r="ILM18" t="s">
        <v>6647</v>
      </c>
      <c r="ILN18" t="s">
        <v>6648</v>
      </c>
      <c r="ILO18" t="s">
        <v>6649</v>
      </c>
      <c r="ILP18" t="s">
        <v>6650</v>
      </c>
      <c r="ILQ18" t="s">
        <v>6651</v>
      </c>
      <c r="ILR18" t="s">
        <v>6652</v>
      </c>
      <c r="ILS18" t="s">
        <v>6653</v>
      </c>
      <c r="ILT18" t="s">
        <v>6654</v>
      </c>
      <c r="ILU18" t="s">
        <v>6655</v>
      </c>
      <c r="ILV18" t="s">
        <v>6656</v>
      </c>
      <c r="ILW18" t="s">
        <v>6657</v>
      </c>
      <c r="ILX18" t="s">
        <v>6658</v>
      </c>
      <c r="ILY18" t="s">
        <v>6659</v>
      </c>
      <c r="ILZ18" t="s">
        <v>6660</v>
      </c>
      <c r="IMA18" t="s">
        <v>6661</v>
      </c>
      <c r="IMB18" t="s">
        <v>6662</v>
      </c>
      <c r="IMC18" t="s">
        <v>6663</v>
      </c>
      <c r="IMD18" t="s">
        <v>6664</v>
      </c>
      <c r="IME18" t="s">
        <v>6665</v>
      </c>
      <c r="IMF18" t="s">
        <v>6666</v>
      </c>
      <c r="IMG18" t="s">
        <v>6667</v>
      </c>
      <c r="IMH18" t="s">
        <v>6668</v>
      </c>
      <c r="IMI18" t="s">
        <v>6669</v>
      </c>
      <c r="IMJ18" t="s">
        <v>6670</v>
      </c>
      <c r="IMK18" t="s">
        <v>6671</v>
      </c>
      <c r="IML18" t="s">
        <v>6672</v>
      </c>
      <c r="IMM18" t="s">
        <v>6673</v>
      </c>
      <c r="IMN18" t="s">
        <v>6674</v>
      </c>
      <c r="IMO18" t="s">
        <v>6675</v>
      </c>
      <c r="IMP18" t="s">
        <v>6676</v>
      </c>
      <c r="IMQ18" t="s">
        <v>6677</v>
      </c>
      <c r="IMR18" t="s">
        <v>6678</v>
      </c>
      <c r="IMS18" t="s">
        <v>6679</v>
      </c>
      <c r="IMT18" t="s">
        <v>6680</v>
      </c>
      <c r="IMU18" t="s">
        <v>6681</v>
      </c>
      <c r="IMV18" t="s">
        <v>6682</v>
      </c>
      <c r="IMW18" t="s">
        <v>6683</v>
      </c>
      <c r="IMX18" t="s">
        <v>6684</v>
      </c>
      <c r="IMY18" t="s">
        <v>6685</v>
      </c>
      <c r="IMZ18" t="s">
        <v>6686</v>
      </c>
      <c r="INA18" t="s">
        <v>6687</v>
      </c>
      <c r="INB18" t="s">
        <v>6688</v>
      </c>
      <c r="INC18" t="s">
        <v>6689</v>
      </c>
      <c r="IND18" t="s">
        <v>6690</v>
      </c>
      <c r="INE18" t="s">
        <v>6691</v>
      </c>
      <c r="INF18" t="s">
        <v>6692</v>
      </c>
      <c r="ING18" t="s">
        <v>6693</v>
      </c>
      <c r="INH18" t="s">
        <v>6694</v>
      </c>
      <c r="INI18" t="s">
        <v>6695</v>
      </c>
      <c r="INJ18" t="s">
        <v>6696</v>
      </c>
      <c r="INK18" t="s">
        <v>6697</v>
      </c>
      <c r="INL18" t="s">
        <v>6698</v>
      </c>
      <c r="INM18" t="s">
        <v>6699</v>
      </c>
      <c r="INN18" t="s">
        <v>6700</v>
      </c>
      <c r="INO18" t="s">
        <v>6701</v>
      </c>
      <c r="INP18" t="s">
        <v>6702</v>
      </c>
      <c r="INQ18" t="s">
        <v>6703</v>
      </c>
      <c r="INR18" t="s">
        <v>6704</v>
      </c>
      <c r="INS18" t="s">
        <v>6705</v>
      </c>
      <c r="INT18" t="s">
        <v>6706</v>
      </c>
      <c r="INU18" t="s">
        <v>6707</v>
      </c>
      <c r="INV18" t="s">
        <v>6708</v>
      </c>
      <c r="INW18" t="s">
        <v>6709</v>
      </c>
      <c r="INX18" t="s">
        <v>6710</v>
      </c>
      <c r="INY18" t="s">
        <v>6711</v>
      </c>
      <c r="INZ18" t="s">
        <v>6712</v>
      </c>
      <c r="IOA18" t="s">
        <v>6713</v>
      </c>
      <c r="IOB18" t="s">
        <v>6714</v>
      </c>
      <c r="IOC18" t="s">
        <v>6715</v>
      </c>
      <c r="IOD18" t="s">
        <v>6716</v>
      </c>
      <c r="IOE18" t="s">
        <v>6717</v>
      </c>
      <c r="IOF18" t="s">
        <v>6718</v>
      </c>
      <c r="IOG18" t="s">
        <v>6719</v>
      </c>
      <c r="IOH18" t="s">
        <v>6720</v>
      </c>
      <c r="IOI18" t="s">
        <v>6721</v>
      </c>
      <c r="IOJ18" t="s">
        <v>6722</v>
      </c>
      <c r="IOK18" t="s">
        <v>6723</v>
      </c>
      <c r="IOL18" t="s">
        <v>6724</v>
      </c>
      <c r="IOM18" t="s">
        <v>6725</v>
      </c>
      <c r="ION18" t="s">
        <v>6726</v>
      </c>
      <c r="IOO18" t="s">
        <v>6727</v>
      </c>
      <c r="IOP18" t="s">
        <v>6728</v>
      </c>
      <c r="IOQ18" t="s">
        <v>6729</v>
      </c>
      <c r="IOR18" t="s">
        <v>6730</v>
      </c>
      <c r="IOS18" t="s">
        <v>6731</v>
      </c>
      <c r="IOT18" t="s">
        <v>6732</v>
      </c>
      <c r="IOU18" t="s">
        <v>6733</v>
      </c>
      <c r="IOV18" t="s">
        <v>6734</v>
      </c>
      <c r="IOW18" t="s">
        <v>6735</v>
      </c>
      <c r="IOX18" t="s">
        <v>6736</v>
      </c>
      <c r="IOY18" t="s">
        <v>6737</v>
      </c>
      <c r="IOZ18" t="s">
        <v>6738</v>
      </c>
      <c r="IPA18" t="s">
        <v>6739</v>
      </c>
      <c r="IPB18" t="s">
        <v>6740</v>
      </c>
      <c r="IPC18" t="s">
        <v>6741</v>
      </c>
      <c r="IPD18" t="s">
        <v>6742</v>
      </c>
      <c r="IPE18" t="s">
        <v>6743</v>
      </c>
      <c r="IPF18" t="s">
        <v>6744</v>
      </c>
      <c r="IPG18" t="s">
        <v>6745</v>
      </c>
      <c r="IPH18" t="s">
        <v>6746</v>
      </c>
      <c r="IPI18" t="s">
        <v>6747</v>
      </c>
      <c r="IPJ18" t="s">
        <v>6748</v>
      </c>
      <c r="IPK18" t="s">
        <v>6749</v>
      </c>
      <c r="IPL18" t="s">
        <v>6750</v>
      </c>
      <c r="IPM18" t="s">
        <v>6751</v>
      </c>
      <c r="IPN18" t="s">
        <v>6752</v>
      </c>
      <c r="IPO18" t="s">
        <v>6753</v>
      </c>
      <c r="IPP18" t="s">
        <v>6754</v>
      </c>
      <c r="IPQ18" t="s">
        <v>6755</v>
      </c>
      <c r="IPR18" t="s">
        <v>6756</v>
      </c>
      <c r="IPS18" t="s">
        <v>6757</v>
      </c>
      <c r="IPT18" t="s">
        <v>6758</v>
      </c>
      <c r="IPU18" t="s">
        <v>6759</v>
      </c>
      <c r="IPV18" t="s">
        <v>6760</v>
      </c>
      <c r="IPW18" t="s">
        <v>6761</v>
      </c>
      <c r="IPX18" t="s">
        <v>6762</v>
      </c>
      <c r="IPY18" t="s">
        <v>6763</v>
      </c>
      <c r="IPZ18" t="s">
        <v>6764</v>
      </c>
      <c r="IQA18" t="s">
        <v>6765</v>
      </c>
      <c r="IQB18" t="s">
        <v>6766</v>
      </c>
      <c r="IQC18" t="s">
        <v>6767</v>
      </c>
      <c r="IQD18" t="s">
        <v>6768</v>
      </c>
      <c r="IQE18" t="s">
        <v>6769</v>
      </c>
      <c r="IQF18" t="s">
        <v>6770</v>
      </c>
      <c r="IQG18" t="s">
        <v>6771</v>
      </c>
      <c r="IQH18" t="s">
        <v>6772</v>
      </c>
      <c r="IQI18" t="s">
        <v>6773</v>
      </c>
      <c r="IQJ18" t="s">
        <v>6774</v>
      </c>
      <c r="IQK18" t="s">
        <v>6775</v>
      </c>
      <c r="IQL18" t="s">
        <v>6776</v>
      </c>
      <c r="IQM18" t="s">
        <v>6777</v>
      </c>
      <c r="IQN18" t="s">
        <v>6778</v>
      </c>
      <c r="IQO18" t="s">
        <v>6779</v>
      </c>
      <c r="IQP18" t="s">
        <v>6780</v>
      </c>
      <c r="IQQ18" t="s">
        <v>6781</v>
      </c>
      <c r="IQR18" t="s">
        <v>6782</v>
      </c>
      <c r="IQS18" t="s">
        <v>6783</v>
      </c>
      <c r="IQT18" t="s">
        <v>6784</v>
      </c>
      <c r="IQU18" t="s">
        <v>6785</v>
      </c>
      <c r="IQV18" t="s">
        <v>6786</v>
      </c>
      <c r="IQW18" t="s">
        <v>6787</v>
      </c>
      <c r="IQX18" t="s">
        <v>6788</v>
      </c>
      <c r="IQY18" t="s">
        <v>6789</v>
      </c>
      <c r="IQZ18" t="s">
        <v>6790</v>
      </c>
      <c r="IRA18" t="s">
        <v>6791</v>
      </c>
      <c r="IRB18" t="s">
        <v>6792</v>
      </c>
      <c r="IRC18" t="s">
        <v>6793</v>
      </c>
      <c r="IRD18" t="s">
        <v>6794</v>
      </c>
      <c r="IRE18" t="s">
        <v>6795</v>
      </c>
      <c r="IRF18" t="s">
        <v>6796</v>
      </c>
      <c r="IRG18" t="s">
        <v>6797</v>
      </c>
      <c r="IRH18" t="s">
        <v>6798</v>
      </c>
      <c r="IRI18" t="s">
        <v>6799</v>
      </c>
      <c r="IRJ18" t="s">
        <v>6800</v>
      </c>
      <c r="IRK18" t="s">
        <v>6801</v>
      </c>
      <c r="IRL18" t="s">
        <v>6802</v>
      </c>
      <c r="IRM18" t="s">
        <v>6803</v>
      </c>
      <c r="IRN18" t="s">
        <v>6804</v>
      </c>
      <c r="IRO18" t="s">
        <v>6805</v>
      </c>
      <c r="IRP18" t="s">
        <v>6806</v>
      </c>
      <c r="IRQ18" t="s">
        <v>6807</v>
      </c>
      <c r="IRR18" t="s">
        <v>6808</v>
      </c>
      <c r="IRS18" t="s">
        <v>6809</v>
      </c>
      <c r="IRT18" t="s">
        <v>6810</v>
      </c>
      <c r="IRU18" t="s">
        <v>6811</v>
      </c>
      <c r="IRV18" t="s">
        <v>6812</v>
      </c>
      <c r="IRW18" t="s">
        <v>6813</v>
      </c>
      <c r="IRX18" t="s">
        <v>6814</v>
      </c>
      <c r="IRY18" t="s">
        <v>6815</v>
      </c>
      <c r="IRZ18" t="s">
        <v>6816</v>
      </c>
      <c r="ISA18" t="s">
        <v>6817</v>
      </c>
      <c r="ISB18" t="s">
        <v>6818</v>
      </c>
      <c r="ISC18" t="s">
        <v>6819</v>
      </c>
      <c r="ISD18" t="s">
        <v>6820</v>
      </c>
      <c r="ISE18" t="s">
        <v>6821</v>
      </c>
      <c r="ISF18" t="s">
        <v>6822</v>
      </c>
      <c r="ISG18" t="s">
        <v>6823</v>
      </c>
      <c r="ISH18" t="s">
        <v>6824</v>
      </c>
      <c r="ISI18" t="s">
        <v>6825</v>
      </c>
      <c r="ISJ18" t="s">
        <v>6826</v>
      </c>
      <c r="ISK18" t="s">
        <v>6827</v>
      </c>
      <c r="ISL18" t="s">
        <v>6828</v>
      </c>
      <c r="ISM18" t="s">
        <v>6829</v>
      </c>
      <c r="ISN18" t="s">
        <v>6830</v>
      </c>
      <c r="ISO18" t="s">
        <v>6831</v>
      </c>
      <c r="ISP18" t="s">
        <v>6832</v>
      </c>
      <c r="ISQ18" t="s">
        <v>6833</v>
      </c>
      <c r="ISR18" t="s">
        <v>6834</v>
      </c>
      <c r="ISS18" t="s">
        <v>6835</v>
      </c>
      <c r="IST18" t="s">
        <v>6836</v>
      </c>
      <c r="ISU18" t="s">
        <v>6837</v>
      </c>
      <c r="ISV18" t="s">
        <v>6838</v>
      </c>
      <c r="ISW18" t="s">
        <v>6839</v>
      </c>
      <c r="ISX18" t="s">
        <v>6840</v>
      </c>
      <c r="ISY18" t="s">
        <v>6841</v>
      </c>
      <c r="ISZ18" t="s">
        <v>6842</v>
      </c>
      <c r="ITA18" t="s">
        <v>6843</v>
      </c>
      <c r="ITB18" t="s">
        <v>6844</v>
      </c>
      <c r="ITC18" t="s">
        <v>6845</v>
      </c>
      <c r="ITD18" t="s">
        <v>6846</v>
      </c>
      <c r="ITE18" t="s">
        <v>6847</v>
      </c>
      <c r="ITF18" t="s">
        <v>6848</v>
      </c>
      <c r="ITG18" t="s">
        <v>6849</v>
      </c>
      <c r="ITH18" t="s">
        <v>6850</v>
      </c>
      <c r="ITI18" t="s">
        <v>6851</v>
      </c>
      <c r="ITJ18" t="s">
        <v>6852</v>
      </c>
      <c r="ITK18" t="s">
        <v>6853</v>
      </c>
      <c r="ITL18" t="s">
        <v>6854</v>
      </c>
      <c r="ITM18" t="s">
        <v>6855</v>
      </c>
      <c r="ITN18" t="s">
        <v>6856</v>
      </c>
      <c r="ITO18" t="s">
        <v>6857</v>
      </c>
      <c r="ITP18" t="s">
        <v>6858</v>
      </c>
      <c r="ITQ18" t="s">
        <v>6859</v>
      </c>
      <c r="ITR18" t="s">
        <v>6860</v>
      </c>
      <c r="ITS18" t="s">
        <v>6861</v>
      </c>
      <c r="ITT18" t="s">
        <v>6862</v>
      </c>
      <c r="ITU18" t="s">
        <v>6863</v>
      </c>
      <c r="ITV18" t="s">
        <v>6864</v>
      </c>
      <c r="ITW18" t="s">
        <v>6865</v>
      </c>
      <c r="ITX18" t="s">
        <v>6866</v>
      </c>
      <c r="ITY18" t="s">
        <v>6867</v>
      </c>
      <c r="ITZ18" t="s">
        <v>6868</v>
      </c>
      <c r="IUA18" t="s">
        <v>6869</v>
      </c>
      <c r="IUB18" t="s">
        <v>6870</v>
      </c>
      <c r="IUC18" t="s">
        <v>6871</v>
      </c>
      <c r="IUD18" t="s">
        <v>6872</v>
      </c>
      <c r="IUE18" t="s">
        <v>6873</v>
      </c>
      <c r="IUF18" t="s">
        <v>6874</v>
      </c>
      <c r="IUG18" t="s">
        <v>6875</v>
      </c>
      <c r="IUH18" t="s">
        <v>6876</v>
      </c>
      <c r="IUI18" t="s">
        <v>6877</v>
      </c>
      <c r="IUJ18" t="s">
        <v>6878</v>
      </c>
      <c r="IUK18" t="s">
        <v>6879</v>
      </c>
      <c r="IUL18" t="s">
        <v>6880</v>
      </c>
      <c r="IUM18" t="s">
        <v>6881</v>
      </c>
      <c r="IUN18" t="s">
        <v>6882</v>
      </c>
      <c r="IUO18" t="s">
        <v>6883</v>
      </c>
      <c r="IUP18" t="s">
        <v>6884</v>
      </c>
      <c r="IUQ18" t="s">
        <v>6885</v>
      </c>
      <c r="IUR18" t="s">
        <v>6886</v>
      </c>
      <c r="IUS18" t="s">
        <v>6887</v>
      </c>
      <c r="IUT18" t="s">
        <v>6888</v>
      </c>
      <c r="IUU18" t="s">
        <v>6889</v>
      </c>
      <c r="IUV18" t="s">
        <v>6890</v>
      </c>
      <c r="IUW18" t="s">
        <v>6891</v>
      </c>
      <c r="IUX18" t="s">
        <v>6892</v>
      </c>
      <c r="IUY18" t="s">
        <v>6893</v>
      </c>
      <c r="IUZ18" t="s">
        <v>6894</v>
      </c>
      <c r="IVA18" t="s">
        <v>6895</v>
      </c>
      <c r="IVB18" t="s">
        <v>6896</v>
      </c>
      <c r="IVC18" t="s">
        <v>6897</v>
      </c>
      <c r="IVD18" t="s">
        <v>6898</v>
      </c>
      <c r="IVE18" t="s">
        <v>6899</v>
      </c>
      <c r="IVF18" t="s">
        <v>6900</v>
      </c>
      <c r="IVG18" t="s">
        <v>6901</v>
      </c>
      <c r="IVH18" t="s">
        <v>6902</v>
      </c>
      <c r="IVI18" t="s">
        <v>6903</v>
      </c>
      <c r="IVJ18" t="s">
        <v>6904</v>
      </c>
      <c r="IVK18" t="s">
        <v>6905</v>
      </c>
      <c r="IVL18" t="s">
        <v>6906</v>
      </c>
      <c r="IVM18" t="s">
        <v>6907</v>
      </c>
      <c r="IVN18" t="s">
        <v>6908</v>
      </c>
      <c r="IVO18" t="s">
        <v>6909</v>
      </c>
      <c r="IVP18" t="s">
        <v>6910</v>
      </c>
      <c r="IVQ18" t="s">
        <v>6911</v>
      </c>
      <c r="IVR18" t="s">
        <v>6912</v>
      </c>
      <c r="IVS18" t="s">
        <v>6913</v>
      </c>
      <c r="IVT18" t="s">
        <v>6914</v>
      </c>
      <c r="IVU18" t="s">
        <v>6915</v>
      </c>
      <c r="IVV18" t="s">
        <v>6916</v>
      </c>
      <c r="IVW18" t="s">
        <v>6917</v>
      </c>
      <c r="IVX18" t="s">
        <v>6918</v>
      </c>
      <c r="IVY18" t="s">
        <v>6919</v>
      </c>
      <c r="IVZ18" t="s">
        <v>6920</v>
      </c>
      <c r="IWA18" t="s">
        <v>6921</v>
      </c>
      <c r="IWB18" t="s">
        <v>6922</v>
      </c>
      <c r="IWC18" t="s">
        <v>6923</v>
      </c>
      <c r="IWD18" t="s">
        <v>6924</v>
      </c>
      <c r="IWE18" t="s">
        <v>6925</v>
      </c>
      <c r="IWF18" t="s">
        <v>6926</v>
      </c>
      <c r="IWG18" t="s">
        <v>6927</v>
      </c>
      <c r="IWH18" t="s">
        <v>6928</v>
      </c>
      <c r="IWI18" t="s">
        <v>6929</v>
      </c>
      <c r="IWJ18" t="s">
        <v>6930</v>
      </c>
      <c r="IWK18" t="s">
        <v>6931</v>
      </c>
      <c r="IWL18" t="s">
        <v>6932</v>
      </c>
      <c r="IWM18" t="s">
        <v>6933</v>
      </c>
      <c r="IWN18" t="s">
        <v>6934</v>
      </c>
      <c r="IWO18" t="s">
        <v>6935</v>
      </c>
      <c r="IWP18" t="s">
        <v>6936</v>
      </c>
      <c r="IWQ18" t="s">
        <v>6937</v>
      </c>
      <c r="IWR18" t="s">
        <v>6938</v>
      </c>
      <c r="IWS18" t="s">
        <v>6939</v>
      </c>
      <c r="IWT18" t="s">
        <v>6940</v>
      </c>
      <c r="IWU18" t="s">
        <v>6941</v>
      </c>
      <c r="IWV18" t="s">
        <v>6942</v>
      </c>
      <c r="IWW18" t="s">
        <v>6943</v>
      </c>
      <c r="IWX18" t="s">
        <v>6944</v>
      </c>
      <c r="IWY18" t="s">
        <v>6945</v>
      </c>
      <c r="IWZ18" t="s">
        <v>6946</v>
      </c>
      <c r="IXA18" t="s">
        <v>6947</v>
      </c>
      <c r="IXB18" t="s">
        <v>6948</v>
      </c>
      <c r="IXC18" t="s">
        <v>6949</v>
      </c>
      <c r="IXD18" t="s">
        <v>6950</v>
      </c>
      <c r="IXE18" t="s">
        <v>6951</v>
      </c>
      <c r="IXF18" t="s">
        <v>6952</v>
      </c>
      <c r="IXG18" t="s">
        <v>6953</v>
      </c>
      <c r="IXH18" t="s">
        <v>6954</v>
      </c>
      <c r="IXI18" t="s">
        <v>6955</v>
      </c>
      <c r="IXJ18" t="s">
        <v>6956</v>
      </c>
      <c r="IXK18" t="s">
        <v>6957</v>
      </c>
      <c r="IXL18" t="s">
        <v>6958</v>
      </c>
      <c r="IXM18" t="s">
        <v>6959</v>
      </c>
      <c r="IXN18" t="s">
        <v>6960</v>
      </c>
      <c r="IXO18" t="s">
        <v>6961</v>
      </c>
      <c r="IXP18" t="s">
        <v>6962</v>
      </c>
      <c r="IXQ18" t="s">
        <v>6963</v>
      </c>
      <c r="IXR18" t="s">
        <v>6964</v>
      </c>
      <c r="IXS18" t="s">
        <v>6965</v>
      </c>
      <c r="IXT18" t="s">
        <v>6966</v>
      </c>
      <c r="IXU18" t="s">
        <v>6967</v>
      </c>
      <c r="IXV18" t="s">
        <v>6968</v>
      </c>
      <c r="IXW18" t="s">
        <v>6969</v>
      </c>
      <c r="IXX18" t="s">
        <v>6970</v>
      </c>
      <c r="IXY18" t="s">
        <v>6971</v>
      </c>
      <c r="IXZ18" t="s">
        <v>6972</v>
      </c>
      <c r="IYA18" t="s">
        <v>6973</v>
      </c>
      <c r="IYB18" t="s">
        <v>6974</v>
      </c>
      <c r="IYC18" t="s">
        <v>6975</v>
      </c>
      <c r="IYD18" t="s">
        <v>6976</v>
      </c>
      <c r="IYE18" t="s">
        <v>6977</v>
      </c>
      <c r="IYF18" t="s">
        <v>6978</v>
      </c>
      <c r="IYG18" t="s">
        <v>6979</v>
      </c>
      <c r="IYH18" t="s">
        <v>6980</v>
      </c>
      <c r="IYI18" t="s">
        <v>6981</v>
      </c>
      <c r="IYJ18" t="s">
        <v>6982</v>
      </c>
      <c r="IYK18" t="s">
        <v>6983</v>
      </c>
      <c r="IYL18" t="s">
        <v>6984</v>
      </c>
      <c r="IYM18" t="s">
        <v>6985</v>
      </c>
      <c r="IYN18" t="s">
        <v>6986</v>
      </c>
      <c r="IYO18" t="s">
        <v>6987</v>
      </c>
      <c r="IYP18" t="s">
        <v>6988</v>
      </c>
      <c r="IYQ18" t="s">
        <v>6989</v>
      </c>
      <c r="IYR18" t="s">
        <v>6990</v>
      </c>
      <c r="IYS18" t="s">
        <v>6991</v>
      </c>
      <c r="IYT18" t="s">
        <v>6992</v>
      </c>
      <c r="IYU18" t="s">
        <v>6993</v>
      </c>
      <c r="IYV18" t="s">
        <v>6994</v>
      </c>
      <c r="IYW18" t="s">
        <v>6995</v>
      </c>
      <c r="IYX18" t="s">
        <v>6996</v>
      </c>
      <c r="IYY18" t="s">
        <v>6997</v>
      </c>
      <c r="IYZ18" t="s">
        <v>6998</v>
      </c>
      <c r="IZA18" t="s">
        <v>6999</v>
      </c>
      <c r="IZB18" t="s">
        <v>7000</v>
      </c>
      <c r="IZC18" t="s">
        <v>7001</v>
      </c>
      <c r="IZD18" t="s">
        <v>7002</v>
      </c>
      <c r="IZE18" t="s">
        <v>7003</v>
      </c>
      <c r="IZF18" t="s">
        <v>7004</v>
      </c>
      <c r="IZG18" t="s">
        <v>7005</v>
      </c>
      <c r="IZH18" t="s">
        <v>7006</v>
      </c>
      <c r="IZI18" t="s">
        <v>7007</v>
      </c>
      <c r="IZJ18" t="s">
        <v>7008</v>
      </c>
      <c r="IZK18" t="s">
        <v>7009</v>
      </c>
      <c r="IZL18" t="s">
        <v>7010</v>
      </c>
      <c r="IZM18" t="s">
        <v>7011</v>
      </c>
      <c r="IZN18" t="s">
        <v>7012</v>
      </c>
      <c r="IZO18" t="s">
        <v>7013</v>
      </c>
      <c r="IZP18" t="s">
        <v>7014</v>
      </c>
      <c r="IZQ18" t="s">
        <v>7015</v>
      </c>
      <c r="IZR18" t="s">
        <v>7016</v>
      </c>
      <c r="IZS18" t="s">
        <v>7017</v>
      </c>
      <c r="IZT18" t="s">
        <v>7018</v>
      </c>
      <c r="IZU18" t="s">
        <v>7019</v>
      </c>
      <c r="IZV18" t="s">
        <v>7020</v>
      </c>
      <c r="IZW18" t="s">
        <v>7021</v>
      </c>
      <c r="IZX18" t="s">
        <v>7022</v>
      </c>
      <c r="IZY18" t="s">
        <v>7023</v>
      </c>
      <c r="IZZ18" t="s">
        <v>7024</v>
      </c>
      <c r="JAA18" t="s">
        <v>7025</v>
      </c>
      <c r="JAB18" t="s">
        <v>7026</v>
      </c>
      <c r="JAC18" t="s">
        <v>7027</v>
      </c>
      <c r="JAD18" t="s">
        <v>7028</v>
      </c>
      <c r="JAE18" t="s">
        <v>7029</v>
      </c>
      <c r="JAF18" t="s">
        <v>7030</v>
      </c>
      <c r="JAG18" t="s">
        <v>7031</v>
      </c>
      <c r="JAH18" t="s">
        <v>7032</v>
      </c>
      <c r="JAI18" t="s">
        <v>7033</v>
      </c>
      <c r="JAJ18" t="s">
        <v>7034</v>
      </c>
      <c r="JAK18" t="s">
        <v>7035</v>
      </c>
      <c r="JAL18" t="s">
        <v>7036</v>
      </c>
      <c r="JAM18" t="s">
        <v>7037</v>
      </c>
      <c r="JAN18" t="s">
        <v>7038</v>
      </c>
      <c r="JAO18" t="s">
        <v>7039</v>
      </c>
      <c r="JAP18" t="s">
        <v>7040</v>
      </c>
      <c r="JAQ18" t="s">
        <v>7041</v>
      </c>
      <c r="JAR18" t="s">
        <v>7042</v>
      </c>
      <c r="JAS18" t="s">
        <v>7043</v>
      </c>
      <c r="JAT18" t="s">
        <v>7044</v>
      </c>
      <c r="JAU18" t="s">
        <v>7045</v>
      </c>
      <c r="JAV18" t="s">
        <v>7046</v>
      </c>
      <c r="JAW18" t="s">
        <v>7047</v>
      </c>
      <c r="JAX18" t="s">
        <v>7048</v>
      </c>
      <c r="JAY18" t="s">
        <v>7049</v>
      </c>
      <c r="JAZ18" t="s">
        <v>7050</v>
      </c>
      <c r="JBA18" t="s">
        <v>7051</v>
      </c>
      <c r="JBB18" t="s">
        <v>7052</v>
      </c>
      <c r="JBC18" t="s">
        <v>7053</v>
      </c>
      <c r="JBD18" t="s">
        <v>7054</v>
      </c>
      <c r="JBE18" t="s">
        <v>7055</v>
      </c>
      <c r="JBF18" t="s">
        <v>7056</v>
      </c>
      <c r="JBG18" t="s">
        <v>7057</v>
      </c>
      <c r="JBH18" t="s">
        <v>7058</v>
      </c>
      <c r="JBI18" t="s">
        <v>7059</v>
      </c>
      <c r="JBJ18" t="s">
        <v>7060</v>
      </c>
      <c r="JBK18" t="s">
        <v>7061</v>
      </c>
      <c r="JBL18" t="s">
        <v>7062</v>
      </c>
      <c r="JBM18" t="s">
        <v>7063</v>
      </c>
      <c r="JBN18" t="s">
        <v>7064</v>
      </c>
      <c r="JBO18" t="s">
        <v>7065</v>
      </c>
      <c r="JBP18" t="s">
        <v>7066</v>
      </c>
      <c r="JBQ18" t="s">
        <v>7067</v>
      </c>
      <c r="JBR18" t="s">
        <v>7068</v>
      </c>
      <c r="JBS18" t="s">
        <v>7069</v>
      </c>
      <c r="JBT18" t="s">
        <v>7070</v>
      </c>
      <c r="JBU18" t="s">
        <v>7071</v>
      </c>
      <c r="JBV18" t="s">
        <v>7072</v>
      </c>
      <c r="JBW18" t="s">
        <v>7073</v>
      </c>
      <c r="JBX18" t="s">
        <v>7074</v>
      </c>
      <c r="JBY18" t="s">
        <v>7075</v>
      </c>
      <c r="JBZ18" t="s">
        <v>7076</v>
      </c>
      <c r="JCA18" t="s">
        <v>7077</v>
      </c>
      <c r="JCB18" t="s">
        <v>7078</v>
      </c>
      <c r="JCC18" t="s">
        <v>7079</v>
      </c>
      <c r="JCD18" t="s">
        <v>7080</v>
      </c>
      <c r="JCE18" t="s">
        <v>7081</v>
      </c>
      <c r="JCF18" t="s">
        <v>7082</v>
      </c>
      <c r="JCG18" t="s">
        <v>7083</v>
      </c>
      <c r="JCH18" t="s">
        <v>7084</v>
      </c>
      <c r="JCI18" t="s">
        <v>7085</v>
      </c>
      <c r="JCJ18" t="s">
        <v>7086</v>
      </c>
      <c r="JCK18" t="s">
        <v>7087</v>
      </c>
      <c r="JCL18" t="s">
        <v>7088</v>
      </c>
      <c r="JCM18" t="s">
        <v>7089</v>
      </c>
      <c r="JCN18" t="s">
        <v>7090</v>
      </c>
      <c r="JCO18" t="s">
        <v>7091</v>
      </c>
      <c r="JCP18" t="s">
        <v>7092</v>
      </c>
      <c r="JCQ18" t="s">
        <v>7093</v>
      </c>
      <c r="JCR18" t="s">
        <v>7094</v>
      </c>
      <c r="JCS18" t="s">
        <v>7095</v>
      </c>
      <c r="JCT18" t="s">
        <v>7096</v>
      </c>
      <c r="JCU18" t="s">
        <v>7097</v>
      </c>
      <c r="JCV18" t="s">
        <v>7098</v>
      </c>
      <c r="JCW18" t="s">
        <v>7099</v>
      </c>
      <c r="JCX18" t="s">
        <v>7100</v>
      </c>
      <c r="JCY18" t="s">
        <v>7101</v>
      </c>
      <c r="JCZ18" t="s">
        <v>7102</v>
      </c>
      <c r="JDA18" t="s">
        <v>7103</v>
      </c>
      <c r="JDB18" t="s">
        <v>7104</v>
      </c>
      <c r="JDC18" t="s">
        <v>7105</v>
      </c>
      <c r="JDD18" t="s">
        <v>7106</v>
      </c>
      <c r="JDE18" t="s">
        <v>7107</v>
      </c>
      <c r="JDF18" t="s">
        <v>7108</v>
      </c>
      <c r="JDG18" t="s">
        <v>7109</v>
      </c>
      <c r="JDH18" t="s">
        <v>7110</v>
      </c>
      <c r="JDI18" t="s">
        <v>7111</v>
      </c>
      <c r="JDJ18" t="s">
        <v>7112</v>
      </c>
      <c r="JDK18" t="s">
        <v>7113</v>
      </c>
      <c r="JDL18" t="s">
        <v>7114</v>
      </c>
      <c r="JDM18" t="s">
        <v>7115</v>
      </c>
      <c r="JDN18" t="s">
        <v>7116</v>
      </c>
      <c r="JDO18" t="s">
        <v>7117</v>
      </c>
      <c r="JDP18" t="s">
        <v>7118</v>
      </c>
      <c r="JDQ18" t="s">
        <v>7119</v>
      </c>
      <c r="JDR18" t="s">
        <v>7120</v>
      </c>
      <c r="JDS18" t="s">
        <v>7121</v>
      </c>
      <c r="JDT18" t="s">
        <v>7122</v>
      </c>
      <c r="JDU18" t="s">
        <v>7123</v>
      </c>
      <c r="JDV18" t="s">
        <v>7124</v>
      </c>
      <c r="JDW18" t="s">
        <v>7125</v>
      </c>
      <c r="JDX18" t="s">
        <v>7126</v>
      </c>
      <c r="JDY18" t="s">
        <v>7127</v>
      </c>
      <c r="JDZ18" t="s">
        <v>7128</v>
      </c>
      <c r="JEA18" t="s">
        <v>7129</v>
      </c>
      <c r="JEB18" t="s">
        <v>7130</v>
      </c>
      <c r="JEC18" t="s">
        <v>7131</v>
      </c>
      <c r="JED18" t="s">
        <v>7132</v>
      </c>
      <c r="JEE18" t="s">
        <v>7133</v>
      </c>
      <c r="JEF18" t="s">
        <v>7134</v>
      </c>
      <c r="JEG18" t="s">
        <v>7135</v>
      </c>
      <c r="JEH18" t="s">
        <v>7136</v>
      </c>
      <c r="JEI18" t="s">
        <v>7137</v>
      </c>
      <c r="JEJ18" t="s">
        <v>7138</v>
      </c>
      <c r="JEK18" t="s">
        <v>7139</v>
      </c>
      <c r="JEL18" t="s">
        <v>7140</v>
      </c>
      <c r="JEM18" t="s">
        <v>7141</v>
      </c>
      <c r="JEN18" t="s">
        <v>7142</v>
      </c>
      <c r="JEO18" t="s">
        <v>7143</v>
      </c>
      <c r="JEP18" t="s">
        <v>7144</v>
      </c>
      <c r="JEQ18" t="s">
        <v>7145</v>
      </c>
      <c r="JER18" t="s">
        <v>7146</v>
      </c>
      <c r="JES18" t="s">
        <v>7147</v>
      </c>
      <c r="JET18" t="s">
        <v>7148</v>
      </c>
      <c r="JEU18" t="s">
        <v>7149</v>
      </c>
      <c r="JEV18" t="s">
        <v>7150</v>
      </c>
      <c r="JEW18" t="s">
        <v>7151</v>
      </c>
      <c r="JEX18" t="s">
        <v>7152</v>
      </c>
      <c r="JEY18" t="s">
        <v>7153</v>
      </c>
      <c r="JEZ18" t="s">
        <v>7154</v>
      </c>
      <c r="JFA18" t="s">
        <v>7155</v>
      </c>
      <c r="JFB18" t="s">
        <v>7156</v>
      </c>
      <c r="JFC18" t="s">
        <v>7157</v>
      </c>
      <c r="JFD18" t="s">
        <v>7158</v>
      </c>
      <c r="JFE18" t="s">
        <v>7159</v>
      </c>
      <c r="JFF18" t="s">
        <v>7160</v>
      </c>
      <c r="JFG18" t="s">
        <v>7161</v>
      </c>
      <c r="JFH18" t="s">
        <v>7162</v>
      </c>
      <c r="JFI18" t="s">
        <v>7163</v>
      </c>
      <c r="JFJ18" t="s">
        <v>7164</v>
      </c>
      <c r="JFK18" t="s">
        <v>7165</v>
      </c>
      <c r="JFL18" t="s">
        <v>7166</v>
      </c>
      <c r="JFM18" t="s">
        <v>7167</v>
      </c>
      <c r="JFN18" t="s">
        <v>7168</v>
      </c>
      <c r="JFO18" t="s">
        <v>7169</v>
      </c>
      <c r="JFP18" t="s">
        <v>7170</v>
      </c>
      <c r="JFQ18" t="s">
        <v>7171</v>
      </c>
      <c r="JFR18" t="s">
        <v>7172</v>
      </c>
      <c r="JFS18" t="s">
        <v>7173</v>
      </c>
      <c r="JFT18" t="s">
        <v>7174</v>
      </c>
      <c r="JFU18" t="s">
        <v>7175</v>
      </c>
      <c r="JFV18" t="s">
        <v>7176</v>
      </c>
      <c r="JFW18" t="s">
        <v>7177</v>
      </c>
      <c r="JFX18" t="s">
        <v>7178</v>
      </c>
      <c r="JFY18" t="s">
        <v>7179</v>
      </c>
      <c r="JFZ18" t="s">
        <v>7180</v>
      </c>
      <c r="JGA18" t="s">
        <v>7181</v>
      </c>
      <c r="JGB18" t="s">
        <v>7182</v>
      </c>
      <c r="JGC18" t="s">
        <v>7183</v>
      </c>
      <c r="JGD18" t="s">
        <v>7184</v>
      </c>
      <c r="JGE18" t="s">
        <v>7185</v>
      </c>
      <c r="JGF18" t="s">
        <v>7186</v>
      </c>
      <c r="JGG18" t="s">
        <v>7187</v>
      </c>
      <c r="JGH18" t="s">
        <v>7188</v>
      </c>
      <c r="JGI18" t="s">
        <v>7189</v>
      </c>
      <c r="JGJ18" t="s">
        <v>7190</v>
      </c>
      <c r="JGK18" t="s">
        <v>7191</v>
      </c>
      <c r="JGL18" t="s">
        <v>7192</v>
      </c>
      <c r="JGM18" t="s">
        <v>7193</v>
      </c>
      <c r="JGN18" t="s">
        <v>7194</v>
      </c>
      <c r="JGO18" t="s">
        <v>7195</v>
      </c>
      <c r="JGP18" t="s">
        <v>7196</v>
      </c>
      <c r="JGQ18" t="s">
        <v>7197</v>
      </c>
      <c r="JGR18" t="s">
        <v>7198</v>
      </c>
      <c r="JGS18" t="s">
        <v>7199</v>
      </c>
      <c r="JGT18" t="s">
        <v>7200</v>
      </c>
      <c r="JGU18" t="s">
        <v>7201</v>
      </c>
      <c r="JGV18" t="s">
        <v>7202</v>
      </c>
      <c r="JGW18" t="s">
        <v>7203</v>
      </c>
      <c r="JGX18" t="s">
        <v>7204</v>
      </c>
      <c r="JGY18" t="s">
        <v>7205</v>
      </c>
      <c r="JGZ18" t="s">
        <v>7206</v>
      </c>
      <c r="JHA18" t="s">
        <v>7207</v>
      </c>
      <c r="JHB18" t="s">
        <v>7208</v>
      </c>
      <c r="JHC18" t="s">
        <v>7209</v>
      </c>
      <c r="JHD18" t="s">
        <v>7210</v>
      </c>
      <c r="JHE18" t="s">
        <v>7211</v>
      </c>
      <c r="JHF18" t="s">
        <v>7212</v>
      </c>
      <c r="JHG18" t="s">
        <v>7213</v>
      </c>
      <c r="JHH18" t="s">
        <v>7214</v>
      </c>
      <c r="JHI18" t="s">
        <v>7215</v>
      </c>
      <c r="JHJ18" t="s">
        <v>7216</v>
      </c>
      <c r="JHK18" t="s">
        <v>7217</v>
      </c>
      <c r="JHL18" t="s">
        <v>7218</v>
      </c>
      <c r="JHM18" t="s">
        <v>7219</v>
      </c>
      <c r="JHN18" t="s">
        <v>7220</v>
      </c>
      <c r="JHO18" t="s">
        <v>7221</v>
      </c>
      <c r="JHP18" t="s">
        <v>7222</v>
      </c>
      <c r="JHQ18" t="s">
        <v>7223</v>
      </c>
      <c r="JHR18" t="s">
        <v>7224</v>
      </c>
      <c r="JHS18" t="s">
        <v>7225</v>
      </c>
      <c r="JHT18" t="s">
        <v>7226</v>
      </c>
      <c r="JHU18" t="s">
        <v>7227</v>
      </c>
      <c r="JHV18" t="s">
        <v>7228</v>
      </c>
      <c r="JHW18" t="s">
        <v>7229</v>
      </c>
      <c r="JHX18" t="s">
        <v>7230</v>
      </c>
      <c r="JHY18" t="s">
        <v>7231</v>
      </c>
      <c r="JHZ18" t="s">
        <v>7232</v>
      </c>
      <c r="JIA18" t="s">
        <v>7233</v>
      </c>
      <c r="JIB18" t="s">
        <v>7234</v>
      </c>
      <c r="JIC18" t="s">
        <v>7235</v>
      </c>
      <c r="JID18" t="s">
        <v>7236</v>
      </c>
      <c r="JIE18" t="s">
        <v>7237</v>
      </c>
      <c r="JIF18" t="s">
        <v>7238</v>
      </c>
      <c r="JIG18" t="s">
        <v>7239</v>
      </c>
      <c r="JIH18" t="s">
        <v>7240</v>
      </c>
      <c r="JII18" t="s">
        <v>7241</v>
      </c>
      <c r="JIJ18" t="s">
        <v>7242</v>
      </c>
      <c r="JIK18" t="s">
        <v>7243</v>
      </c>
      <c r="JIL18" t="s">
        <v>7244</v>
      </c>
      <c r="JIM18" t="s">
        <v>7245</v>
      </c>
      <c r="JIN18" t="s">
        <v>7246</v>
      </c>
      <c r="JIO18" t="s">
        <v>7247</v>
      </c>
      <c r="JIP18" t="s">
        <v>7248</v>
      </c>
      <c r="JIQ18" t="s">
        <v>7249</v>
      </c>
      <c r="JIR18" t="s">
        <v>7250</v>
      </c>
      <c r="JIS18" t="s">
        <v>7251</v>
      </c>
      <c r="JIT18" t="s">
        <v>7252</v>
      </c>
      <c r="JIU18" t="s">
        <v>7253</v>
      </c>
      <c r="JIV18" t="s">
        <v>7254</v>
      </c>
      <c r="JIW18" t="s">
        <v>7255</v>
      </c>
      <c r="JIX18" t="s">
        <v>7256</v>
      </c>
      <c r="JIY18" t="s">
        <v>7257</v>
      </c>
      <c r="JIZ18" t="s">
        <v>7258</v>
      </c>
      <c r="JJA18" t="s">
        <v>7259</v>
      </c>
      <c r="JJB18" t="s">
        <v>7260</v>
      </c>
      <c r="JJC18" t="s">
        <v>7261</v>
      </c>
      <c r="JJD18" t="s">
        <v>7262</v>
      </c>
      <c r="JJE18" t="s">
        <v>7263</v>
      </c>
      <c r="JJF18" t="s">
        <v>7264</v>
      </c>
      <c r="JJG18" t="s">
        <v>7265</v>
      </c>
      <c r="JJH18" t="s">
        <v>7266</v>
      </c>
      <c r="JJI18" t="s">
        <v>7267</v>
      </c>
      <c r="JJJ18" t="s">
        <v>7268</v>
      </c>
      <c r="JJK18" t="s">
        <v>7269</v>
      </c>
      <c r="JJL18" t="s">
        <v>7270</v>
      </c>
      <c r="JJM18" t="s">
        <v>7271</v>
      </c>
      <c r="JJN18" t="s">
        <v>7272</v>
      </c>
      <c r="JJO18" t="s">
        <v>7273</v>
      </c>
      <c r="JJP18" t="s">
        <v>7274</v>
      </c>
      <c r="JJQ18" t="s">
        <v>7275</v>
      </c>
      <c r="JJR18" t="s">
        <v>7276</v>
      </c>
      <c r="JJS18" t="s">
        <v>7277</v>
      </c>
      <c r="JJT18" t="s">
        <v>7278</v>
      </c>
      <c r="JJU18" t="s">
        <v>7279</v>
      </c>
      <c r="JJV18" t="s">
        <v>7280</v>
      </c>
      <c r="JJW18" t="s">
        <v>7281</v>
      </c>
      <c r="JJX18" t="s">
        <v>7282</v>
      </c>
      <c r="JJY18" t="s">
        <v>7283</v>
      </c>
      <c r="JJZ18" t="s">
        <v>7284</v>
      </c>
      <c r="JKA18" t="s">
        <v>7285</v>
      </c>
      <c r="JKB18" t="s">
        <v>7286</v>
      </c>
      <c r="JKC18" t="s">
        <v>7287</v>
      </c>
      <c r="JKD18" t="s">
        <v>7288</v>
      </c>
      <c r="JKE18" t="s">
        <v>7289</v>
      </c>
      <c r="JKF18" t="s">
        <v>7290</v>
      </c>
      <c r="JKG18" t="s">
        <v>7291</v>
      </c>
      <c r="JKH18" t="s">
        <v>7292</v>
      </c>
      <c r="JKI18" t="s">
        <v>7293</v>
      </c>
      <c r="JKJ18" t="s">
        <v>7294</v>
      </c>
      <c r="JKK18" t="s">
        <v>7295</v>
      </c>
      <c r="JKL18" t="s">
        <v>7296</v>
      </c>
      <c r="JKM18" t="s">
        <v>7297</v>
      </c>
      <c r="JKN18" t="s">
        <v>7298</v>
      </c>
      <c r="JKO18" t="s">
        <v>7299</v>
      </c>
      <c r="JKP18" t="s">
        <v>7300</v>
      </c>
      <c r="JKQ18" t="s">
        <v>7301</v>
      </c>
      <c r="JKR18" t="s">
        <v>7302</v>
      </c>
      <c r="JKS18" t="s">
        <v>7303</v>
      </c>
      <c r="JKT18" t="s">
        <v>7304</v>
      </c>
      <c r="JKU18" t="s">
        <v>7305</v>
      </c>
      <c r="JKV18" t="s">
        <v>7306</v>
      </c>
      <c r="JKW18" t="s">
        <v>7307</v>
      </c>
      <c r="JKX18" t="s">
        <v>7308</v>
      </c>
      <c r="JKY18" t="s">
        <v>7309</v>
      </c>
      <c r="JKZ18" t="s">
        <v>7310</v>
      </c>
      <c r="JLA18" t="s">
        <v>7311</v>
      </c>
      <c r="JLB18" t="s">
        <v>7312</v>
      </c>
      <c r="JLC18" t="s">
        <v>7313</v>
      </c>
      <c r="JLD18" t="s">
        <v>7314</v>
      </c>
      <c r="JLE18" t="s">
        <v>7315</v>
      </c>
      <c r="JLF18" t="s">
        <v>7316</v>
      </c>
      <c r="JLG18" t="s">
        <v>7317</v>
      </c>
      <c r="JLH18" t="s">
        <v>7318</v>
      </c>
      <c r="JLI18" t="s">
        <v>7319</v>
      </c>
      <c r="JLJ18" t="s">
        <v>7320</v>
      </c>
      <c r="JLK18" t="s">
        <v>7321</v>
      </c>
      <c r="JLL18" t="s">
        <v>7322</v>
      </c>
      <c r="JLM18" t="s">
        <v>7323</v>
      </c>
      <c r="JLN18" t="s">
        <v>7324</v>
      </c>
      <c r="JLO18" t="s">
        <v>7325</v>
      </c>
      <c r="JLP18" t="s">
        <v>7326</v>
      </c>
      <c r="JLQ18" t="s">
        <v>7327</v>
      </c>
      <c r="JLR18" t="s">
        <v>7328</v>
      </c>
      <c r="JLS18" t="s">
        <v>7329</v>
      </c>
      <c r="JLT18" t="s">
        <v>7330</v>
      </c>
      <c r="JLU18" t="s">
        <v>7331</v>
      </c>
      <c r="JLV18" t="s">
        <v>7332</v>
      </c>
      <c r="JLW18" t="s">
        <v>7333</v>
      </c>
      <c r="JLX18" t="s">
        <v>7334</v>
      </c>
      <c r="JLY18" t="s">
        <v>7335</v>
      </c>
      <c r="JLZ18" t="s">
        <v>7336</v>
      </c>
      <c r="JMA18" t="s">
        <v>7337</v>
      </c>
      <c r="JMB18" t="s">
        <v>7338</v>
      </c>
      <c r="JMC18" t="s">
        <v>7339</v>
      </c>
      <c r="JMD18" t="s">
        <v>7340</v>
      </c>
      <c r="JME18" t="s">
        <v>7341</v>
      </c>
      <c r="JMF18" t="s">
        <v>7342</v>
      </c>
      <c r="JMG18" t="s">
        <v>7343</v>
      </c>
      <c r="JMH18" t="s">
        <v>7344</v>
      </c>
      <c r="JMI18" t="s">
        <v>7345</v>
      </c>
      <c r="JMJ18" t="s">
        <v>7346</v>
      </c>
      <c r="JMK18" t="s">
        <v>7347</v>
      </c>
      <c r="JML18" t="s">
        <v>7348</v>
      </c>
      <c r="JMM18" t="s">
        <v>7349</v>
      </c>
      <c r="JMN18" t="s">
        <v>7350</v>
      </c>
      <c r="JMO18" t="s">
        <v>7351</v>
      </c>
      <c r="JMP18" t="s">
        <v>7352</v>
      </c>
      <c r="JMQ18" t="s">
        <v>7353</v>
      </c>
      <c r="JMR18" t="s">
        <v>7354</v>
      </c>
      <c r="JMS18" t="s">
        <v>7355</v>
      </c>
      <c r="JMT18" t="s">
        <v>7356</v>
      </c>
      <c r="JMU18" t="s">
        <v>7357</v>
      </c>
      <c r="JMV18" t="s">
        <v>7358</v>
      </c>
      <c r="JMW18" t="s">
        <v>7359</v>
      </c>
      <c r="JMX18" t="s">
        <v>7360</v>
      </c>
      <c r="JMY18" t="s">
        <v>7361</v>
      </c>
      <c r="JMZ18" t="s">
        <v>7362</v>
      </c>
      <c r="JNA18" t="s">
        <v>7363</v>
      </c>
      <c r="JNB18" t="s">
        <v>7364</v>
      </c>
      <c r="JNC18" t="s">
        <v>7365</v>
      </c>
      <c r="JND18" t="s">
        <v>7366</v>
      </c>
      <c r="JNE18" t="s">
        <v>7367</v>
      </c>
      <c r="JNF18" t="s">
        <v>7368</v>
      </c>
      <c r="JNG18" t="s">
        <v>7369</v>
      </c>
      <c r="JNH18" t="s">
        <v>7370</v>
      </c>
      <c r="JNI18" t="s">
        <v>7371</v>
      </c>
      <c r="JNJ18" t="s">
        <v>7372</v>
      </c>
      <c r="JNK18" t="s">
        <v>7373</v>
      </c>
      <c r="JNL18" t="s">
        <v>7374</v>
      </c>
      <c r="JNM18" t="s">
        <v>7375</v>
      </c>
      <c r="JNN18" t="s">
        <v>7376</v>
      </c>
      <c r="JNO18" t="s">
        <v>7377</v>
      </c>
      <c r="JNP18" t="s">
        <v>7378</v>
      </c>
      <c r="JNQ18" t="s">
        <v>7379</v>
      </c>
      <c r="JNR18" t="s">
        <v>7380</v>
      </c>
      <c r="JNS18" t="s">
        <v>7381</v>
      </c>
      <c r="JNT18" t="s">
        <v>7382</v>
      </c>
      <c r="JNU18" t="s">
        <v>7383</v>
      </c>
      <c r="JNV18" t="s">
        <v>7384</v>
      </c>
      <c r="JNW18" t="s">
        <v>7385</v>
      </c>
      <c r="JNX18" t="s">
        <v>7386</v>
      </c>
      <c r="JNY18" t="s">
        <v>7387</v>
      </c>
      <c r="JNZ18" t="s">
        <v>7388</v>
      </c>
      <c r="JOA18" t="s">
        <v>7389</v>
      </c>
      <c r="JOB18" t="s">
        <v>7390</v>
      </c>
      <c r="JOC18" t="s">
        <v>7391</v>
      </c>
      <c r="JOD18" t="s">
        <v>7392</v>
      </c>
      <c r="JOE18" t="s">
        <v>7393</v>
      </c>
      <c r="JOF18" t="s">
        <v>7394</v>
      </c>
      <c r="JOG18" t="s">
        <v>7395</v>
      </c>
      <c r="JOH18" t="s">
        <v>7396</v>
      </c>
      <c r="JOI18" t="s">
        <v>7397</v>
      </c>
      <c r="JOJ18" t="s">
        <v>7398</v>
      </c>
      <c r="JOK18" t="s">
        <v>7399</v>
      </c>
      <c r="JOL18" t="s">
        <v>7400</v>
      </c>
      <c r="JOM18" t="s">
        <v>7401</v>
      </c>
      <c r="JON18" t="s">
        <v>7402</v>
      </c>
      <c r="JOO18" t="s">
        <v>7403</v>
      </c>
      <c r="JOP18" t="s">
        <v>7404</v>
      </c>
      <c r="JOQ18" t="s">
        <v>7405</v>
      </c>
      <c r="JOR18" t="s">
        <v>7406</v>
      </c>
      <c r="JOS18" t="s">
        <v>7407</v>
      </c>
      <c r="JOT18" t="s">
        <v>7408</v>
      </c>
      <c r="JOU18" t="s">
        <v>7409</v>
      </c>
      <c r="JOV18" t="s">
        <v>7410</v>
      </c>
      <c r="JOW18" t="s">
        <v>7411</v>
      </c>
      <c r="JOX18" t="s">
        <v>7412</v>
      </c>
      <c r="JOY18" t="s">
        <v>7413</v>
      </c>
      <c r="JOZ18" t="s">
        <v>7414</v>
      </c>
      <c r="JPA18" t="s">
        <v>7415</v>
      </c>
      <c r="JPB18" t="s">
        <v>7416</v>
      </c>
      <c r="JPC18" t="s">
        <v>7417</v>
      </c>
      <c r="JPD18" t="s">
        <v>7418</v>
      </c>
      <c r="JPE18" t="s">
        <v>7419</v>
      </c>
      <c r="JPF18" t="s">
        <v>7420</v>
      </c>
      <c r="JPG18" t="s">
        <v>7421</v>
      </c>
      <c r="JPH18" t="s">
        <v>7422</v>
      </c>
      <c r="JPI18" t="s">
        <v>7423</v>
      </c>
      <c r="JPJ18" t="s">
        <v>7424</v>
      </c>
      <c r="JPK18" t="s">
        <v>7425</v>
      </c>
      <c r="JPL18" t="s">
        <v>7426</v>
      </c>
      <c r="JPM18" t="s">
        <v>7427</v>
      </c>
      <c r="JPN18" t="s">
        <v>7428</v>
      </c>
      <c r="JPO18" t="s">
        <v>7429</v>
      </c>
      <c r="JPP18" t="s">
        <v>7430</v>
      </c>
      <c r="JPQ18" t="s">
        <v>7431</v>
      </c>
      <c r="JPR18" t="s">
        <v>7432</v>
      </c>
      <c r="JPS18" t="s">
        <v>7433</v>
      </c>
      <c r="JPT18" t="s">
        <v>7434</v>
      </c>
      <c r="JPU18" t="s">
        <v>7435</v>
      </c>
      <c r="JPV18" t="s">
        <v>7436</v>
      </c>
      <c r="JPW18" t="s">
        <v>7437</v>
      </c>
      <c r="JPX18" t="s">
        <v>7438</v>
      </c>
      <c r="JPY18" t="s">
        <v>7439</v>
      </c>
      <c r="JPZ18" t="s">
        <v>7440</v>
      </c>
      <c r="JQA18" t="s">
        <v>7441</v>
      </c>
      <c r="JQB18" t="s">
        <v>7442</v>
      </c>
      <c r="JQC18" t="s">
        <v>7443</v>
      </c>
      <c r="JQD18" t="s">
        <v>7444</v>
      </c>
      <c r="JQE18" t="s">
        <v>7445</v>
      </c>
      <c r="JQF18" t="s">
        <v>7446</v>
      </c>
      <c r="JQG18" t="s">
        <v>7447</v>
      </c>
      <c r="JQH18" t="s">
        <v>7448</v>
      </c>
      <c r="JQI18" t="s">
        <v>7449</v>
      </c>
      <c r="JQJ18" t="s">
        <v>7450</v>
      </c>
      <c r="JQK18" t="s">
        <v>7451</v>
      </c>
      <c r="JQL18" t="s">
        <v>7452</v>
      </c>
      <c r="JQM18" t="s">
        <v>7453</v>
      </c>
      <c r="JQN18" t="s">
        <v>7454</v>
      </c>
      <c r="JQO18" t="s">
        <v>7455</v>
      </c>
      <c r="JQP18" t="s">
        <v>7456</v>
      </c>
      <c r="JQQ18" t="s">
        <v>7457</v>
      </c>
      <c r="JQR18" t="s">
        <v>7458</v>
      </c>
      <c r="JQS18" t="s">
        <v>7459</v>
      </c>
      <c r="JQT18" t="s">
        <v>7460</v>
      </c>
      <c r="JQU18" t="s">
        <v>7461</v>
      </c>
      <c r="JQV18" t="s">
        <v>7462</v>
      </c>
      <c r="JQW18" t="s">
        <v>7463</v>
      </c>
      <c r="JQX18" t="s">
        <v>7464</v>
      </c>
      <c r="JQY18" t="s">
        <v>7465</v>
      </c>
      <c r="JQZ18" t="s">
        <v>7466</v>
      </c>
      <c r="JRA18" t="s">
        <v>7467</v>
      </c>
      <c r="JRB18" t="s">
        <v>7468</v>
      </c>
      <c r="JRC18" t="s">
        <v>7469</v>
      </c>
      <c r="JRD18" t="s">
        <v>7470</v>
      </c>
      <c r="JRE18" t="s">
        <v>7471</v>
      </c>
      <c r="JRF18" t="s">
        <v>7472</v>
      </c>
      <c r="JRG18" t="s">
        <v>7473</v>
      </c>
      <c r="JRH18" t="s">
        <v>7474</v>
      </c>
      <c r="JRI18" t="s">
        <v>7475</v>
      </c>
      <c r="JRJ18" t="s">
        <v>7476</v>
      </c>
      <c r="JRK18" t="s">
        <v>7477</v>
      </c>
      <c r="JRL18" t="s">
        <v>7478</v>
      </c>
      <c r="JRM18" t="s">
        <v>7479</v>
      </c>
      <c r="JRN18" t="s">
        <v>7480</v>
      </c>
      <c r="JRO18" t="s">
        <v>7481</v>
      </c>
      <c r="JRP18" t="s">
        <v>7482</v>
      </c>
      <c r="JRQ18" t="s">
        <v>7483</v>
      </c>
      <c r="JRR18" t="s">
        <v>7484</v>
      </c>
      <c r="JRS18" t="s">
        <v>7485</v>
      </c>
      <c r="JRT18" t="s">
        <v>7486</v>
      </c>
      <c r="JRU18" t="s">
        <v>7487</v>
      </c>
      <c r="JRV18" t="s">
        <v>7488</v>
      </c>
      <c r="JRW18" t="s">
        <v>7489</v>
      </c>
      <c r="JRX18" t="s">
        <v>7490</v>
      </c>
      <c r="JRY18" t="s">
        <v>7491</v>
      </c>
      <c r="JRZ18" t="s">
        <v>7492</v>
      </c>
      <c r="JSA18" t="s">
        <v>7493</v>
      </c>
      <c r="JSB18" t="s">
        <v>7494</v>
      </c>
      <c r="JSC18" t="s">
        <v>7495</v>
      </c>
      <c r="JSD18" t="s">
        <v>7496</v>
      </c>
      <c r="JSE18" t="s">
        <v>7497</v>
      </c>
      <c r="JSF18" t="s">
        <v>7498</v>
      </c>
      <c r="JSG18" t="s">
        <v>7499</v>
      </c>
      <c r="JSH18" t="s">
        <v>7500</v>
      </c>
      <c r="JSI18" t="s">
        <v>7501</v>
      </c>
      <c r="JSJ18" t="s">
        <v>7502</v>
      </c>
      <c r="JSK18" t="s">
        <v>7503</v>
      </c>
      <c r="JSL18" t="s">
        <v>7504</v>
      </c>
      <c r="JSM18" t="s">
        <v>7505</v>
      </c>
      <c r="JSN18" t="s">
        <v>7506</v>
      </c>
      <c r="JSO18" t="s">
        <v>7507</v>
      </c>
      <c r="JSP18" t="s">
        <v>7508</v>
      </c>
      <c r="JSQ18" t="s">
        <v>7509</v>
      </c>
      <c r="JSR18" t="s">
        <v>7510</v>
      </c>
      <c r="JSS18" t="s">
        <v>7511</v>
      </c>
      <c r="JST18" t="s">
        <v>7512</v>
      </c>
      <c r="JSU18" t="s">
        <v>7513</v>
      </c>
      <c r="JSV18" t="s">
        <v>7514</v>
      </c>
      <c r="JSW18" t="s">
        <v>7515</v>
      </c>
      <c r="JSX18" t="s">
        <v>7516</v>
      </c>
      <c r="JSY18" t="s">
        <v>7517</v>
      </c>
      <c r="JSZ18" t="s">
        <v>7518</v>
      </c>
      <c r="JTA18" t="s">
        <v>7519</v>
      </c>
      <c r="JTB18" t="s">
        <v>7520</v>
      </c>
      <c r="JTC18" t="s">
        <v>7521</v>
      </c>
      <c r="JTD18" t="s">
        <v>7522</v>
      </c>
      <c r="JTE18" t="s">
        <v>7523</v>
      </c>
      <c r="JTF18" t="s">
        <v>7524</v>
      </c>
      <c r="JTG18" t="s">
        <v>7525</v>
      </c>
      <c r="JTH18" t="s">
        <v>7526</v>
      </c>
      <c r="JTI18" t="s">
        <v>7527</v>
      </c>
      <c r="JTJ18" t="s">
        <v>7528</v>
      </c>
      <c r="JTK18" t="s">
        <v>7529</v>
      </c>
      <c r="JTL18" t="s">
        <v>7530</v>
      </c>
      <c r="JTM18" t="s">
        <v>7531</v>
      </c>
      <c r="JTN18" t="s">
        <v>7532</v>
      </c>
      <c r="JTO18" t="s">
        <v>7533</v>
      </c>
      <c r="JTP18" t="s">
        <v>7534</v>
      </c>
      <c r="JTQ18" t="s">
        <v>7535</v>
      </c>
      <c r="JTR18" t="s">
        <v>7536</v>
      </c>
      <c r="JTS18" t="s">
        <v>7537</v>
      </c>
      <c r="JTT18" t="s">
        <v>7538</v>
      </c>
      <c r="JTU18" t="s">
        <v>7539</v>
      </c>
      <c r="JTV18" t="s">
        <v>7540</v>
      </c>
      <c r="JTW18" t="s">
        <v>7541</v>
      </c>
      <c r="JTX18" t="s">
        <v>7542</v>
      </c>
      <c r="JTY18" t="s">
        <v>7543</v>
      </c>
      <c r="JTZ18" t="s">
        <v>7544</v>
      </c>
      <c r="JUA18" t="s">
        <v>7545</v>
      </c>
      <c r="JUB18" t="s">
        <v>7546</v>
      </c>
      <c r="JUC18" t="s">
        <v>7547</v>
      </c>
      <c r="JUD18" t="s">
        <v>7548</v>
      </c>
      <c r="JUE18" t="s">
        <v>7549</v>
      </c>
      <c r="JUF18" t="s">
        <v>7550</v>
      </c>
      <c r="JUG18" t="s">
        <v>7551</v>
      </c>
      <c r="JUH18" t="s">
        <v>7552</v>
      </c>
      <c r="JUI18" t="s">
        <v>7553</v>
      </c>
      <c r="JUJ18" t="s">
        <v>7554</v>
      </c>
      <c r="JUK18" t="s">
        <v>7555</v>
      </c>
      <c r="JUL18" t="s">
        <v>7556</v>
      </c>
      <c r="JUM18" t="s">
        <v>7557</v>
      </c>
      <c r="JUN18" t="s">
        <v>7558</v>
      </c>
      <c r="JUO18" t="s">
        <v>7559</v>
      </c>
      <c r="JUP18" t="s">
        <v>7560</v>
      </c>
      <c r="JUQ18" t="s">
        <v>7561</v>
      </c>
      <c r="JUR18" t="s">
        <v>7562</v>
      </c>
      <c r="JUS18" t="s">
        <v>7563</v>
      </c>
      <c r="JUT18" t="s">
        <v>7564</v>
      </c>
      <c r="JUU18" t="s">
        <v>7565</v>
      </c>
      <c r="JUV18" t="s">
        <v>7566</v>
      </c>
      <c r="JUW18" t="s">
        <v>7567</v>
      </c>
      <c r="JUX18" t="s">
        <v>7568</v>
      </c>
      <c r="JUY18" t="s">
        <v>7569</v>
      </c>
      <c r="JUZ18" t="s">
        <v>7570</v>
      </c>
      <c r="JVA18" t="s">
        <v>7571</v>
      </c>
      <c r="JVB18" t="s">
        <v>7572</v>
      </c>
      <c r="JVC18" t="s">
        <v>7573</v>
      </c>
      <c r="JVD18" t="s">
        <v>7574</v>
      </c>
      <c r="JVE18" t="s">
        <v>7575</v>
      </c>
      <c r="JVF18" t="s">
        <v>7576</v>
      </c>
      <c r="JVG18" t="s">
        <v>7577</v>
      </c>
      <c r="JVH18" t="s">
        <v>7578</v>
      </c>
      <c r="JVI18" t="s">
        <v>7579</v>
      </c>
      <c r="JVJ18" t="s">
        <v>7580</v>
      </c>
      <c r="JVK18" t="s">
        <v>7581</v>
      </c>
      <c r="JVL18" t="s">
        <v>7582</v>
      </c>
      <c r="JVM18" t="s">
        <v>7583</v>
      </c>
      <c r="JVN18" t="s">
        <v>7584</v>
      </c>
      <c r="JVO18" t="s">
        <v>7585</v>
      </c>
      <c r="JVP18" t="s">
        <v>7586</v>
      </c>
      <c r="JVQ18" t="s">
        <v>7587</v>
      </c>
      <c r="JVR18" t="s">
        <v>7588</v>
      </c>
      <c r="JVS18" t="s">
        <v>7589</v>
      </c>
      <c r="JVT18" t="s">
        <v>7590</v>
      </c>
      <c r="JVU18" t="s">
        <v>7591</v>
      </c>
      <c r="JVV18" t="s">
        <v>7592</v>
      </c>
      <c r="JVW18" t="s">
        <v>7593</v>
      </c>
      <c r="JVX18" t="s">
        <v>7594</v>
      </c>
      <c r="JVY18" t="s">
        <v>7595</v>
      </c>
      <c r="JVZ18" t="s">
        <v>7596</v>
      </c>
      <c r="JWA18" t="s">
        <v>7597</v>
      </c>
      <c r="JWB18" t="s">
        <v>7598</v>
      </c>
      <c r="JWC18" t="s">
        <v>7599</v>
      </c>
      <c r="JWD18" t="s">
        <v>7600</v>
      </c>
      <c r="JWE18" t="s">
        <v>7601</v>
      </c>
      <c r="JWF18" t="s">
        <v>7602</v>
      </c>
      <c r="JWG18" t="s">
        <v>7603</v>
      </c>
      <c r="JWH18" t="s">
        <v>7604</v>
      </c>
      <c r="JWI18" t="s">
        <v>7605</v>
      </c>
      <c r="JWJ18" t="s">
        <v>7606</v>
      </c>
      <c r="JWK18" t="s">
        <v>7607</v>
      </c>
      <c r="JWL18" t="s">
        <v>7608</v>
      </c>
      <c r="JWM18" t="s">
        <v>7609</v>
      </c>
      <c r="JWN18" t="s">
        <v>7610</v>
      </c>
      <c r="JWO18" t="s">
        <v>7611</v>
      </c>
      <c r="JWP18" t="s">
        <v>7612</v>
      </c>
      <c r="JWQ18" t="s">
        <v>7613</v>
      </c>
      <c r="JWR18" t="s">
        <v>7614</v>
      </c>
      <c r="JWS18" t="s">
        <v>7615</v>
      </c>
      <c r="JWT18" t="s">
        <v>7616</v>
      </c>
      <c r="JWU18" t="s">
        <v>7617</v>
      </c>
      <c r="JWV18" t="s">
        <v>7618</v>
      </c>
      <c r="JWW18" t="s">
        <v>7619</v>
      </c>
      <c r="JWX18" t="s">
        <v>7620</v>
      </c>
      <c r="JWY18" t="s">
        <v>7621</v>
      </c>
      <c r="JWZ18" t="s">
        <v>7622</v>
      </c>
      <c r="JXA18" t="s">
        <v>7623</v>
      </c>
      <c r="JXB18" t="s">
        <v>7624</v>
      </c>
      <c r="JXC18" t="s">
        <v>7625</v>
      </c>
      <c r="JXD18" t="s">
        <v>7626</v>
      </c>
      <c r="JXE18" t="s">
        <v>7627</v>
      </c>
      <c r="JXF18" t="s">
        <v>7628</v>
      </c>
      <c r="JXG18" t="s">
        <v>7629</v>
      </c>
      <c r="JXH18" t="s">
        <v>7630</v>
      </c>
      <c r="JXI18" t="s">
        <v>7631</v>
      </c>
      <c r="JXJ18" t="s">
        <v>7632</v>
      </c>
      <c r="JXK18" t="s">
        <v>7633</v>
      </c>
      <c r="JXL18" t="s">
        <v>7634</v>
      </c>
      <c r="JXM18" t="s">
        <v>7635</v>
      </c>
      <c r="JXN18" t="s">
        <v>7636</v>
      </c>
      <c r="JXO18" t="s">
        <v>7637</v>
      </c>
      <c r="JXP18" t="s">
        <v>7638</v>
      </c>
      <c r="JXQ18" t="s">
        <v>7639</v>
      </c>
      <c r="JXR18" t="s">
        <v>7640</v>
      </c>
      <c r="JXS18" t="s">
        <v>7641</v>
      </c>
      <c r="JXT18" t="s">
        <v>7642</v>
      </c>
      <c r="JXU18" t="s">
        <v>7643</v>
      </c>
      <c r="JXV18" t="s">
        <v>7644</v>
      </c>
      <c r="JXW18" t="s">
        <v>7645</v>
      </c>
      <c r="JXX18" t="s">
        <v>7646</v>
      </c>
      <c r="JXY18" t="s">
        <v>7647</v>
      </c>
      <c r="JXZ18" t="s">
        <v>7648</v>
      </c>
      <c r="JYA18" t="s">
        <v>7649</v>
      </c>
      <c r="JYB18" t="s">
        <v>7650</v>
      </c>
      <c r="JYC18" t="s">
        <v>7651</v>
      </c>
      <c r="JYD18" t="s">
        <v>7652</v>
      </c>
      <c r="JYE18" t="s">
        <v>7653</v>
      </c>
      <c r="JYF18" t="s">
        <v>7654</v>
      </c>
      <c r="JYG18" t="s">
        <v>7655</v>
      </c>
      <c r="JYH18" t="s">
        <v>7656</v>
      </c>
      <c r="JYI18" t="s">
        <v>7657</v>
      </c>
      <c r="JYJ18" t="s">
        <v>7658</v>
      </c>
      <c r="JYK18" t="s">
        <v>7659</v>
      </c>
      <c r="JYL18" t="s">
        <v>7660</v>
      </c>
      <c r="JYM18" t="s">
        <v>7661</v>
      </c>
      <c r="JYN18" t="s">
        <v>7662</v>
      </c>
      <c r="JYO18" t="s">
        <v>7663</v>
      </c>
      <c r="JYP18" t="s">
        <v>7664</v>
      </c>
      <c r="JYQ18" t="s">
        <v>7665</v>
      </c>
      <c r="JYR18" t="s">
        <v>7666</v>
      </c>
      <c r="JYS18" t="s">
        <v>7667</v>
      </c>
      <c r="JYT18" t="s">
        <v>7668</v>
      </c>
      <c r="JYU18" t="s">
        <v>7669</v>
      </c>
      <c r="JYV18" t="s">
        <v>7670</v>
      </c>
      <c r="JYW18" t="s">
        <v>7671</v>
      </c>
      <c r="JYX18" t="s">
        <v>7672</v>
      </c>
      <c r="JYY18" t="s">
        <v>7673</v>
      </c>
      <c r="JYZ18" t="s">
        <v>7674</v>
      </c>
      <c r="JZA18" t="s">
        <v>7675</v>
      </c>
      <c r="JZB18" t="s">
        <v>7676</v>
      </c>
      <c r="JZC18" t="s">
        <v>7677</v>
      </c>
      <c r="JZD18" t="s">
        <v>7678</v>
      </c>
      <c r="JZE18" t="s">
        <v>7679</v>
      </c>
      <c r="JZF18" t="s">
        <v>7680</v>
      </c>
      <c r="JZG18" t="s">
        <v>7681</v>
      </c>
      <c r="JZH18" t="s">
        <v>7682</v>
      </c>
      <c r="JZI18" t="s">
        <v>7683</v>
      </c>
      <c r="JZJ18" t="s">
        <v>7684</v>
      </c>
      <c r="JZK18" t="s">
        <v>7685</v>
      </c>
      <c r="JZL18" t="s">
        <v>7686</v>
      </c>
      <c r="JZM18" t="s">
        <v>7687</v>
      </c>
      <c r="JZN18" t="s">
        <v>7688</v>
      </c>
      <c r="JZO18" t="s">
        <v>7689</v>
      </c>
      <c r="JZP18" t="s">
        <v>7690</v>
      </c>
      <c r="JZQ18" t="s">
        <v>7691</v>
      </c>
      <c r="JZR18" t="s">
        <v>7692</v>
      </c>
      <c r="JZS18" t="s">
        <v>7693</v>
      </c>
      <c r="JZT18" t="s">
        <v>7694</v>
      </c>
      <c r="JZU18" t="s">
        <v>7695</v>
      </c>
      <c r="JZV18" t="s">
        <v>7696</v>
      </c>
      <c r="JZW18" t="s">
        <v>7697</v>
      </c>
      <c r="JZX18" t="s">
        <v>7698</v>
      </c>
      <c r="JZY18" t="s">
        <v>7699</v>
      </c>
      <c r="JZZ18" t="s">
        <v>7700</v>
      </c>
      <c r="KAA18" t="s">
        <v>7701</v>
      </c>
      <c r="KAB18" t="s">
        <v>7702</v>
      </c>
      <c r="KAC18" t="s">
        <v>7703</v>
      </c>
      <c r="KAD18" t="s">
        <v>7704</v>
      </c>
      <c r="KAE18" t="s">
        <v>7705</v>
      </c>
      <c r="KAF18" t="s">
        <v>7706</v>
      </c>
      <c r="KAG18" t="s">
        <v>7707</v>
      </c>
      <c r="KAH18" t="s">
        <v>7708</v>
      </c>
      <c r="KAI18" t="s">
        <v>7709</v>
      </c>
      <c r="KAJ18" t="s">
        <v>7710</v>
      </c>
      <c r="KAK18" t="s">
        <v>7711</v>
      </c>
      <c r="KAL18" t="s">
        <v>7712</v>
      </c>
      <c r="KAM18" t="s">
        <v>7713</v>
      </c>
      <c r="KAN18" t="s">
        <v>7714</v>
      </c>
      <c r="KAO18" t="s">
        <v>7715</v>
      </c>
      <c r="KAP18" t="s">
        <v>7716</v>
      </c>
      <c r="KAQ18" t="s">
        <v>7717</v>
      </c>
      <c r="KAR18" t="s">
        <v>7718</v>
      </c>
      <c r="KAS18" t="s">
        <v>7719</v>
      </c>
      <c r="KAT18" t="s">
        <v>7720</v>
      </c>
      <c r="KAU18" t="s">
        <v>7721</v>
      </c>
      <c r="KAV18" t="s">
        <v>7722</v>
      </c>
      <c r="KAW18" t="s">
        <v>7723</v>
      </c>
      <c r="KAX18" t="s">
        <v>7724</v>
      </c>
      <c r="KAY18" t="s">
        <v>7725</v>
      </c>
      <c r="KAZ18" t="s">
        <v>7726</v>
      </c>
      <c r="KBA18" t="s">
        <v>7727</v>
      </c>
      <c r="KBB18" t="s">
        <v>7728</v>
      </c>
      <c r="KBC18" t="s">
        <v>7729</v>
      </c>
      <c r="KBD18" t="s">
        <v>7730</v>
      </c>
      <c r="KBE18" t="s">
        <v>7731</v>
      </c>
      <c r="KBF18" t="s">
        <v>7732</v>
      </c>
      <c r="KBG18" t="s">
        <v>7733</v>
      </c>
      <c r="KBH18" t="s">
        <v>7734</v>
      </c>
      <c r="KBI18" t="s">
        <v>7735</v>
      </c>
      <c r="KBJ18" t="s">
        <v>7736</v>
      </c>
      <c r="KBK18" t="s">
        <v>7737</v>
      </c>
      <c r="KBL18" t="s">
        <v>7738</v>
      </c>
      <c r="KBM18" t="s">
        <v>7739</v>
      </c>
      <c r="KBN18" t="s">
        <v>7740</v>
      </c>
      <c r="KBO18" t="s">
        <v>7741</v>
      </c>
      <c r="KBP18" t="s">
        <v>7742</v>
      </c>
      <c r="KBQ18" t="s">
        <v>7743</v>
      </c>
      <c r="KBR18" t="s">
        <v>7744</v>
      </c>
      <c r="KBS18" t="s">
        <v>7745</v>
      </c>
      <c r="KBT18" t="s">
        <v>7746</v>
      </c>
      <c r="KBU18" t="s">
        <v>7747</v>
      </c>
      <c r="KBV18" t="s">
        <v>7748</v>
      </c>
      <c r="KBW18" t="s">
        <v>7749</v>
      </c>
      <c r="KBX18" t="s">
        <v>7750</v>
      </c>
      <c r="KBY18" t="s">
        <v>7751</v>
      </c>
      <c r="KBZ18" t="s">
        <v>7752</v>
      </c>
      <c r="KCA18" t="s">
        <v>7753</v>
      </c>
      <c r="KCB18" t="s">
        <v>7754</v>
      </c>
      <c r="KCC18" t="s">
        <v>7755</v>
      </c>
      <c r="KCD18" t="s">
        <v>7756</v>
      </c>
      <c r="KCE18" t="s">
        <v>7757</v>
      </c>
      <c r="KCF18" t="s">
        <v>7758</v>
      </c>
      <c r="KCG18" t="s">
        <v>7759</v>
      </c>
      <c r="KCH18" t="s">
        <v>7760</v>
      </c>
      <c r="KCI18" t="s">
        <v>7761</v>
      </c>
      <c r="KCJ18" t="s">
        <v>7762</v>
      </c>
      <c r="KCK18" t="s">
        <v>7763</v>
      </c>
      <c r="KCL18" t="s">
        <v>7764</v>
      </c>
      <c r="KCM18" t="s">
        <v>7765</v>
      </c>
      <c r="KCN18" t="s">
        <v>7766</v>
      </c>
      <c r="KCO18" t="s">
        <v>7767</v>
      </c>
      <c r="KCP18" t="s">
        <v>7768</v>
      </c>
      <c r="KCQ18" t="s">
        <v>7769</v>
      </c>
      <c r="KCR18" t="s">
        <v>7770</v>
      </c>
      <c r="KCS18" t="s">
        <v>7771</v>
      </c>
      <c r="KCT18" t="s">
        <v>7772</v>
      </c>
      <c r="KCU18" t="s">
        <v>7773</v>
      </c>
      <c r="KCV18" t="s">
        <v>7774</v>
      </c>
      <c r="KCW18" t="s">
        <v>7775</v>
      </c>
      <c r="KCX18" t="s">
        <v>7776</v>
      </c>
      <c r="KCY18" t="s">
        <v>7777</v>
      </c>
      <c r="KCZ18" t="s">
        <v>7778</v>
      </c>
      <c r="KDA18" t="s">
        <v>7779</v>
      </c>
      <c r="KDB18" t="s">
        <v>7780</v>
      </c>
      <c r="KDC18" t="s">
        <v>7781</v>
      </c>
      <c r="KDD18" t="s">
        <v>7782</v>
      </c>
      <c r="KDE18" t="s">
        <v>7783</v>
      </c>
      <c r="KDF18" t="s">
        <v>7784</v>
      </c>
      <c r="KDG18" t="s">
        <v>7785</v>
      </c>
      <c r="KDH18" t="s">
        <v>7786</v>
      </c>
      <c r="KDI18" t="s">
        <v>7787</v>
      </c>
      <c r="KDJ18" t="s">
        <v>7788</v>
      </c>
      <c r="KDK18" t="s">
        <v>7789</v>
      </c>
      <c r="KDL18" t="s">
        <v>7790</v>
      </c>
      <c r="KDM18" t="s">
        <v>7791</v>
      </c>
      <c r="KDN18" t="s">
        <v>7792</v>
      </c>
      <c r="KDO18" t="s">
        <v>7793</v>
      </c>
      <c r="KDP18" t="s">
        <v>7794</v>
      </c>
      <c r="KDQ18" t="s">
        <v>7795</v>
      </c>
      <c r="KDR18" t="s">
        <v>7796</v>
      </c>
      <c r="KDS18" t="s">
        <v>7797</v>
      </c>
      <c r="KDT18" t="s">
        <v>7798</v>
      </c>
      <c r="KDU18" t="s">
        <v>7799</v>
      </c>
      <c r="KDV18" t="s">
        <v>7800</v>
      </c>
      <c r="KDW18" t="s">
        <v>7801</v>
      </c>
      <c r="KDX18" t="s">
        <v>7802</v>
      </c>
      <c r="KDY18" t="s">
        <v>7803</v>
      </c>
      <c r="KDZ18" t="s">
        <v>7804</v>
      </c>
      <c r="KEA18" t="s">
        <v>7805</v>
      </c>
      <c r="KEB18" t="s">
        <v>7806</v>
      </c>
      <c r="KEC18" t="s">
        <v>7807</v>
      </c>
      <c r="KED18" t="s">
        <v>7808</v>
      </c>
      <c r="KEE18" t="s">
        <v>7809</v>
      </c>
      <c r="KEF18" t="s">
        <v>7810</v>
      </c>
      <c r="KEG18" t="s">
        <v>7811</v>
      </c>
      <c r="KEH18" t="s">
        <v>7812</v>
      </c>
      <c r="KEI18" t="s">
        <v>7813</v>
      </c>
      <c r="KEJ18" t="s">
        <v>7814</v>
      </c>
      <c r="KEK18" t="s">
        <v>7815</v>
      </c>
      <c r="KEL18" t="s">
        <v>7816</v>
      </c>
      <c r="KEM18" t="s">
        <v>7817</v>
      </c>
      <c r="KEN18" t="s">
        <v>7818</v>
      </c>
      <c r="KEO18" t="s">
        <v>7819</v>
      </c>
      <c r="KEP18" t="s">
        <v>7820</v>
      </c>
      <c r="KEQ18" t="s">
        <v>7821</v>
      </c>
      <c r="KER18" t="s">
        <v>7822</v>
      </c>
      <c r="KES18" t="s">
        <v>7823</v>
      </c>
      <c r="KET18" t="s">
        <v>7824</v>
      </c>
      <c r="KEU18" t="s">
        <v>7825</v>
      </c>
      <c r="KEV18" t="s">
        <v>7826</v>
      </c>
      <c r="KEW18" t="s">
        <v>7827</v>
      </c>
      <c r="KEX18" t="s">
        <v>7828</v>
      </c>
      <c r="KEY18" t="s">
        <v>7829</v>
      </c>
      <c r="KEZ18" t="s">
        <v>7830</v>
      </c>
      <c r="KFA18" t="s">
        <v>7831</v>
      </c>
      <c r="KFB18" t="s">
        <v>7832</v>
      </c>
      <c r="KFC18" t="s">
        <v>7833</v>
      </c>
      <c r="KFD18" t="s">
        <v>7834</v>
      </c>
      <c r="KFE18" t="s">
        <v>7835</v>
      </c>
      <c r="KFF18" t="s">
        <v>7836</v>
      </c>
      <c r="KFG18" t="s">
        <v>7837</v>
      </c>
      <c r="KFH18" t="s">
        <v>7838</v>
      </c>
      <c r="KFI18" t="s">
        <v>7839</v>
      </c>
      <c r="KFJ18" t="s">
        <v>7840</v>
      </c>
      <c r="KFK18" t="s">
        <v>7841</v>
      </c>
      <c r="KFL18" t="s">
        <v>7842</v>
      </c>
      <c r="KFM18" t="s">
        <v>7843</v>
      </c>
      <c r="KFN18" t="s">
        <v>7844</v>
      </c>
      <c r="KFO18" t="s">
        <v>7845</v>
      </c>
      <c r="KFP18" t="s">
        <v>7846</v>
      </c>
      <c r="KFQ18" t="s">
        <v>7847</v>
      </c>
      <c r="KFR18" t="s">
        <v>7848</v>
      </c>
      <c r="KFS18" t="s">
        <v>7849</v>
      </c>
      <c r="KFT18" t="s">
        <v>7850</v>
      </c>
      <c r="KFU18" t="s">
        <v>7851</v>
      </c>
      <c r="KFV18" t="s">
        <v>7852</v>
      </c>
      <c r="KFW18" t="s">
        <v>7853</v>
      </c>
      <c r="KFX18" t="s">
        <v>7854</v>
      </c>
      <c r="KFY18" t="s">
        <v>7855</v>
      </c>
      <c r="KFZ18" t="s">
        <v>7856</v>
      </c>
      <c r="KGA18" t="s">
        <v>7857</v>
      </c>
      <c r="KGB18" t="s">
        <v>7858</v>
      </c>
      <c r="KGC18" t="s">
        <v>7859</v>
      </c>
      <c r="KGD18" t="s">
        <v>7860</v>
      </c>
      <c r="KGE18" t="s">
        <v>7861</v>
      </c>
      <c r="KGF18" t="s">
        <v>7862</v>
      </c>
      <c r="KGG18" t="s">
        <v>7863</v>
      </c>
      <c r="KGH18" t="s">
        <v>7864</v>
      </c>
      <c r="KGI18" t="s">
        <v>7865</v>
      </c>
      <c r="KGJ18" t="s">
        <v>7866</v>
      </c>
      <c r="KGK18" t="s">
        <v>7867</v>
      </c>
      <c r="KGL18" t="s">
        <v>7868</v>
      </c>
      <c r="KGM18" t="s">
        <v>7869</v>
      </c>
      <c r="KGN18" t="s">
        <v>7870</v>
      </c>
      <c r="KGO18" t="s">
        <v>7871</v>
      </c>
      <c r="KGP18" t="s">
        <v>7872</v>
      </c>
      <c r="KGQ18" t="s">
        <v>7873</v>
      </c>
      <c r="KGR18" t="s">
        <v>7874</v>
      </c>
      <c r="KGS18" t="s">
        <v>7875</v>
      </c>
      <c r="KGT18" t="s">
        <v>7876</v>
      </c>
      <c r="KGU18" t="s">
        <v>7877</v>
      </c>
      <c r="KGV18" t="s">
        <v>7878</v>
      </c>
      <c r="KGW18" t="s">
        <v>7879</v>
      </c>
      <c r="KGX18" t="s">
        <v>7880</v>
      </c>
      <c r="KGY18" t="s">
        <v>7881</v>
      </c>
      <c r="KGZ18" t="s">
        <v>7882</v>
      </c>
      <c r="KHA18" t="s">
        <v>7883</v>
      </c>
      <c r="KHB18" t="s">
        <v>7884</v>
      </c>
      <c r="KHC18" t="s">
        <v>7885</v>
      </c>
      <c r="KHD18" t="s">
        <v>7886</v>
      </c>
      <c r="KHE18" t="s">
        <v>7887</v>
      </c>
      <c r="KHF18" t="s">
        <v>7888</v>
      </c>
      <c r="KHG18" t="s">
        <v>7889</v>
      </c>
      <c r="KHH18" t="s">
        <v>7890</v>
      </c>
      <c r="KHI18" t="s">
        <v>7891</v>
      </c>
      <c r="KHJ18" t="s">
        <v>7892</v>
      </c>
      <c r="KHK18" t="s">
        <v>7893</v>
      </c>
      <c r="KHL18" t="s">
        <v>7894</v>
      </c>
      <c r="KHM18" t="s">
        <v>7895</v>
      </c>
      <c r="KHN18" t="s">
        <v>7896</v>
      </c>
      <c r="KHO18" t="s">
        <v>7897</v>
      </c>
      <c r="KHP18" t="s">
        <v>7898</v>
      </c>
      <c r="KHQ18" t="s">
        <v>7899</v>
      </c>
      <c r="KHR18" t="s">
        <v>7900</v>
      </c>
      <c r="KHS18" t="s">
        <v>7901</v>
      </c>
      <c r="KHT18" t="s">
        <v>7902</v>
      </c>
      <c r="KHU18" t="s">
        <v>7903</v>
      </c>
      <c r="KHV18" t="s">
        <v>7904</v>
      </c>
      <c r="KHW18" t="s">
        <v>7905</v>
      </c>
      <c r="KHX18" t="s">
        <v>7906</v>
      </c>
      <c r="KHY18" t="s">
        <v>7907</v>
      </c>
      <c r="KHZ18" t="s">
        <v>7908</v>
      </c>
      <c r="KIA18" t="s">
        <v>7909</v>
      </c>
      <c r="KIB18" t="s">
        <v>7910</v>
      </c>
      <c r="KIC18" t="s">
        <v>7911</v>
      </c>
      <c r="KID18" t="s">
        <v>7912</v>
      </c>
      <c r="KIE18" t="s">
        <v>7913</v>
      </c>
      <c r="KIF18" t="s">
        <v>7914</v>
      </c>
      <c r="KIG18" t="s">
        <v>7915</v>
      </c>
      <c r="KIH18" t="s">
        <v>7916</v>
      </c>
      <c r="KII18" t="s">
        <v>7917</v>
      </c>
      <c r="KIJ18" t="s">
        <v>7918</v>
      </c>
      <c r="KIK18" t="s">
        <v>7919</v>
      </c>
      <c r="KIL18" t="s">
        <v>7920</v>
      </c>
      <c r="KIM18" t="s">
        <v>7921</v>
      </c>
      <c r="KIN18" t="s">
        <v>7922</v>
      </c>
      <c r="KIO18" t="s">
        <v>7923</v>
      </c>
      <c r="KIP18" t="s">
        <v>7924</v>
      </c>
      <c r="KIQ18" t="s">
        <v>7925</v>
      </c>
      <c r="KIR18" t="s">
        <v>7926</v>
      </c>
      <c r="KIS18" t="s">
        <v>7927</v>
      </c>
      <c r="KIT18" t="s">
        <v>7928</v>
      </c>
      <c r="KIU18" t="s">
        <v>7929</v>
      </c>
      <c r="KIV18" t="s">
        <v>7930</v>
      </c>
      <c r="KIW18" t="s">
        <v>7931</v>
      </c>
      <c r="KIX18" t="s">
        <v>7932</v>
      </c>
      <c r="KIY18" t="s">
        <v>7933</v>
      </c>
      <c r="KIZ18" t="s">
        <v>7934</v>
      </c>
      <c r="KJA18" t="s">
        <v>7935</v>
      </c>
      <c r="KJB18" t="s">
        <v>7936</v>
      </c>
      <c r="KJC18" t="s">
        <v>7937</v>
      </c>
      <c r="KJD18" t="s">
        <v>7938</v>
      </c>
      <c r="KJE18" t="s">
        <v>7939</v>
      </c>
      <c r="KJF18" t="s">
        <v>7940</v>
      </c>
      <c r="KJG18" t="s">
        <v>7941</v>
      </c>
      <c r="KJH18" t="s">
        <v>7942</v>
      </c>
      <c r="KJI18" t="s">
        <v>7943</v>
      </c>
      <c r="KJJ18" t="s">
        <v>7944</v>
      </c>
      <c r="KJK18" t="s">
        <v>7945</v>
      </c>
      <c r="KJL18" t="s">
        <v>7946</v>
      </c>
      <c r="KJM18" t="s">
        <v>7947</v>
      </c>
      <c r="KJN18" t="s">
        <v>7948</v>
      </c>
      <c r="KJO18" t="s">
        <v>7949</v>
      </c>
      <c r="KJP18" t="s">
        <v>7950</v>
      </c>
      <c r="KJQ18" t="s">
        <v>7951</v>
      </c>
      <c r="KJR18" t="s">
        <v>7952</v>
      </c>
      <c r="KJS18" t="s">
        <v>7953</v>
      </c>
      <c r="KJT18" t="s">
        <v>7954</v>
      </c>
      <c r="KJU18" t="s">
        <v>7955</v>
      </c>
      <c r="KJV18" t="s">
        <v>7956</v>
      </c>
      <c r="KJW18" t="s">
        <v>7957</v>
      </c>
      <c r="KJX18" t="s">
        <v>7958</v>
      </c>
      <c r="KJY18" t="s">
        <v>7959</v>
      </c>
      <c r="KJZ18" t="s">
        <v>7960</v>
      </c>
      <c r="KKA18" t="s">
        <v>7961</v>
      </c>
      <c r="KKB18" t="s">
        <v>7962</v>
      </c>
      <c r="KKC18" t="s">
        <v>7963</v>
      </c>
      <c r="KKD18" t="s">
        <v>7964</v>
      </c>
      <c r="KKE18" t="s">
        <v>7965</v>
      </c>
      <c r="KKF18" t="s">
        <v>7966</v>
      </c>
      <c r="KKG18" t="s">
        <v>7967</v>
      </c>
      <c r="KKH18" t="s">
        <v>7968</v>
      </c>
      <c r="KKI18" t="s">
        <v>7969</v>
      </c>
      <c r="KKJ18" t="s">
        <v>7970</v>
      </c>
      <c r="KKK18" t="s">
        <v>7971</v>
      </c>
      <c r="KKL18" t="s">
        <v>7972</v>
      </c>
      <c r="KKM18" t="s">
        <v>7973</v>
      </c>
      <c r="KKN18" t="s">
        <v>7974</v>
      </c>
      <c r="KKO18" t="s">
        <v>7975</v>
      </c>
      <c r="KKP18" t="s">
        <v>7976</v>
      </c>
      <c r="KKQ18" t="s">
        <v>7977</v>
      </c>
      <c r="KKR18" t="s">
        <v>7978</v>
      </c>
      <c r="KKS18" t="s">
        <v>7979</v>
      </c>
      <c r="KKT18" t="s">
        <v>7980</v>
      </c>
      <c r="KKU18" t="s">
        <v>7981</v>
      </c>
      <c r="KKV18" t="s">
        <v>7982</v>
      </c>
      <c r="KKW18" t="s">
        <v>7983</v>
      </c>
      <c r="KKX18" t="s">
        <v>7984</v>
      </c>
      <c r="KKY18" t="s">
        <v>7985</v>
      </c>
      <c r="KKZ18" t="s">
        <v>7986</v>
      </c>
      <c r="KLA18" t="s">
        <v>7987</v>
      </c>
      <c r="KLB18" t="s">
        <v>7988</v>
      </c>
      <c r="KLC18" t="s">
        <v>7989</v>
      </c>
      <c r="KLD18" t="s">
        <v>7990</v>
      </c>
      <c r="KLE18" t="s">
        <v>7991</v>
      </c>
      <c r="KLF18" t="s">
        <v>7992</v>
      </c>
      <c r="KLG18" t="s">
        <v>7993</v>
      </c>
      <c r="KLH18" t="s">
        <v>7994</v>
      </c>
      <c r="KLI18" t="s">
        <v>7995</v>
      </c>
      <c r="KLJ18" t="s">
        <v>7996</v>
      </c>
      <c r="KLK18" t="s">
        <v>7997</v>
      </c>
      <c r="KLL18" t="s">
        <v>7998</v>
      </c>
      <c r="KLM18" t="s">
        <v>7999</v>
      </c>
      <c r="KLN18" t="s">
        <v>8000</v>
      </c>
      <c r="KLO18" t="s">
        <v>8001</v>
      </c>
      <c r="KLP18" t="s">
        <v>8002</v>
      </c>
      <c r="KLQ18" t="s">
        <v>8003</v>
      </c>
      <c r="KLR18" t="s">
        <v>8004</v>
      </c>
      <c r="KLS18" t="s">
        <v>8005</v>
      </c>
      <c r="KLT18" t="s">
        <v>8006</v>
      </c>
      <c r="KLU18" t="s">
        <v>8007</v>
      </c>
      <c r="KLV18" t="s">
        <v>8008</v>
      </c>
      <c r="KLW18" t="s">
        <v>8009</v>
      </c>
      <c r="KLX18" t="s">
        <v>8010</v>
      </c>
      <c r="KLY18" t="s">
        <v>8011</v>
      </c>
      <c r="KLZ18" t="s">
        <v>8012</v>
      </c>
      <c r="KMA18" t="s">
        <v>8013</v>
      </c>
      <c r="KMB18" t="s">
        <v>8014</v>
      </c>
      <c r="KMC18" t="s">
        <v>8015</v>
      </c>
      <c r="KMD18" t="s">
        <v>8016</v>
      </c>
      <c r="KME18" t="s">
        <v>8017</v>
      </c>
      <c r="KMF18" t="s">
        <v>8018</v>
      </c>
      <c r="KMG18" t="s">
        <v>8019</v>
      </c>
      <c r="KMH18" t="s">
        <v>8020</v>
      </c>
      <c r="KMI18" t="s">
        <v>8021</v>
      </c>
      <c r="KMJ18" t="s">
        <v>8022</v>
      </c>
      <c r="KMK18" t="s">
        <v>8023</v>
      </c>
      <c r="KML18" t="s">
        <v>8024</v>
      </c>
      <c r="KMM18" t="s">
        <v>8025</v>
      </c>
      <c r="KMN18" t="s">
        <v>8026</v>
      </c>
      <c r="KMO18" t="s">
        <v>8027</v>
      </c>
      <c r="KMP18" t="s">
        <v>8028</v>
      </c>
      <c r="KMQ18" t="s">
        <v>8029</v>
      </c>
      <c r="KMR18" t="s">
        <v>8030</v>
      </c>
      <c r="KMS18" t="s">
        <v>8031</v>
      </c>
      <c r="KMT18" t="s">
        <v>8032</v>
      </c>
      <c r="KMU18" t="s">
        <v>8033</v>
      </c>
      <c r="KMV18" t="s">
        <v>8034</v>
      </c>
      <c r="KMW18" t="s">
        <v>8035</v>
      </c>
      <c r="KMX18" t="s">
        <v>8036</v>
      </c>
      <c r="KMY18" t="s">
        <v>8037</v>
      </c>
      <c r="KMZ18" t="s">
        <v>8038</v>
      </c>
      <c r="KNA18" t="s">
        <v>8039</v>
      </c>
      <c r="KNB18" t="s">
        <v>8040</v>
      </c>
      <c r="KNC18" t="s">
        <v>8041</v>
      </c>
      <c r="KND18" t="s">
        <v>8042</v>
      </c>
      <c r="KNE18" t="s">
        <v>8043</v>
      </c>
      <c r="KNF18" t="s">
        <v>8044</v>
      </c>
      <c r="KNG18" t="s">
        <v>8045</v>
      </c>
      <c r="KNH18" t="s">
        <v>8046</v>
      </c>
      <c r="KNI18" t="s">
        <v>8047</v>
      </c>
      <c r="KNJ18" t="s">
        <v>8048</v>
      </c>
      <c r="KNK18" t="s">
        <v>8049</v>
      </c>
      <c r="KNL18" t="s">
        <v>8050</v>
      </c>
      <c r="KNM18" t="s">
        <v>8051</v>
      </c>
      <c r="KNN18" t="s">
        <v>8052</v>
      </c>
      <c r="KNO18" t="s">
        <v>8053</v>
      </c>
      <c r="KNP18" t="s">
        <v>8054</v>
      </c>
      <c r="KNQ18" t="s">
        <v>8055</v>
      </c>
      <c r="KNR18" t="s">
        <v>8056</v>
      </c>
      <c r="KNS18" t="s">
        <v>8057</v>
      </c>
      <c r="KNT18" t="s">
        <v>8058</v>
      </c>
      <c r="KNU18" t="s">
        <v>8059</v>
      </c>
      <c r="KNV18" t="s">
        <v>8060</v>
      </c>
      <c r="KNW18" t="s">
        <v>8061</v>
      </c>
      <c r="KNX18" t="s">
        <v>8062</v>
      </c>
      <c r="KNY18" t="s">
        <v>8063</v>
      </c>
      <c r="KNZ18" t="s">
        <v>8064</v>
      </c>
      <c r="KOA18" t="s">
        <v>8065</v>
      </c>
      <c r="KOB18" t="s">
        <v>8066</v>
      </c>
      <c r="KOC18" t="s">
        <v>8067</v>
      </c>
      <c r="KOD18" t="s">
        <v>8068</v>
      </c>
      <c r="KOE18" t="s">
        <v>8069</v>
      </c>
      <c r="KOF18" t="s">
        <v>8070</v>
      </c>
      <c r="KOG18" t="s">
        <v>8071</v>
      </c>
      <c r="KOH18" t="s">
        <v>8072</v>
      </c>
      <c r="KOI18" t="s">
        <v>8073</v>
      </c>
      <c r="KOJ18" t="s">
        <v>8074</v>
      </c>
      <c r="KOK18" t="s">
        <v>8075</v>
      </c>
      <c r="KOL18" t="s">
        <v>8076</v>
      </c>
      <c r="KOM18" t="s">
        <v>8077</v>
      </c>
      <c r="KON18" t="s">
        <v>8078</v>
      </c>
      <c r="KOO18" t="s">
        <v>8079</v>
      </c>
      <c r="KOP18" t="s">
        <v>8080</v>
      </c>
      <c r="KOQ18" t="s">
        <v>8081</v>
      </c>
      <c r="KOR18" t="s">
        <v>8082</v>
      </c>
      <c r="KOS18" t="s">
        <v>8083</v>
      </c>
      <c r="KOT18" t="s">
        <v>8084</v>
      </c>
      <c r="KOU18" t="s">
        <v>8085</v>
      </c>
      <c r="KOV18" t="s">
        <v>8086</v>
      </c>
      <c r="KOW18" t="s">
        <v>8087</v>
      </c>
      <c r="KOX18" t="s">
        <v>8088</v>
      </c>
      <c r="KOY18" t="s">
        <v>8089</v>
      </c>
      <c r="KOZ18" t="s">
        <v>8090</v>
      </c>
      <c r="KPA18" t="s">
        <v>8091</v>
      </c>
      <c r="KPB18" t="s">
        <v>8092</v>
      </c>
      <c r="KPC18" t="s">
        <v>8093</v>
      </c>
      <c r="KPD18" t="s">
        <v>8094</v>
      </c>
      <c r="KPE18" t="s">
        <v>8095</v>
      </c>
      <c r="KPF18" t="s">
        <v>8096</v>
      </c>
      <c r="KPG18" t="s">
        <v>8097</v>
      </c>
      <c r="KPH18" t="s">
        <v>8098</v>
      </c>
      <c r="KPI18" t="s">
        <v>8099</v>
      </c>
      <c r="KPJ18" t="s">
        <v>8100</v>
      </c>
      <c r="KPK18" t="s">
        <v>8101</v>
      </c>
      <c r="KPL18" t="s">
        <v>8102</v>
      </c>
      <c r="KPM18" t="s">
        <v>8103</v>
      </c>
      <c r="KPN18" t="s">
        <v>8104</v>
      </c>
      <c r="KPO18" t="s">
        <v>8105</v>
      </c>
      <c r="KPP18" t="s">
        <v>8106</v>
      </c>
      <c r="KPQ18" t="s">
        <v>8107</v>
      </c>
      <c r="KPR18" t="s">
        <v>8108</v>
      </c>
      <c r="KPS18" t="s">
        <v>8109</v>
      </c>
      <c r="KPT18" t="s">
        <v>8110</v>
      </c>
      <c r="KPU18" t="s">
        <v>8111</v>
      </c>
      <c r="KPV18" t="s">
        <v>8112</v>
      </c>
      <c r="KPW18" t="s">
        <v>8113</v>
      </c>
      <c r="KPX18" t="s">
        <v>8114</v>
      </c>
      <c r="KPY18" t="s">
        <v>8115</v>
      </c>
      <c r="KPZ18" t="s">
        <v>8116</v>
      </c>
      <c r="KQA18" t="s">
        <v>8117</v>
      </c>
      <c r="KQB18" t="s">
        <v>8118</v>
      </c>
      <c r="KQC18" t="s">
        <v>8119</v>
      </c>
      <c r="KQD18" t="s">
        <v>8120</v>
      </c>
      <c r="KQE18" t="s">
        <v>8121</v>
      </c>
      <c r="KQF18" t="s">
        <v>8122</v>
      </c>
      <c r="KQG18" t="s">
        <v>8123</v>
      </c>
      <c r="KQH18" t="s">
        <v>8124</v>
      </c>
      <c r="KQI18" t="s">
        <v>8125</v>
      </c>
      <c r="KQJ18" t="s">
        <v>8126</v>
      </c>
      <c r="KQK18" t="s">
        <v>8127</v>
      </c>
      <c r="KQL18" t="s">
        <v>8128</v>
      </c>
      <c r="KQM18" t="s">
        <v>8129</v>
      </c>
      <c r="KQN18" t="s">
        <v>8130</v>
      </c>
      <c r="KQO18" t="s">
        <v>8131</v>
      </c>
      <c r="KQP18" t="s">
        <v>8132</v>
      </c>
      <c r="KQQ18" t="s">
        <v>8133</v>
      </c>
      <c r="KQR18" t="s">
        <v>8134</v>
      </c>
      <c r="KQS18" t="s">
        <v>8135</v>
      </c>
      <c r="KQT18" t="s">
        <v>8136</v>
      </c>
      <c r="KQU18" t="s">
        <v>8137</v>
      </c>
      <c r="KQV18" t="s">
        <v>8138</v>
      </c>
      <c r="KQW18" t="s">
        <v>8139</v>
      </c>
      <c r="KQX18" t="s">
        <v>8140</v>
      </c>
      <c r="KQY18" t="s">
        <v>8141</v>
      </c>
      <c r="KQZ18" t="s">
        <v>8142</v>
      </c>
      <c r="KRA18" t="s">
        <v>8143</v>
      </c>
      <c r="KRB18" t="s">
        <v>8144</v>
      </c>
      <c r="KRC18" t="s">
        <v>8145</v>
      </c>
      <c r="KRD18" t="s">
        <v>8146</v>
      </c>
      <c r="KRE18" t="s">
        <v>8147</v>
      </c>
      <c r="KRF18" t="s">
        <v>8148</v>
      </c>
      <c r="KRG18" t="s">
        <v>8149</v>
      </c>
      <c r="KRH18" t="s">
        <v>8150</v>
      </c>
      <c r="KRI18" t="s">
        <v>8151</v>
      </c>
      <c r="KRJ18" t="s">
        <v>8152</v>
      </c>
      <c r="KRK18" t="s">
        <v>8153</v>
      </c>
      <c r="KRL18" t="s">
        <v>8154</v>
      </c>
      <c r="KRM18" t="s">
        <v>8155</v>
      </c>
      <c r="KRN18" t="s">
        <v>8156</v>
      </c>
      <c r="KRO18" t="s">
        <v>8157</v>
      </c>
      <c r="KRP18" t="s">
        <v>8158</v>
      </c>
      <c r="KRQ18" t="s">
        <v>8159</v>
      </c>
      <c r="KRR18" t="s">
        <v>8160</v>
      </c>
      <c r="KRS18" t="s">
        <v>8161</v>
      </c>
      <c r="KRT18" t="s">
        <v>8162</v>
      </c>
      <c r="KRU18" t="s">
        <v>8163</v>
      </c>
      <c r="KRV18" t="s">
        <v>8164</v>
      </c>
      <c r="KRW18" t="s">
        <v>8165</v>
      </c>
      <c r="KRX18" t="s">
        <v>8166</v>
      </c>
      <c r="KRY18" t="s">
        <v>8167</v>
      </c>
      <c r="KRZ18" t="s">
        <v>8168</v>
      </c>
      <c r="KSA18" t="s">
        <v>8169</v>
      </c>
      <c r="KSB18" t="s">
        <v>8170</v>
      </c>
      <c r="KSC18" t="s">
        <v>8171</v>
      </c>
      <c r="KSD18" t="s">
        <v>8172</v>
      </c>
      <c r="KSE18" t="s">
        <v>8173</v>
      </c>
      <c r="KSF18" t="s">
        <v>8174</v>
      </c>
      <c r="KSG18" t="s">
        <v>8175</v>
      </c>
      <c r="KSH18" t="s">
        <v>8176</v>
      </c>
      <c r="KSI18" t="s">
        <v>8177</v>
      </c>
      <c r="KSJ18" t="s">
        <v>8178</v>
      </c>
      <c r="KSK18" t="s">
        <v>8179</v>
      </c>
      <c r="KSL18" t="s">
        <v>8180</v>
      </c>
      <c r="KSM18" t="s">
        <v>8181</v>
      </c>
      <c r="KSN18" t="s">
        <v>8182</v>
      </c>
      <c r="KSO18" t="s">
        <v>8183</v>
      </c>
      <c r="KSP18" t="s">
        <v>8184</v>
      </c>
      <c r="KSQ18" t="s">
        <v>8185</v>
      </c>
      <c r="KSR18" t="s">
        <v>8186</v>
      </c>
      <c r="KSS18" t="s">
        <v>8187</v>
      </c>
      <c r="KST18" t="s">
        <v>8188</v>
      </c>
      <c r="KSU18" t="s">
        <v>8189</v>
      </c>
      <c r="KSV18" t="s">
        <v>8190</v>
      </c>
      <c r="KSW18" t="s">
        <v>8191</v>
      </c>
      <c r="KSX18" t="s">
        <v>8192</v>
      </c>
      <c r="KSY18" t="s">
        <v>8193</v>
      </c>
      <c r="KSZ18" t="s">
        <v>8194</v>
      </c>
      <c r="KTA18" t="s">
        <v>8195</v>
      </c>
      <c r="KTB18" t="s">
        <v>8196</v>
      </c>
      <c r="KTC18" t="s">
        <v>8197</v>
      </c>
      <c r="KTD18" t="s">
        <v>8198</v>
      </c>
      <c r="KTE18" t="s">
        <v>8199</v>
      </c>
      <c r="KTF18" t="s">
        <v>8200</v>
      </c>
      <c r="KTG18" t="s">
        <v>8201</v>
      </c>
      <c r="KTH18" t="s">
        <v>8202</v>
      </c>
      <c r="KTI18" t="s">
        <v>8203</v>
      </c>
      <c r="KTJ18" t="s">
        <v>8204</v>
      </c>
      <c r="KTK18" t="s">
        <v>8205</v>
      </c>
      <c r="KTL18" t="s">
        <v>8206</v>
      </c>
      <c r="KTM18" t="s">
        <v>8207</v>
      </c>
      <c r="KTN18" t="s">
        <v>8208</v>
      </c>
      <c r="KTO18" t="s">
        <v>8209</v>
      </c>
      <c r="KTP18" t="s">
        <v>8210</v>
      </c>
      <c r="KTQ18" t="s">
        <v>8211</v>
      </c>
      <c r="KTR18" t="s">
        <v>8212</v>
      </c>
      <c r="KTS18" t="s">
        <v>8213</v>
      </c>
      <c r="KTT18" t="s">
        <v>8214</v>
      </c>
      <c r="KTU18" t="s">
        <v>8215</v>
      </c>
      <c r="KTV18" t="s">
        <v>8216</v>
      </c>
      <c r="KTW18" t="s">
        <v>8217</v>
      </c>
      <c r="KTX18" t="s">
        <v>8218</v>
      </c>
      <c r="KTY18" t="s">
        <v>8219</v>
      </c>
      <c r="KTZ18" t="s">
        <v>8220</v>
      </c>
      <c r="KUA18" t="s">
        <v>8221</v>
      </c>
      <c r="KUB18" t="s">
        <v>8222</v>
      </c>
      <c r="KUC18" t="s">
        <v>8223</v>
      </c>
      <c r="KUD18" t="s">
        <v>8224</v>
      </c>
      <c r="KUE18" t="s">
        <v>8225</v>
      </c>
      <c r="KUF18" t="s">
        <v>8226</v>
      </c>
      <c r="KUG18" t="s">
        <v>8227</v>
      </c>
      <c r="KUH18" t="s">
        <v>8228</v>
      </c>
      <c r="KUI18" t="s">
        <v>8229</v>
      </c>
      <c r="KUJ18" t="s">
        <v>8230</v>
      </c>
      <c r="KUK18" t="s">
        <v>8231</v>
      </c>
      <c r="KUL18" t="s">
        <v>8232</v>
      </c>
      <c r="KUM18" t="s">
        <v>8233</v>
      </c>
      <c r="KUN18" t="s">
        <v>8234</v>
      </c>
      <c r="KUO18" t="s">
        <v>8235</v>
      </c>
      <c r="KUP18" t="s">
        <v>8236</v>
      </c>
      <c r="KUQ18" t="s">
        <v>8237</v>
      </c>
      <c r="KUR18" t="s">
        <v>8238</v>
      </c>
      <c r="KUS18" t="s">
        <v>8239</v>
      </c>
      <c r="KUT18" t="s">
        <v>8240</v>
      </c>
      <c r="KUU18" t="s">
        <v>8241</v>
      </c>
      <c r="KUV18" t="s">
        <v>8242</v>
      </c>
      <c r="KUW18" t="s">
        <v>8243</v>
      </c>
      <c r="KUX18" t="s">
        <v>8244</v>
      </c>
      <c r="KUY18" t="s">
        <v>8245</v>
      </c>
      <c r="KUZ18" t="s">
        <v>8246</v>
      </c>
      <c r="KVA18" t="s">
        <v>8247</v>
      </c>
      <c r="KVB18" t="s">
        <v>8248</v>
      </c>
      <c r="KVC18" t="s">
        <v>8249</v>
      </c>
      <c r="KVD18" t="s">
        <v>8250</v>
      </c>
      <c r="KVE18" t="s">
        <v>8251</v>
      </c>
      <c r="KVF18" t="s">
        <v>8252</v>
      </c>
      <c r="KVG18" t="s">
        <v>8253</v>
      </c>
      <c r="KVH18" t="s">
        <v>8254</v>
      </c>
      <c r="KVI18" t="s">
        <v>8255</v>
      </c>
      <c r="KVJ18" t="s">
        <v>8256</v>
      </c>
      <c r="KVK18" t="s">
        <v>8257</v>
      </c>
      <c r="KVL18" t="s">
        <v>8258</v>
      </c>
      <c r="KVM18" t="s">
        <v>8259</v>
      </c>
      <c r="KVN18" t="s">
        <v>8260</v>
      </c>
      <c r="KVO18" t="s">
        <v>8261</v>
      </c>
      <c r="KVP18" t="s">
        <v>8262</v>
      </c>
      <c r="KVQ18" t="s">
        <v>8263</v>
      </c>
      <c r="KVR18" t="s">
        <v>8264</v>
      </c>
      <c r="KVS18" t="s">
        <v>8265</v>
      </c>
      <c r="KVT18" t="s">
        <v>8266</v>
      </c>
      <c r="KVU18" t="s">
        <v>8267</v>
      </c>
      <c r="KVV18" t="s">
        <v>8268</v>
      </c>
      <c r="KVW18" t="s">
        <v>8269</v>
      </c>
      <c r="KVX18" t="s">
        <v>8270</v>
      </c>
      <c r="KVY18" t="s">
        <v>8271</v>
      </c>
      <c r="KVZ18" t="s">
        <v>8272</v>
      </c>
      <c r="KWA18" t="s">
        <v>8273</v>
      </c>
      <c r="KWB18" t="s">
        <v>8274</v>
      </c>
      <c r="KWC18" t="s">
        <v>8275</v>
      </c>
      <c r="KWD18" t="s">
        <v>8276</v>
      </c>
      <c r="KWE18" t="s">
        <v>8277</v>
      </c>
      <c r="KWF18" t="s">
        <v>8278</v>
      </c>
      <c r="KWG18" t="s">
        <v>8279</v>
      </c>
      <c r="KWH18" t="s">
        <v>8280</v>
      </c>
      <c r="KWI18" t="s">
        <v>8281</v>
      </c>
      <c r="KWJ18" t="s">
        <v>8282</v>
      </c>
      <c r="KWK18" t="s">
        <v>8283</v>
      </c>
      <c r="KWL18" t="s">
        <v>8284</v>
      </c>
      <c r="KWM18" t="s">
        <v>8285</v>
      </c>
      <c r="KWN18" t="s">
        <v>8286</v>
      </c>
      <c r="KWO18" t="s">
        <v>8287</v>
      </c>
      <c r="KWP18" t="s">
        <v>8288</v>
      </c>
      <c r="KWQ18" t="s">
        <v>8289</v>
      </c>
      <c r="KWR18" t="s">
        <v>8290</v>
      </c>
      <c r="KWS18" t="s">
        <v>8291</v>
      </c>
      <c r="KWT18" t="s">
        <v>8292</v>
      </c>
      <c r="KWU18" t="s">
        <v>8293</v>
      </c>
      <c r="KWV18" t="s">
        <v>8294</v>
      </c>
      <c r="KWW18" t="s">
        <v>8295</v>
      </c>
      <c r="KWX18" t="s">
        <v>8296</v>
      </c>
      <c r="KWY18" t="s">
        <v>8297</v>
      </c>
      <c r="KWZ18" t="s">
        <v>8298</v>
      </c>
      <c r="KXA18" t="s">
        <v>8299</v>
      </c>
      <c r="KXB18" t="s">
        <v>8300</v>
      </c>
      <c r="KXC18" t="s">
        <v>8301</v>
      </c>
      <c r="KXD18" t="s">
        <v>8302</v>
      </c>
      <c r="KXE18" t="s">
        <v>8303</v>
      </c>
      <c r="KXF18" t="s">
        <v>8304</v>
      </c>
      <c r="KXG18" t="s">
        <v>8305</v>
      </c>
      <c r="KXH18" t="s">
        <v>8306</v>
      </c>
      <c r="KXI18" t="s">
        <v>8307</v>
      </c>
      <c r="KXJ18" t="s">
        <v>8308</v>
      </c>
      <c r="KXK18" t="s">
        <v>8309</v>
      </c>
      <c r="KXL18" t="s">
        <v>8310</v>
      </c>
      <c r="KXM18" t="s">
        <v>8311</v>
      </c>
      <c r="KXN18" t="s">
        <v>8312</v>
      </c>
      <c r="KXO18" t="s">
        <v>8313</v>
      </c>
      <c r="KXP18" t="s">
        <v>8314</v>
      </c>
      <c r="KXQ18" t="s">
        <v>8315</v>
      </c>
      <c r="KXR18" t="s">
        <v>8316</v>
      </c>
      <c r="KXS18" t="s">
        <v>8317</v>
      </c>
      <c r="KXT18" t="s">
        <v>8318</v>
      </c>
      <c r="KXU18" t="s">
        <v>8319</v>
      </c>
      <c r="KXV18" t="s">
        <v>8320</v>
      </c>
      <c r="KXW18" t="s">
        <v>8321</v>
      </c>
      <c r="KXX18" t="s">
        <v>8322</v>
      </c>
      <c r="KXY18" t="s">
        <v>8323</v>
      </c>
      <c r="KXZ18" t="s">
        <v>8324</v>
      </c>
      <c r="KYA18" t="s">
        <v>8325</v>
      </c>
      <c r="KYB18" t="s">
        <v>8326</v>
      </c>
      <c r="KYC18" t="s">
        <v>8327</v>
      </c>
      <c r="KYD18" t="s">
        <v>8328</v>
      </c>
      <c r="KYE18" t="s">
        <v>8329</v>
      </c>
      <c r="KYF18" t="s">
        <v>8330</v>
      </c>
      <c r="KYG18" t="s">
        <v>8331</v>
      </c>
      <c r="KYH18" t="s">
        <v>8332</v>
      </c>
      <c r="KYI18" t="s">
        <v>8333</v>
      </c>
      <c r="KYJ18" t="s">
        <v>8334</v>
      </c>
      <c r="KYK18" t="s">
        <v>8335</v>
      </c>
      <c r="KYL18" t="s">
        <v>8336</v>
      </c>
      <c r="KYM18" t="s">
        <v>8337</v>
      </c>
      <c r="KYN18" t="s">
        <v>8338</v>
      </c>
      <c r="KYO18" t="s">
        <v>8339</v>
      </c>
      <c r="KYP18" t="s">
        <v>8340</v>
      </c>
      <c r="KYQ18" t="s">
        <v>8341</v>
      </c>
      <c r="KYR18" t="s">
        <v>8342</v>
      </c>
      <c r="KYS18" t="s">
        <v>8343</v>
      </c>
      <c r="KYT18" t="s">
        <v>8344</v>
      </c>
      <c r="KYU18" t="s">
        <v>8345</v>
      </c>
      <c r="KYV18" t="s">
        <v>8346</v>
      </c>
      <c r="KYW18" t="s">
        <v>8347</v>
      </c>
      <c r="KYX18" t="s">
        <v>8348</v>
      </c>
      <c r="KYY18" t="s">
        <v>8349</v>
      </c>
      <c r="KYZ18" t="s">
        <v>8350</v>
      </c>
      <c r="KZA18" t="s">
        <v>8351</v>
      </c>
      <c r="KZB18" t="s">
        <v>8352</v>
      </c>
      <c r="KZC18" t="s">
        <v>8353</v>
      </c>
      <c r="KZD18" t="s">
        <v>8354</v>
      </c>
      <c r="KZE18" t="s">
        <v>8355</v>
      </c>
      <c r="KZF18" t="s">
        <v>8356</v>
      </c>
      <c r="KZG18" t="s">
        <v>8357</v>
      </c>
      <c r="KZH18" t="s">
        <v>8358</v>
      </c>
      <c r="KZI18" t="s">
        <v>8359</v>
      </c>
      <c r="KZJ18" t="s">
        <v>8360</v>
      </c>
      <c r="KZK18" t="s">
        <v>8361</v>
      </c>
      <c r="KZL18" t="s">
        <v>8362</v>
      </c>
      <c r="KZM18" t="s">
        <v>8363</v>
      </c>
      <c r="KZN18" t="s">
        <v>8364</v>
      </c>
      <c r="KZO18" t="s">
        <v>8365</v>
      </c>
      <c r="KZP18" t="s">
        <v>8366</v>
      </c>
      <c r="KZQ18" t="s">
        <v>8367</v>
      </c>
      <c r="KZR18" t="s">
        <v>8368</v>
      </c>
      <c r="KZS18" t="s">
        <v>8369</v>
      </c>
      <c r="KZT18" t="s">
        <v>8370</v>
      </c>
      <c r="KZU18" t="s">
        <v>8371</v>
      </c>
      <c r="KZV18" t="s">
        <v>8372</v>
      </c>
      <c r="KZW18" t="s">
        <v>8373</v>
      </c>
      <c r="KZX18" t="s">
        <v>8374</v>
      </c>
      <c r="KZY18" t="s">
        <v>8375</v>
      </c>
      <c r="KZZ18" t="s">
        <v>8376</v>
      </c>
      <c r="LAA18" t="s">
        <v>8377</v>
      </c>
      <c r="LAB18" t="s">
        <v>8378</v>
      </c>
      <c r="LAC18" t="s">
        <v>8379</v>
      </c>
      <c r="LAD18" t="s">
        <v>8380</v>
      </c>
      <c r="LAE18" t="s">
        <v>8381</v>
      </c>
      <c r="LAF18" t="s">
        <v>8382</v>
      </c>
      <c r="LAG18" t="s">
        <v>8383</v>
      </c>
      <c r="LAH18" t="s">
        <v>8384</v>
      </c>
      <c r="LAI18" t="s">
        <v>8385</v>
      </c>
      <c r="LAJ18" t="s">
        <v>8386</v>
      </c>
      <c r="LAK18" t="s">
        <v>8387</v>
      </c>
      <c r="LAL18" t="s">
        <v>8388</v>
      </c>
      <c r="LAM18" t="s">
        <v>8389</v>
      </c>
      <c r="LAN18" t="s">
        <v>8390</v>
      </c>
      <c r="LAO18" t="s">
        <v>8391</v>
      </c>
      <c r="LAP18" t="s">
        <v>8392</v>
      </c>
      <c r="LAQ18" t="s">
        <v>8393</v>
      </c>
      <c r="LAR18" t="s">
        <v>8394</v>
      </c>
      <c r="LAS18" t="s">
        <v>8395</v>
      </c>
      <c r="LAT18" t="s">
        <v>8396</v>
      </c>
      <c r="LAU18" t="s">
        <v>8397</v>
      </c>
      <c r="LAV18" t="s">
        <v>8398</v>
      </c>
      <c r="LAW18" t="s">
        <v>8399</v>
      </c>
      <c r="LAX18" t="s">
        <v>8400</v>
      </c>
      <c r="LAY18" t="s">
        <v>8401</v>
      </c>
      <c r="LAZ18" t="s">
        <v>8402</v>
      </c>
      <c r="LBA18" t="s">
        <v>8403</v>
      </c>
      <c r="LBB18" t="s">
        <v>8404</v>
      </c>
      <c r="LBC18" t="s">
        <v>8405</v>
      </c>
      <c r="LBD18" t="s">
        <v>8406</v>
      </c>
      <c r="LBE18" t="s">
        <v>8407</v>
      </c>
      <c r="LBF18" t="s">
        <v>8408</v>
      </c>
      <c r="LBG18" t="s">
        <v>8409</v>
      </c>
      <c r="LBH18" t="s">
        <v>8410</v>
      </c>
      <c r="LBI18" t="s">
        <v>8411</v>
      </c>
      <c r="LBJ18" t="s">
        <v>8412</v>
      </c>
      <c r="LBK18" t="s">
        <v>8413</v>
      </c>
      <c r="LBL18" t="s">
        <v>8414</v>
      </c>
      <c r="LBM18" t="s">
        <v>8415</v>
      </c>
      <c r="LBN18" t="s">
        <v>8416</v>
      </c>
      <c r="LBO18" t="s">
        <v>8417</v>
      </c>
      <c r="LBP18" t="s">
        <v>8418</v>
      </c>
      <c r="LBQ18" t="s">
        <v>8419</v>
      </c>
      <c r="LBR18" t="s">
        <v>8420</v>
      </c>
      <c r="LBS18" t="s">
        <v>8421</v>
      </c>
      <c r="LBT18" t="s">
        <v>8422</v>
      </c>
      <c r="LBU18" t="s">
        <v>8423</v>
      </c>
      <c r="LBV18" t="s">
        <v>8424</v>
      </c>
      <c r="LBW18" t="s">
        <v>8425</v>
      </c>
      <c r="LBX18" t="s">
        <v>8426</v>
      </c>
      <c r="LBY18" t="s">
        <v>8427</v>
      </c>
      <c r="LBZ18" t="s">
        <v>8428</v>
      </c>
      <c r="LCA18" t="s">
        <v>8429</v>
      </c>
      <c r="LCB18" t="s">
        <v>8430</v>
      </c>
      <c r="LCC18" t="s">
        <v>8431</v>
      </c>
      <c r="LCD18" t="s">
        <v>8432</v>
      </c>
      <c r="LCE18" t="s">
        <v>8433</v>
      </c>
      <c r="LCF18" t="s">
        <v>8434</v>
      </c>
      <c r="LCG18" t="s">
        <v>8435</v>
      </c>
      <c r="LCH18" t="s">
        <v>8436</v>
      </c>
      <c r="LCI18" t="s">
        <v>8437</v>
      </c>
      <c r="LCJ18" t="s">
        <v>8438</v>
      </c>
      <c r="LCK18" t="s">
        <v>8439</v>
      </c>
      <c r="LCL18" t="s">
        <v>8440</v>
      </c>
      <c r="LCM18" t="s">
        <v>8441</v>
      </c>
      <c r="LCN18" t="s">
        <v>8442</v>
      </c>
      <c r="LCO18" t="s">
        <v>8443</v>
      </c>
      <c r="LCP18" t="s">
        <v>8444</v>
      </c>
      <c r="LCQ18" t="s">
        <v>8445</v>
      </c>
      <c r="LCR18" t="s">
        <v>8446</v>
      </c>
      <c r="LCS18" t="s">
        <v>8447</v>
      </c>
      <c r="LCT18" t="s">
        <v>8448</v>
      </c>
      <c r="LCU18" t="s">
        <v>8449</v>
      </c>
      <c r="LCV18" t="s">
        <v>8450</v>
      </c>
      <c r="LCW18" t="s">
        <v>8451</v>
      </c>
      <c r="LCX18" t="s">
        <v>8452</v>
      </c>
      <c r="LCY18" t="s">
        <v>8453</v>
      </c>
      <c r="LCZ18" t="s">
        <v>8454</v>
      </c>
      <c r="LDA18" t="s">
        <v>8455</v>
      </c>
      <c r="LDB18" t="s">
        <v>8456</v>
      </c>
      <c r="LDC18" t="s">
        <v>8457</v>
      </c>
      <c r="LDD18" t="s">
        <v>8458</v>
      </c>
      <c r="LDE18" t="s">
        <v>8459</v>
      </c>
      <c r="LDF18" t="s">
        <v>8460</v>
      </c>
      <c r="LDG18" t="s">
        <v>8461</v>
      </c>
      <c r="LDH18" t="s">
        <v>8462</v>
      </c>
      <c r="LDI18" t="s">
        <v>8463</v>
      </c>
      <c r="LDJ18" t="s">
        <v>8464</v>
      </c>
      <c r="LDK18" t="s">
        <v>8465</v>
      </c>
      <c r="LDL18" t="s">
        <v>8466</v>
      </c>
      <c r="LDM18" t="s">
        <v>8467</v>
      </c>
      <c r="LDN18" t="s">
        <v>8468</v>
      </c>
      <c r="LDO18" t="s">
        <v>8469</v>
      </c>
      <c r="LDP18" t="s">
        <v>8470</v>
      </c>
      <c r="LDQ18" t="s">
        <v>8471</v>
      </c>
      <c r="LDR18" t="s">
        <v>8472</v>
      </c>
      <c r="LDS18" t="s">
        <v>8473</v>
      </c>
      <c r="LDT18" t="s">
        <v>8474</v>
      </c>
      <c r="LDU18" t="s">
        <v>8475</v>
      </c>
      <c r="LDV18" t="s">
        <v>8476</v>
      </c>
      <c r="LDW18" t="s">
        <v>8477</v>
      </c>
      <c r="LDX18" t="s">
        <v>8478</v>
      </c>
      <c r="LDY18" t="s">
        <v>8479</v>
      </c>
      <c r="LDZ18" t="s">
        <v>8480</v>
      </c>
      <c r="LEA18" t="s">
        <v>8481</v>
      </c>
      <c r="LEB18" t="s">
        <v>8482</v>
      </c>
      <c r="LEC18" t="s">
        <v>8483</v>
      </c>
      <c r="LED18" t="s">
        <v>8484</v>
      </c>
      <c r="LEE18" t="s">
        <v>8485</v>
      </c>
      <c r="LEF18" t="s">
        <v>8486</v>
      </c>
      <c r="LEG18" t="s">
        <v>8487</v>
      </c>
      <c r="LEH18" t="s">
        <v>8488</v>
      </c>
      <c r="LEI18" t="s">
        <v>8489</v>
      </c>
      <c r="LEJ18" t="s">
        <v>8490</v>
      </c>
      <c r="LEK18" t="s">
        <v>8491</v>
      </c>
      <c r="LEL18" t="s">
        <v>8492</v>
      </c>
      <c r="LEM18" t="s">
        <v>8493</v>
      </c>
      <c r="LEN18" t="s">
        <v>8494</v>
      </c>
      <c r="LEO18" t="s">
        <v>8495</v>
      </c>
      <c r="LEP18" t="s">
        <v>8496</v>
      </c>
      <c r="LEQ18" t="s">
        <v>8497</v>
      </c>
      <c r="LER18" t="s">
        <v>8498</v>
      </c>
      <c r="LES18" t="s">
        <v>8499</v>
      </c>
      <c r="LET18" t="s">
        <v>8500</v>
      </c>
      <c r="LEU18" t="s">
        <v>8501</v>
      </c>
      <c r="LEV18" t="s">
        <v>8502</v>
      </c>
      <c r="LEW18" t="s">
        <v>8503</v>
      </c>
      <c r="LEX18" t="s">
        <v>8504</v>
      </c>
      <c r="LEY18" t="s">
        <v>8505</v>
      </c>
      <c r="LEZ18" t="s">
        <v>8506</v>
      </c>
      <c r="LFA18" t="s">
        <v>8507</v>
      </c>
      <c r="LFB18" t="s">
        <v>8508</v>
      </c>
      <c r="LFC18" t="s">
        <v>8509</v>
      </c>
      <c r="LFD18" t="s">
        <v>8510</v>
      </c>
      <c r="LFE18" t="s">
        <v>8511</v>
      </c>
      <c r="LFF18" t="s">
        <v>8512</v>
      </c>
      <c r="LFG18" t="s">
        <v>8513</v>
      </c>
      <c r="LFH18" t="s">
        <v>8514</v>
      </c>
      <c r="LFI18" t="s">
        <v>8515</v>
      </c>
      <c r="LFJ18" t="s">
        <v>8516</v>
      </c>
      <c r="LFK18" t="s">
        <v>8517</v>
      </c>
      <c r="LFL18" t="s">
        <v>8518</v>
      </c>
      <c r="LFM18" t="s">
        <v>8519</v>
      </c>
      <c r="LFN18" t="s">
        <v>8520</v>
      </c>
      <c r="LFO18" t="s">
        <v>8521</v>
      </c>
      <c r="LFP18" t="s">
        <v>8522</v>
      </c>
      <c r="LFQ18" t="s">
        <v>8523</v>
      </c>
      <c r="LFR18" t="s">
        <v>8524</v>
      </c>
      <c r="LFS18" t="s">
        <v>8525</v>
      </c>
      <c r="LFT18" t="s">
        <v>8526</v>
      </c>
      <c r="LFU18" t="s">
        <v>8527</v>
      </c>
      <c r="LFV18" t="s">
        <v>8528</v>
      </c>
      <c r="LFW18" t="s">
        <v>8529</v>
      </c>
      <c r="LFX18" t="s">
        <v>8530</v>
      </c>
      <c r="LFY18" t="s">
        <v>8531</v>
      </c>
      <c r="LFZ18" t="s">
        <v>8532</v>
      </c>
      <c r="LGA18" t="s">
        <v>8533</v>
      </c>
      <c r="LGB18" t="s">
        <v>8534</v>
      </c>
      <c r="LGC18" t="s">
        <v>8535</v>
      </c>
      <c r="LGD18" t="s">
        <v>8536</v>
      </c>
      <c r="LGE18" t="s">
        <v>8537</v>
      </c>
      <c r="LGF18" t="s">
        <v>8538</v>
      </c>
      <c r="LGG18" t="s">
        <v>8539</v>
      </c>
      <c r="LGH18" t="s">
        <v>8540</v>
      </c>
      <c r="LGI18" t="s">
        <v>8541</v>
      </c>
      <c r="LGJ18" t="s">
        <v>8542</v>
      </c>
      <c r="LGK18" t="s">
        <v>8543</v>
      </c>
      <c r="LGL18" t="s">
        <v>8544</v>
      </c>
      <c r="LGM18" t="s">
        <v>8545</v>
      </c>
      <c r="LGN18" t="s">
        <v>8546</v>
      </c>
      <c r="LGO18" t="s">
        <v>8547</v>
      </c>
      <c r="LGP18" t="s">
        <v>8548</v>
      </c>
      <c r="LGQ18" t="s">
        <v>8549</v>
      </c>
      <c r="LGR18" t="s">
        <v>8550</v>
      </c>
      <c r="LGS18" t="s">
        <v>8551</v>
      </c>
      <c r="LGT18" t="s">
        <v>8552</v>
      </c>
      <c r="LGU18" t="s">
        <v>8553</v>
      </c>
      <c r="LGV18" t="s">
        <v>8554</v>
      </c>
      <c r="LGW18" t="s">
        <v>8555</v>
      </c>
      <c r="LGX18" t="s">
        <v>8556</v>
      </c>
      <c r="LGY18" t="s">
        <v>8557</v>
      </c>
      <c r="LGZ18" t="s">
        <v>8558</v>
      </c>
      <c r="LHA18" t="s">
        <v>8559</v>
      </c>
      <c r="LHB18" t="s">
        <v>8560</v>
      </c>
      <c r="LHC18" t="s">
        <v>8561</v>
      </c>
      <c r="LHD18" t="s">
        <v>8562</v>
      </c>
      <c r="LHE18" t="s">
        <v>8563</v>
      </c>
      <c r="LHF18" t="s">
        <v>8564</v>
      </c>
      <c r="LHG18" t="s">
        <v>8565</v>
      </c>
      <c r="LHH18" t="s">
        <v>8566</v>
      </c>
      <c r="LHI18" t="s">
        <v>8567</v>
      </c>
      <c r="LHJ18" t="s">
        <v>8568</v>
      </c>
      <c r="LHK18" t="s">
        <v>8569</v>
      </c>
      <c r="LHL18" t="s">
        <v>8570</v>
      </c>
      <c r="LHM18" t="s">
        <v>8571</v>
      </c>
      <c r="LHN18" t="s">
        <v>8572</v>
      </c>
      <c r="LHO18" t="s">
        <v>8573</v>
      </c>
      <c r="LHP18" t="s">
        <v>8574</v>
      </c>
      <c r="LHQ18" t="s">
        <v>8575</v>
      </c>
      <c r="LHR18" t="s">
        <v>8576</v>
      </c>
      <c r="LHS18" t="s">
        <v>8577</v>
      </c>
      <c r="LHT18" t="s">
        <v>8578</v>
      </c>
      <c r="LHU18" t="s">
        <v>8579</v>
      </c>
      <c r="LHV18" t="s">
        <v>8580</v>
      </c>
      <c r="LHW18" t="s">
        <v>8581</v>
      </c>
      <c r="LHX18" t="s">
        <v>8582</v>
      </c>
      <c r="LHY18" t="s">
        <v>8583</v>
      </c>
      <c r="LHZ18" t="s">
        <v>8584</v>
      </c>
      <c r="LIA18" t="s">
        <v>8585</v>
      </c>
      <c r="LIB18" t="s">
        <v>8586</v>
      </c>
      <c r="LIC18" t="s">
        <v>8587</v>
      </c>
      <c r="LID18" t="s">
        <v>8588</v>
      </c>
      <c r="LIE18" t="s">
        <v>8589</v>
      </c>
      <c r="LIF18" t="s">
        <v>8590</v>
      </c>
      <c r="LIG18" t="s">
        <v>8591</v>
      </c>
      <c r="LIH18" t="s">
        <v>8592</v>
      </c>
      <c r="LII18" t="s">
        <v>8593</v>
      </c>
      <c r="LIJ18" t="s">
        <v>8594</v>
      </c>
      <c r="LIK18" t="s">
        <v>8595</v>
      </c>
      <c r="LIL18" t="s">
        <v>8596</v>
      </c>
      <c r="LIM18" t="s">
        <v>8597</v>
      </c>
      <c r="LIN18" t="s">
        <v>8598</v>
      </c>
      <c r="LIO18" t="s">
        <v>8599</v>
      </c>
      <c r="LIP18" t="s">
        <v>8600</v>
      </c>
      <c r="LIQ18" t="s">
        <v>8601</v>
      </c>
      <c r="LIR18" t="s">
        <v>8602</v>
      </c>
      <c r="LIS18" t="s">
        <v>8603</v>
      </c>
      <c r="LIT18" t="s">
        <v>8604</v>
      </c>
      <c r="LIU18" t="s">
        <v>8605</v>
      </c>
      <c r="LIV18" t="s">
        <v>8606</v>
      </c>
      <c r="LIW18" t="s">
        <v>8607</v>
      </c>
      <c r="LIX18" t="s">
        <v>8608</v>
      </c>
      <c r="LIY18" t="s">
        <v>8609</v>
      </c>
      <c r="LIZ18" t="s">
        <v>8610</v>
      </c>
      <c r="LJA18" t="s">
        <v>8611</v>
      </c>
      <c r="LJB18" t="s">
        <v>8612</v>
      </c>
      <c r="LJC18" t="s">
        <v>8613</v>
      </c>
      <c r="LJD18" t="s">
        <v>8614</v>
      </c>
      <c r="LJE18" t="s">
        <v>8615</v>
      </c>
      <c r="LJF18" t="s">
        <v>8616</v>
      </c>
      <c r="LJG18" t="s">
        <v>8617</v>
      </c>
      <c r="LJH18" t="s">
        <v>8618</v>
      </c>
      <c r="LJI18" t="s">
        <v>8619</v>
      </c>
      <c r="LJJ18" t="s">
        <v>8620</v>
      </c>
      <c r="LJK18" t="s">
        <v>8621</v>
      </c>
      <c r="LJL18" t="s">
        <v>8622</v>
      </c>
      <c r="LJM18" t="s">
        <v>8623</v>
      </c>
      <c r="LJN18" t="s">
        <v>8624</v>
      </c>
      <c r="LJO18" t="s">
        <v>8625</v>
      </c>
      <c r="LJP18" t="s">
        <v>8626</v>
      </c>
      <c r="LJQ18" t="s">
        <v>8627</v>
      </c>
      <c r="LJR18" t="s">
        <v>8628</v>
      </c>
      <c r="LJS18" t="s">
        <v>8629</v>
      </c>
      <c r="LJT18" t="s">
        <v>8630</v>
      </c>
      <c r="LJU18" t="s">
        <v>8631</v>
      </c>
      <c r="LJV18" t="s">
        <v>8632</v>
      </c>
      <c r="LJW18" t="s">
        <v>8633</v>
      </c>
      <c r="LJX18" t="s">
        <v>8634</v>
      </c>
      <c r="LJY18" t="s">
        <v>8635</v>
      </c>
      <c r="LJZ18" t="s">
        <v>8636</v>
      </c>
      <c r="LKA18" t="s">
        <v>8637</v>
      </c>
      <c r="LKB18" t="s">
        <v>8638</v>
      </c>
      <c r="LKC18" t="s">
        <v>8639</v>
      </c>
      <c r="LKD18" t="s">
        <v>8640</v>
      </c>
      <c r="LKE18" t="s">
        <v>8641</v>
      </c>
      <c r="LKF18" t="s">
        <v>8642</v>
      </c>
      <c r="LKG18" t="s">
        <v>8643</v>
      </c>
      <c r="LKH18" t="s">
        <v>8644</v>
      </c>
      <c r="LKI18" t="s">
        <v>8645</v>
      </c>
      <c r="LKJ18" t="s">
        <v>8646</v>
      </c>
      <c r="LKK18" t="s">
        <v>8647</v>
      </c>
      <c r="LKL18" t="s">
        <v>8648</v>
      </c>
      <c r="LKM18" t="s">
        <v>8649</v>
      </c>
      <c r="LKN18" t="s">
        <v>8650</v>
      </c>
      <c r="LKO18" t="s">
        <v>8651</v>
      </c>
      <c r="LKP18" t="s">
        <v>8652</v>
      </c>
      <c r="LKQ18" t="s">
        <v>8653</v>
      </c>
      <c r="LKR18" t="s">
        <v>8654</v>
      </c>
      <c r="LKS18" t="s">
        <v>8655</v>
      </c>
      <c r="LKT18" t="s">
        <v>8656</v>
      </c>
      <c r="LKU18" t="s">
        <v>8657</v>
      </c>
      <c r="LKV18" t="s">
        <v>8658</v>
      </c>
      <c r="LKW18" t="s">
        <v>8659</v>
      </c>
      <c r="LKX18" t="s">
        <v>8660</v>
      </c>
      <c r="LKY18" t="s">
        <v>8661</v>
      </c>
      <c r="LKZ18" t="s">
        <v>8662</v>
      </c>
      <c r="LLA18" t="s">
        <v>8663</v>
      </c>
      <c r="LLB18" t="s">
        <v>8664</v>
      </c>
      <c r="LLC18" t="s">
        <v>8665</v>
      </c>
      <c r="LLD18" t="s">
        <v>8666</v>
      </c>
      <c r="LLE18" t="s">
        <v>8667</v>
      </c>
      <c r="LLF18" t="s">
        <v>8668</v>
      </c>
      <c r="LLG18" t="s">
        <v>8669</v>
      </c>
      <c r="LLH18" t="s">
        <v>8670</v>
      </c>
      <c r="LLI18" t="s">
        <v>8671</v>
      </c>
      <c r="LLJ18" t="s">
        <v>8672</v>
      </c>
      <c r="LLK18" t="s">
        <v>8673</v>
      </c>
      <c r="LLL18" t="s">
        <v>8674</v>
      </c>
      <c r="LLM18" t="s">
        <v>8675</v>
      </c>
      <c r="LLN18" t="s">
        <v>8676</v>
      </c>
      <c r="LLO18" t="s">
        <v>8677</v>
      </c>
      <c r="LLP18" t="s">
        <v>8678</v>
      </c>
      <c r="LLQ18" t="s">
        <v>8679</v>
      </c>
      <c r="LLR18" t="s">
        <v>8680</v>
      </c>
      <c r="LLS18" t="s">
        <v>8681</v>
      </c>
      <c r="LLT18" t="s">
        <v>8682</v>
      </c>
      <c r="LLU18" t="s">
        <v>8683</v>
      </c>
      <c r="LLV18" t="s">
        <v>8684</v>
      </c>
      <c r="LLW18" t="s">
        <v>8685</v>
      </c>
      <c r="LLX18" t="s">
        <v>8686</v>
      </c>
      <c r="LLY18" t="s">
        <v>8687</v>
      </c>
      <c r="LLZ18" t="s">
        <v>8688</v>
      </c>
      <c r="LMA18" t="s">
        <v>8689</v>
      </c>
      <c r="LMB18" t="s">
        <v>8690</v>
      </c>
      <c r="LMC18" t="s">
        <v>8691</v>
      </c>
      <c r="LMD18" t="s">
        <v>8692</v>
      </c>
      <c r="LME18" t="s">
        <v>8693</v>
      </c>
      <c r="LMF18" t="s">
        <v>8694</v>
      </c>
      <c r="LMG18" t="s">
        <v>8695</v>
      </c>
      <c r="LMH18" t="s">
        <v>8696</v>
      </c>
      <c r="LMI18" t="s">
        <v>8697</v>
      </c>
      <c r="LMJ18" t="s">
        <v>8698</v>
      </c>
      <c r="LMK18" t="s">
        <v>8699</v>
      </c>
      <c r="LML18" t="s">
        <v>8700</v>
      </c>
      <c r="LMM18" t="s">
        <v>8701</v>
      </c>
      <c r="LMN18" t="s">
        <v>8702</v>
      </c>
      <c r="LMO18" t="s">
        <v>8703</v>
      </c>
      <c r="LMP18" t="s">
        <v>8704</v>
      </c>
      <c r="LMQ18" t="s">
        <v>8705</v>
      </c>
      <c r="LMR18" t="s">
        <v>8706</v>
      </c>
      <c r="LMS18" t="s">
        <v>8707</v>
      </c>
      <c r="LMT18" t="s">
        <v>8708</v>
      </c>
      <c r="LMU18" t="s">
        <v>8709</v>
      </c>
      <c r="LMV18" t="s">
        <v>8710</v>
      </c>
      <c r="LMW18" t="s">
        <v>8711</v>
      </c>
      <c r="LMX18" t="s">
        <v>8712</v>
      </c>
      <c r="LMY18" t="s">
        <v>8713</v>
      </c>
      <c r="LMZ18" t="s">
        <v>8714</v>
      </c>
      <c r="LNA18" t="s">
        <v>8715</v>
      </c>
      <c r="LNB18" t="s">
        <v>8716</v>
      </c>
      <c r="LNC18" t="s">
        <v>8717</v>
      </c>
      <c r="LND18" t="s">
        <v>8718</v>
      </c>
      <c r="LNE18" t="s">
        <v>8719</v>
      </c>
      <c r="LNF18" t="s">
        <v>8720</v>
      </c>
      <c r="LNG18" t="s">
        <v>8721</v>
      </c>
      <c r="LNH18" t="s">
        <v>8722</v>
      </c>
      <c r="LNI18" t="s">
        <v>8723</v>
      </c>
      <c r="LNJ18" t="s">
        <v>8724</v>
      </c>
      <c r="LNK18" t="s">
        <v>8725</v>
      </c>
      <c r="LNL18" t="s">
        <v>8726</v>
      </c>
      <c r="LNM18" t="s">
        <v>8727</v>
      </c>
      <c r="LNN18" t="s">
        <v>8728</v>
      </c>
      <c r="LNO18" t="s">
        <v>8729</v>
      </c>
      <c r="LNP18" t="s">
        <v>8730</v>
      </c>
      <c r="LNQ18" t="s">
        <v>8731</v>
      </c>
      <c r="LNR18" t="s">
        <v>8732</v>
      </c>
      <c r="LNS18" t="s">
        <v>8733</v>
      </c>
      <c r="LNT18" t="s">
        <v>8734</v>
      </c>
      <c r="LNU18" t="s">
        <v>8735</v>
      </c>
      <c r="LNV18" t="s">
        <v>8736</v>
      </c>
      <c r="LNW18" t="s">
        <v>8737</v>
      </c>
      <c r="LNX18" t="s">
        <v>8738</v>
      </c>
      <c r="LNY18" t="s">
        <v>8739</v>
      </c>
      <c r="LNZ18" t="s">
        <v>8740</v>
      </c>
      <c r="LOA18" t="s">
        <v>8741</v>
      </c>
      <c r="LOB18" t="s">
        <v>8742</v>
      </c>
      <c r="LOC18" t="s">
        <v>8743</v>
      </c>
      <c r="LOD18" t="s">
        <v>8744</v>
      </c>
      <c r="LOE18" t="s">
        <v>8745</v>
      </c>
      <c r="LOF18" t="s">
        <v>8746</v>
      </c>
      <c r="LOG18" t="s">
        <v>8747</v>
      </c>
      <c r="LOH18" t="s">
        <v>8748</v>
      </c>
      <c r="LOI18" t="s">
        <v>8749</v>
      </c>
      <c r="LOJ18" t="s">
        <v>8750</v>
      </c>
      <c r="LOK18" t="s">
        <v>8751</v>
      </c>
      <c r="LOL18" t="s">
        <v>8752</v>
      </c>
      <c r="LOM18" t="s">
        <v>8753</v>
      </c>
      <c r="LON18" t="s">
        <v>8754</v>
      </c>
      <c r="LOO18" t="s">
        <v>8755</v>
      </c>
      <c r="LOP18" t="s">
        <v>8756</v>
      </c>
      <c r="LOQ18" t="s">
        <v>8757</v>
      </c>
      <c r="LOR18" t="s">
        <v>8758</v>
      </c>
      <c r="LOS18" t="s">
        <v>8759</v>
      </c>
      <c r="LOT18" t="s">
        <v>8760</v>
      </c>
      <c r="LOU18" t="s">
        <v>8761</v>
      </c>
      <c r="LOV18" t="s">
        <v>8762</v>
      </c>
      <c r="LOW18" t="s">
        <v>8763</v>
      </c>
      <c r="LOX18" t="s">
        <v>8764</v>
      </c>
      <c r="LOY18" t="s">
        <v>8765</v>
      </c>
      <c r="LOZ18" t="s">
        <v>8766</v>
      </c>
      <c r="LPA18" t="s">
        <v>8767</v>
      </c>
      <c r="LPB18" t="s">
        <v>8768</v>
      </c>
      <c r="LPC18" t="s">
        <v>8769</v>
      </c>
      <c r="LPD18" t="s">
        <v>8770</v>
      </c>
      <c r="LPE18" t="s">
        <v>8771</v>
      </c>
      <c r="LPF18" t="s">
        <v>8772</v>
      </c>
      <c r="LPG18" t="s">
        <v>8773</v>
      </c>
      <c r="LPH18" t="s">
        <v>8774</v>
      </c>
      <c r="LPI18" t="s">
        <v>8775</v>
      </c>
      <c r="LPJ18" t="s">
        <v>8776</v>
      </c>
      <c r="LPK18" t="s">
        <v>8777</v>
      </c>
      <c r="LPL18" t="s">
        <v>8778</v>
      </c>
      <c r="LPM18" t="s">
        <v>8779</v>
      </c>
      <c r="LPN18" t="s">
        <v>8780</v>
      </c>
      <c r="LPO18" t="s">
        <v>8781</v>
      </c>
      <c r="LPP18" t="s">
        <v>8782</v>
      </c>
      <c r="LPQ18" t="s">
        <v>8783</v>
      </c>
      <c r="LPR18" t="s">
        <v>8784</v>
      </c>
      <c r="LPS18" t="s">
        <v>8785</v>
      </c>
      <c r="LPT18" t="s">
        <v>8786</v>
      </c>
      <c r="LPU18" t="s">
        <v>8787</v>
      </c>
      <c r="LPV18" t="s">
        <v>8788</v>
      </c>
      <c r="LPW18" t="s">
        <v>8789</v>
      </c>
      <c r="LPX18" t="s">
        <v>8790</v>
      </c>
      <c r="LPY18" t="s">
        <v>8791</v>
      </c>
      <c r="LPZ18" t="s">
        <v>8792</v>
      </c>
      <c r="LQA18" t="s">
        <v>8793</v>
      </c>
      <c r="LQB18" t="s">
        <v>8794</v>
      </c>
      <c r="LQC18" t="s">
        <v>8795</v>
      </c>
      <c r="LQD18" t="s">
        <v>8796</v>
      </c>
      <c r="LQE18" t="s">
        <v>8797</v>
      </c>
      <c r="LQF18" t="s">
        <v>8798</v>
      </c>
      <c r="LQG18" t="s">
        <v>8799</v>
      </c>
      <c r="LQH18" t="s">
        <v>8800</v>
      </c>
      <c r="LQI18" t="s">
        <v>8801</v>
      </c>
      <c r="LQJ18" t="s">
        <v>8802</v>
      </c>
      <c r="LQK18" t="s">
        <v>8803</v>
      </c>
      <c r="LQL18" t="s">
        <v>8804</v>
      </c>
      <c r="LQM18" t="s">
        <v>8805</v>
      </c>
      <c r="LQN18" t="s">
        <v>8806</v>
      </c>
      <c r="LQO18" t="s">
        <v>8807</v>
      </c>
      <c r="LQP18" t="s">
        <v>8808</v>
      </c>
      <c r="LQQ18" t="s">
        <v>8809</v>
      </c>
      <c r="LQR18" t="s">
        <v>8810</v>
      </c>
      <c r="LQS18" t="s">
        <v>8811</v>
      </c>
      <c r="LQT18" t="s">
        <v>8812</v>
      </c>
      <c r="LQU18" t="s">
        <v>8813</v>
      </c>
      <c r="LQV18" t="s">
        <v>8814</v>
      </c>
      <c r="LQW18" t="s">
        <v>8815</v>
      </c>
      <c r="LQX18" t="s">
        <v>8816</v>
      </c>
      <c r="LQY18" t="s">
        <v>8817</v>
      </c>
      <c r="LQZ18" t="s">
        <v>8818</v>
      </c>
      <c r="LRA18" t="s">
        <v>8819</v>
      </c>
      <c r="LRB18" t="s">
        <v>8820</v>
      </c>
      <c r="LRC18" t="s">
        <v>8821</v>
      </c>
      <c r="LRD18" t="s">
        <v>8822</v>
      </c>
      <c r="LRE18" t="s">
        <v>8823</v>
      </c>
      <c r="LRF18" t="s">
        <v>8824</v>
      </c>
      <c r="LRG18" t="s">
        <v>8825</v>
      </c>
      <c r="LRH18" t="s">
        <v>8826</v>
      </c>
      <c r="LRI18" t="s">
        <v>8827</v>
      </c>
      <c r="LRJ18" t="s">
        <v>8828</v>
      </c>
      <c r="LRK18" t="s">
        <v>8829</v>
      </c>
      <c r="LRL18" t="s">
        <v>8830</v>
      </c>
      <c r="LRM18" t="s">
        <v>8831</v>
      </c>
      <c r="LRN18" t="s">
        <v>8832</v>
      </c>
      <c r="LRO18" t="s">
        <v>8833</v>
      </c>
      <c r="LRP18" t="s">
        <v>8834</v>
      </c>
      <c r="LRQ18" t="s">
        <v>8835</v>
      </c>
      <c r="LRR18" t="s">
        <v>8836</v>
      </c>
      <c r="LRS18" t="s">
        <v>8837</v>
      </c>
      <c r="LRT18" t="s">
        <v>8838</v>
      </c>
      <c r="LRU18" t="s">
        <v>8839</v>
      </c>
      <c r="LRV18" t="s">
        <v>8840</v>
      </c>
      <c r="LRW18" t="s">
        <v>8841</v>
      </c>
      <c r="LRX18" t="s">
        <v>8842</v>
      </c>
      <c r="LRY18" t="s">
        <v>8843</v>
      </c>
      <c r="LRZ18" t="s">
        <v>8844</v>
      </c>
      <c r="LSA18" t="s">
        <v>8845</v>
      </c>
      <c r="LSB18" t="s">
        <v>8846</v>
      </c>
      <c r="LSC18" t="s">
        <v>8847</v>
      </c>
      <c r="LSD18" t="s">
        <v>8848</v>
      </c>
      <c r="LSE18" t="s">
        <v>8849</v>
      </c>
      <c r="LSF18" t="s">
        <v>8850</v>
      </c>
      <c r="LSG18" t="s">
        <v>8851</v>
      </c>
      <c r="LSH18" t="s">
        <v>8852</v>
      </c>
      <c r="LSI18" t="s">
        <v>8853</v>
      </c>
      <c r="LSJ18" t="s">
        <v>8854</v>
      </c>
      <c r="LSK18" t="s">
        <v>8855</v>
      </c>
      <c r="LSL18" t="s">
        <v>8856</v>
      </c>
      <c r="LSM18" t="s">
        <v>8857</v>
      </c>
      <c r="LSN18" t="s">
        <v>8858</v>
      </c>
      <c r="LSO18" t="s">
        <v>8859</v>
      </c>
      <c r="LSP18" t="s">
        <v>8860</v>
      </c>
      <c r="LSQ18" t="s">
        <v>8861</v>
      </c>
      <c r="LSR18" t="s">
        <v>8862</v>
      </c>
      <c r="LSS18" t="s">
        <v>8863</v>
      </c>
      <c r="LST18" t="s">
        <v>8864</v>
      </c>
      <c r="LSU18" t="s">
        <v>8865</v>
      </c>
      <c r="LSV18" t="s">
        <v>8866</v>
      </c>
      <c r="LSW18" t="s">
        <v>8867</v>
      </c>
      <c r="LSX18" t="s">
        <v>8868</v>
      </c>
      <c r="LSY18" t="s">
        <v>8869</v>
      </c>
      <c r="LSZ18" t="s">
        <v>8870</v>
      </c>
      <c r="LTA18" t="s">
        <v>8871</v>
      </c>
      <c r="LTB18" t="s">
        <v>8872</v>
      </c>
      <c r="LTC18" t="s">
        <v>8873</v>
      </c>
      <c r="LTD18" t="s">
        <v>8874</v>
      </c>
      <c r="LTE18" t="s">
        <v>8875</v>
      </c>
      <c r="LTF18" t="s">
        <v>8876</v>
      </c>
      <c r="LTG18" t="s">
        <v>8877</v>
      </c>
      <c r="LTH18" t="s">
        <v>8878</v>
      </c>
      <c r="LTI18" t="s">
        <v>8879</v>
      </c>
      <c r="LTJ18" t="s">
        <v>8880</v>
      </c>
      <c r="LTK18" t="s">
        <v>8881</v>
      </c>
      <c r="LTL18" t="s">
        <v>8882</v>
      </c>
      <c r="LTM18" t="s">
        <v>8883</v>
      </c>
      <c r="LTN18" t="s">
        <v>8884</v>
      </c>
      <c r="LTO18" t="s">
        <v>8885</v>
      </c>
      <c r="LTP18" t="s">
        <v>8886</v>
      </c>
      <c r="LTQ18" t="s">
        <v>8887</v>
      </c>
      <c r="LTR18" t="s">
        <v>8888</v>
      </c>
      <c r="LTS18" t="s">
        <v>8889</v>
      </c>
      <c r="LTT18" t="s">
        <v>8890</v>
      </c>
      <c r="LTU18" t="s">
        <v>8891</v>
      </c>
      <c r="LTV18" t="s">
        <v>8892</v>
      </c>
      <c r="LTW18" t="s">
        <v>8893</v>
      </c>
      <c r="LTX18" t="s">
        <v>8894</v>
      </c>
      <c r="LTY18" t="s">
        <v>8895</v>
      </c>
      <c r="LTZ18" t="s">
        <v>8896</v>
      </c>
      <c r="LUA18" t="s">
        <v>8897</v>
      </c>
      <c r="LUB18" t="s">
        <v>8898</v>
      </c>
      <c r="LUC18" t="s">
        <v>8899</v>
      </c>
      <c r="LUD18" t="s">
        <v>8900</v>
      </c>
      <c r="LUE18" t="s">
        <v>8901</v>
      </c>
      <c r="LUF18" t="s">
        <v>8902</v>
      </c>
      <c r="LUG18" t="s">
        <v>8903</v>
      </c>
      <c r="LUH18" t="s">
        <v>8904</v>
      </c>
      <c r="LUI18" t="s">
        <v>8905</v>
      </c>
      <c r="LUJ18" t="s">
        <v>8906</v>
      </c>
      <c r="LUK18" t="s">
        <v>8907</v>
      </c>
      <c r="LUL18" t="s">
        <v>8908</v>
      </c>
      <c r="LUM18" t="s">
        <v>8909</v>
      </c>
      <c r="LUN18" t="s">
        <v>8910</v>
      </c>
      <c r="LUO18" t="s">
        <v>8911</v>
      </c>
      <c r="LUP18" t="s">
        <v>8912</v>
      </c>
      <c r="LUQ18" t="s">
        <v>8913</v>
      </c>
      <c r="LUR18" t="s">
        <v>8914</v>
      </c>
      <c r="LUS18" t="s">
        <v>8915</v>
      </c>
      <c r="LUT18" t="s">
        <v>8916</v>
      </c>
      <c r="LUU18" t="s">
        <v>8917</v>
      </c>
      <c r="LUV18" t="s">
        <v>8918</v>
      </c>
      <c r="LUW18" t="s">
        <v>8919</v>
      </c>
      <c r="LUX18" t="s">
        <v>8920</v>
      </c>
      <c r="LUY18" t="s">
        <v>8921</v>
      </c>
      <c r="LUZ18" t="s">
        <v>8922</v>
      </c>
      <c r="LVA18" t="s">
        <v>8923</v>
      </c>
      <c r="LVB18" t="s">
        <v>8924</v>
      </c>
      <c r="LVC18" t="s">
        <v>8925</v>
      </c>
      <c r="LVD18" t="s">
        <v>8926</v>
      </c>
      <c r="LVE18" t="s">
        <v>8927</v>
      </c>
      <c r="LVF18" t="s">
        <v>8928</v>
      </c>
      <c r="LVG18" t="s">
        <v>8929</v>
      </c>
      <c r="LVH18" t="s">
        <v>8930</v>
      </c>
      <c r="LVI18" t="s">
        <v>8931</v>
      </c>
      <c r="LVJ18" t="s">
        <v>8932</v>
      </c>
      <c r="LVK18" t="s">
        <v>8933</v>
      </c>
      <c r="LVL18" t="s">
        <v>8934</v>
      </c>
      <c r="LVM18" t="s">
        <v>8935</v>
      </c>
      <c r="LVN18" t="s">
        <v>8936</v>
      </c>
      <c r="LVO18" t="s">
        <v>8937</v>
      </c>
      <c r="LVP18" t="s">
        <v>8938</v>
      </c>
      <c r="LVQ18" t="s">
        <v>8939</v>
      </c>
      <c r="LVR18" t="s">
        <v>8940</v>
      </c>
      <c r="LVS18" t="s">
        <v>8941</v>
      </c>
      <c r="LVT18" t="s">
        <v>8942</v>
      </c>
      <c r="LVU18" t="s">
        <v>8943</v>
      </c>
      <c r="LVV18" t="s">
        <v>8944</v>
      </c>
      <c r="LVW18" t="s">
        <v>8945</v>
      </c>
      <c r="LVX18" t="s">
        <v>8946</v>
      </c>
      <c r="LVY18" t="s">
        <v>8947</v>
      </c>
      <c r="LVZ18" t="s">
        <v>8948</v>
      </c>
      <c r="LWA18" t="s">
        <v>8949</v>
      </c>
      <c r="LWB18" t="s">
        <v>8950</v>
      </c>
      <c r="LWC18" t="s">
        <v>8951</v>
      </c>
      <c r="LWD18" t="s">
        <v>8952</v>
      </c>
      <c r="LWE18" t="s">
        <v>8953</v>
      </c>
      <c r="LWF18" t="s">
        <v>8954</v>
      </c>
      <c r="LWG18" t="s">
        <v>8955</v>
      </c>
      <c r="LWH18" t="s">
        <v>8956</v>
      </c>
      <c r="LWI18" t="s">
        <v>8957</v>
      </c>
      <c r="LWJ18" t="s">
        <v>8958</v>
      </c>
      <c r="LWK18" t="s">
        <v>8959</v>
      </c>
      <c r="LWL18" t="s">
        <v>8960</v>
      </c>
      <c r="LWM18" t="s">
        <v>8961</v>
      </c>
      <c r="LWN18" t="s">
        <v>8962</v>
      </c>
      <c r="LWO18" t="s">
        <v>8963</v>
      </c>
      <c r="LWP18" t="s">
        <v>8964</v>
      </c>
      <c r="LWQ18" t="s">
        <v>8965</v>
      </c>
      <c r="LWR18" t="s">
        <v>8966</v>
      </c>
      <c r="LWS18" t="s">
        <v>8967</v>
      </c>
      <c r="LWT18" t="s">
        <v>8968</v>
      </c>
      <c r="LWU18" t="s">
        <v>8969</v>
      </c>
      <c r="LWV18" t="s">
        <v>8970</v>
      </c>
      <c r="LWW18" t="s">
        <v>8971</v>
      </c>
      <c r="LWX18" t="s">
        <v>8972</v>
      </c>
      <c r="LWY18" t="s">
        <v>8973</v>
      </c>
      <c r="LWZ18" t="s">
        <v>8974</v>
      </c>
      <c r="LXA18" t="s">
        <v>8975</v>
      </c>
      <c r="LXB18" t="s">
        <v>8976</v>
      </c>
      <c r="LXC18" t="s">
        <v>8977</v>
      </c>
      <c r="LXD18" t="s">
        <v>8978</v>
      </c>
      <c r="LXE18" t="s">
        <v>8979</v>
      </c>
      <c r="LXF18" t="s">
        <v>8980</v>
      </c>
      <c r="LXG18" t="s">
        <v>8981</v>
      </c>
      <c r="LXH18" t="s">
        <v>8982</v>
      </c>
      <c r="LXI18" t="s">
        <v>8983</v>
      </c>
      <c r="LXJ18" t="s">
        <v>8984</v>
      </c>
      <c r="LXK18" t="s">
        <v>8985</v>
      </c>
      <c r="LXL18" t="s">
        <v>8986</v>
      </c>
      <c r="LXM18" t="s">
        <v>8987</v>
      </c>
      <c r="LXN18" t="s">
        <v>8988</v>
      </c>
      <c r="LXO18" t="s">
        <v>8989</v>
      </c>
      <c r="LXP18" t="s">
        <v>8990</v>
      </c>
      <c r="LXQ18" t="s">
        <v>8991</v>
      </c>
      <c r="LXR18" t="s">
        <v>8992</v>
      </c>
      <c r="LXS18" t="s">
        <v>8993</v>
      </c>
      <c r="LXT18" t="s">
        <v>8994</v>
      </c>
      <c r="LXU18" t="s">
        <v>8995</v>
      </c>
      <c r="LXV18" t="s">
        <v>8996</v>
      </c>
      <c r="LXW18" t="s">
        <v>8997</v>
      </c>
      <c r="LXX18" t="s">
        <v>8998</v>
      </c>
      <c r="LXY18" t="s">
        <v>8999</v>
      </c>
      <c r="LXZ18" t="s">
        <v>9000</v>
      </c>
      <c r="LYA18" t="s">
        <v>9001</v>
      </c>
      <c r="LYB18" t="s">
        <v>9002</v>
      </c>
      <c r="LYC18" t="s">
        <v>9003</v>
      </c>
      <c r="LYD18" t="s">
        <v>9004</v>
      </c>
      <c r="LYE18" t="s">
        <v>9005</v>
      </c>
      <c r="LYF18" t="s">
        <v>9006</v>
      </c>
      <c r="LYG18" t="s">
        <v>9007</v>
      </c>
      <c r="LYH18" t="s">
        <v>9008</v>
      </c>
      <c r="LYI18" t="s">
        <v>9009</v>
      </c>
      <c r="LYJ18" t="s">
        <v>9010</v>
      </c>
      <c r="LYK18" t="s">
        <v>9011</v>
      </c>
      <c r="LYL18" t="s">
        <v>9012</v>
      </c>
      <c r="LYM18" t="s">
        <v>9013</v>
      </c>
      <c r="LYN18" t="s">
        <v>9014</v>
      </c>
      <c r="LYO18" t="s">
        <v>9015</v>
      </c>
      <c r="LYP18" t="s">
        <v>9016</v>
      </c>
      <c r="LYQ18" t="s">
        <v>9017</v>
      </c>
      <c r="LYR18" t="s">
        <v>9018</v>
      </c>
      <c r="LYS18" t="s">
        <v>9019</v>
      </c>
      <c r="LYT18" t="s">
        <v>9020</v>
      </c>
      <c r="LYU18" t="s">
        <v>9021</v>
      </c>
      <c r="LYV18" t="s">
        <v>9022</v>
      </c>
      <c r="LYW18" t="s">
        <v>9023</v>
      </c>
      <c r="LYX18" t="s">
        <v>9024</v>
      </c>
      <c r="LYY18" t="s">
        <v>9025</v>
      </c>
      <c r="LYZ18" t="s">
        <v>9026</v>
      </c>
      <c r="LZA18" t="s">
        <v>9027</v>
      </c>
      <c r="LZB18" t="s">
        <v>9028</v>
      </c>
      <c r="LZC18" t="s">
        <v>9029</v>
      </c>
      <c r="LZD18" t="s">
        <v>9030</v>
      </c>
      <c r="LZE18" t="s">
        <v>9031</v>
      </c>
      <c r="LZF18" t="s">
        <v>9032</v>
      </c>
      <c r="LZG18" t="s">
        <v>9033</v>
      </c>
      <c r="LZH18" t="s">
        <v>9034</v>
      </c>
      <c r="LZI18" t="s">
        <v>9035</v>
      </c>
      <c r="LZJ18" t="s">
        <v>9036</v>
      </c>
      <c r="LZK18" t="s">
        <v>9037</v>
      </c>
      <c r="LZL18" t="s">
        <v>9038</v>
      </c>
      <c r="LZM18" t="s">
        <v>9039</v>
      </c>
      <c r="LZN18" t="s">
        <v>9040</v>
      </c>
      <c r="LZO18" t="s">
        <v>9041</v>
      </c>
      <c r="LZP18" t="s">
        <v>9042</v>
      </c>
      <c r="LZQ18" t="s">
        <v>9043</v>
      </c>
      <c r="LZR18" t="s">
        <v>9044</v>
      </c>
      <c r="LZS18" t="s">
        <v>9045</v>
      </c>
      <c r="LZT18" t="s">
        <v>9046</v>
      </c>
      <c r="LZU18" t="s">
        <v>9047</v>
      </c>
      <c r="LZV18" t="s">
        <v>9048</v>
      </c>
      <c r="LZW18" t="s">
        <v>9049</v>
      </c>
      <c r="LZX18" t="s">
        <v>9050</v>
      </c>
      <c r="LZY18" t="s">
        <v>9051</v>
      </c>
      <c r="LZZ18" t="s">
        <v>9052</v>
      </c>
      <c r="MAA18" t="s">
        <v>9053</v>
      </c>
      <c r="MAB18" t="s">
        <v>9054</v>
      </c>
      <c r="MAC18" t="s">
        <v>9055</v>
      </c>
      <c r="MAD18" t="s">
        <v>9056</v>
      </c>
      <c r="MAE18" t="s">
        <v>9057</v>
      </c>
      <c r="MAF18" t="s">
        <v>9058</v>
      </c>
      <c r="MAG18" t="s">
        <v>9059</v>
      </c>
      <c r="MAH18" t="s">
        <v>9060</v>
      </c>
      <c r="MAI18" t="s">
        <v>9061</v>
      </c>
      <c r="MAJ18" t="s">
        <v>9062</v>
      </c>
      <c r="MAK18" t="s">
        <v>9063</v>
      </c>
      <c r="MAL18" t="s">
        <v>9064</v>
      </c>
      <c r="MAM18" t="s">
        <v>9065</v>
      </c>
      <c r="MAN18" t="s">
        <v>9066</v>
      </c>
      <c r="MAO18" t="s">
        <v>9067</v>
      </c>
      <c r="MAP18" t="s">
        <v>9068</v>
      </c>
      <c r="MAQ18" t="s">
        <v>9069</v>
      </c>
      <c r="MAR18" t="s">
        <v>9070</v>
      </c>
      <c r="MAS18" t="s">
        <v>9071</v>
      </c>
      <c r="MAT18" t="s">
        <v>9072</v>
      </c>
      <c r="MAU18" t="s">
        <v>9073</v>
      </c>
      <c r="MAV18" t="s">
        <v>9074</v>
      </c>
      <c r="MAW18" t="s">
        <v>9075</v>
      </c>
      <c r="MAX18" t="s">
        <v>9076</v>
      </c>
      <c r="MAY18" t="s">
        <v>9077</v>
      </c>
      <c r="MAZ18" t="s">
        <v>9078</v>
      </c>
      <c r="MBA18" t="s">
        <v>9079</v>
      </c>
      <c r="MBB18" t="s">
        <v>9080</v>
      </c>
      <c r="MBC18" t="s">
        <v>9081</v>
      </c>
      <c r="MBD18" t="s">
        <v>9082</v>
      </c>
      <c r="MBE18" t="s">
        <v>9083</v>
      </c>
      <c r="MBF18" t="s">
        <v>9084</v>
      </c>
      <c r="MBG18" t="s">
        <v>9085</v>
      </c>
      <c r="MBH18" t="s">
        <v>9086</v>
      </c>
      <c r="MBI18" t="s">
        <v>9087</v>
      </c>
      <c r="MBJ18" t="s">
        <v>9088</v>
      </c>
      <c r="MBK18" t="s">
        <v>9089</v>
      </c>
      <c r="MBL18" t="s">
        <v>9090</v>
      </c>
      <c r="MBM18" t="s">
        <v>9091</v>
      </c>
      <c r="MBN18" t="s">
        <v>9092</v>
      </c>
      <c r="MBO18" t="s">
        <v>9093</v>
      </c>
      <c r="MBP18" t="s">
        <v>9094</v>
      </c>
      <c r="MBQ18" t="s">
        <v>9095</v>
      </c>
      <c r="MBR18" t="s">
        <v>9096</v>
      </c>
      <c r="MBS18" t="s">
        <v>9097</v>
      </c>
      <c r="MBT18" t="s">
        <v>9098</v>
      </c>
      <c r="MBU18" t="s">
        <v>9099</v>
      </c>
      <c r="MBV18" t="s">
        <v>9100</v>
      </c>
      <c r="MBW18" t="s">
        <v>9101</v>
      </c>
      <c r="MBX18" t="s">
        <v>9102</v>
      </c>
      <c r="MBY18" t="s">
        <v>9103</v>
      </c>
      <c r="MBZ18" t="s">
        <v>9104</v>
      </c>
      <c r="MCA18" t="s">
        <v>9105</v>
      </c>
      <c r="MCB18" t="s">
        <v>9106</v>
      </c>
      <c r="MCC18" t="s">
        <v>9107</v>
      </c>
      <c r="MCD18" t="s">
        <v>9108</v>
      </c>
      <c r="MCE18" t="s">
        <v>9109</v>
      </c>
      <c r="MCF18" t="s">
        <v>9110</v>
      </c>
      <c r="MCG18" t="s">
        <v>9111</v>
      </c>
      <c r="MCH18" t="s">
        <v>9112</v>
      </c>
      <c r="MCI18" t="s">
        <v>9113</v>
      </c>
      <c r="MCJ18" t="s">
        <v>9114</v>
      </c>
      <c r="MCK18" t="s">
        <v>9115</v>
      </c>
      <c r="MCL18" t="s">
        <v>9116</v>
      </c>
      <c r="MCM18" t="s">
        <v>9117</v>
      </c>
      <c r="MCN18" t="s">
        <v>9118</v>
      </c>
      <c r="MCO18" t="s">
        <v>9119</v>
      </c>
      <c r="MCP18" t="s">
        <v>9120</v>
      </c>
      <c r="MCQ18" t="s">
        <v>9121</v>
      </c>
      <c r="MCR18" t="s">
        <v>9122</v>
      </c>
      <c r="MCS18" t="s">
        <v>9123</v>
      </c>
      <c r="MCT18" t="s">
        <v>9124</v>
      </c>
      <c r="MCU18" t="s">
        <v>9125</v>
      </c>
      <c r="MCV18" t="s">
        <v>9126</v>
      </c>
      <c r="MCW18" t="s">
        <v>9127</v>
      </c>
      <c r="MCX18" t="s">
        <v>9128</v>
      </c>
      <c r="MCY18" t="s">
        <v>9129</v>
      </c>
      <c r="MCZ18" t="s">
        <v>9130</v>
      </c>
      <c r="MDA18" t="s">
        <v>9131</v>
      </c>
      <c r="MDB18" t="s">
        <v>9132</v>
      </c>
      <c r="MDC18" t="s">
        <v>9133</v>
      </c>
      <c r="MDD18" t="s">
        <v>9134</v>
      </c>
      <c r="MDE18" t="s">
        <v>9135</v>
      </c>
      <c r="MDF18" t="s">
        <v>9136</v>
      </c>
      <c r="MDG18" t="s">
        <v>9137</v>
      </c>
      <c r="MDH18" t="s">
        <v>9138</v>
      </c>
      <c r="MDI18" t="s">
        <v>9139</v>
      </c>
      <c r="MDJ18" t="s">
        <v>9140</v>
      </c>
      <c r="MDK18" t="s">
        <v>9141</v>
      </c>
      <c r="MDL18" t="s">
        <v>9142</v>
      </c>
      <c r="MDM18" t="s">
        <v>9143</v>
      </c>
      <c r="MDN18" t="s">
        <v>9144</v>
      </c>
      <c r="MDO18" t="s">
        <v>9145</v>
      </c>
      <c r="MDP18" t="s">
        <v>9146</v>
      </c>
      <c r="MDQ18" t="s">
        <v>9147</v>
      </c>
      <c r="MDR18" t="s">
        <v>9148</v>
      </c>
      <c r="MDS18" t="s">
        <v>9149</v>
      </c>
      <c r="MDT18" t="s">
        <v>9150</v>
      </c>
      <c r="MDU18" t="s">
        <v>9151</v>
      </c>
      <c r="MDV18" t="s">
        <v>9152</v>
      </c>
      <c r="MDW18" t="s">
        <v>9153</v>
      </c>
      <c r="MDX18" t="s">
        <v>9154</v>
      </c>
      <c r="MDY18" t="s">
        <v>9155</v>
      </c>
      <c r="MDZ18" t="s">
        <v>9156</v>
      </c>
      <c r="MEA18" t="s">
        <v>9157</v>
      </c>
      <c r="MEB18" t="s">
        <v>9158</v>
      </c>
      <c r="MEC18" t="s">
        <v>9159</v>
      </c>
      <c r="MED18" t="s">
        <v>9160</v>
      </c>
      <c r="MEE18" t="s">
        <v>9161</v>
      </c>
      <c r="MEF18" t="s">
        <v>9162</v>
      </c>
      <c r="MEG18" t="s">
        <v>9163</v>
      </c>
      <c r="MEH18" t="s">
        <v>9164</v>
      </c>
      <c r="MEI18" t="s">
        <v>9165</v>
      </c>
      <c r="MEJ18" t="s">
        <v>9166</v>
      </c>
      <c r="MEK18" t="s">
        <v>9167</v>
      </c>
      <c r="MEL18" t="s">
        <v>9168</v>
      </c>
      <c r="MEM18" t="s">
        <v>9169</v>
      </c>
      <c r="MEN18" t="s">
        <v>9170</v>
      </c>
      <c r="MEO18" t="s">
        <v>9171</v>
      </c>
      <c r="MEP18" t="s">
        <v>9172</v>
      </c>
      <c r="MEQ18" t="s">
        <v>9173</v>
      </c>
      <c r="MER18" t="s">
        <v>9174</v>
      </c>
      <c r="MES18" t="s">
        <v>9175</v>
      </c>
      <c r="MET18" t="s">
        <v>9176</v>
      </c>
      <c r="MEU18" t="s">
        <v>9177</v>
      </c>
      <c r="MEV18" t="s">
        <v>9178</v>
      </c>
      <c r="MEW18" t="s">
        <v>9179</v>
      </c>
      <c r="MEX18" t="s">
        <v>9180</v>
      </c>
      <c r="MEY18" t="s">
        <v>9181</v>
      </c>
      <c r="MEZ18" t="s">
        <v>9182</v>
      </c>
      <c r="MFA18" t="s">
        <v>9183</v>
      </c>
      <c r="MFB18" t="s">
        <v>9184</v>
      </c>
      <c r="MFC18" t="s">
        <v>9185</v>
      </c>
      <c r="MFD18" t="s">
        <v>9186</v>
      </c>
      <c r="MFE18" t="s">
        <v>9187</v>
      </c>
      <c r="MFF18" t="s">
        <v>9188</v>
      </c>
      <c r="MFG18" t="s">
        <v>9189</v>
      </c>
      <c r="MFH18" t="s">
        <v>9190</v>
      </c>
      <c r="MFI18" t="s">
        <v>9191</v>
      </c>
      <c r="MFJ18" t="s">
        <v>9192</v>
      </c>
      <c r="MFK18" t="s">
        <v>9193</v>
      </c>
      <c r="MFL18" t="s">
        <v>9194</v>
      </c>
      <c r="MFM18" t="s">
        <v>9195</v>
      </c>
      <c r="MFN18" t="s">
        <v>9196</v>
      </c>
      <c r="MFO18" t="s">
        <v>9197</v>
      </c>
      <c r="MFP18" t="s">
        <v>9198</v>
      </c>
      <c r="MFQ18" t="s">
        <v>9199</v>
      </c>
      <c r="MFR18" t="s">
        <v>9200</v>
      </c>
      <c r="MFS18" t="s">
        <v>9201</v>
      </c>
      <c r="MFT18" t="s">
        <v>9202</v>
      </c>
      <c r="MFU18" t="s">
        <v>9203</v>
      </c>
      <c r="MFV18" t="s">
        <v>9204</v>
      </c>
      <c r="MFW18" t="s">
        <v>9205</v>
      </c>
      <c r="MFX18" t="s">
        <v>9206</v>
      </c>
      <c r="MFY18" t="s">
        <v>9207</v>
      </c>
      <c r="MFZ18" t="s">
        <v>9208</v>
      </c>
      <c r="MGA18" t="s">
        <v>9209</v>
      </c>
      <c r="MGB18" t="s">
        <v>9210</v>
      </c>
      <c r="MGC18" t="s">
        <v>9211</v>
      </c>
      <c r="MGD18" t="s">
        <v>9212</v>
      </c>
      <c r="MGE18" t="s">
        <v>9213</v>
      </c>
      <c r="MGF18" t="s">
        <v>9214</v>
      </c>
      <c r="MGG18" t="s">
        <v>9215</v>
      </c>
      <c r="MGH18" t="s">
        <v>9216</v>
      </c>
      <c r="MGI18" t="s">
        <v>9217</v>
      </c>
      <c r="MGJ18" t="s">
        <v>9218</v>
      </c>
      <c r="MGK18" t="s">
        <v>9219</v>
      </c>
      <c r="MGL18" t="s">
        <v>9220</v>
      </c>
      <c r="MGM18" t="s">
        <v>9221</v>
      </c>
      <c r="MGN18" t="s">
        <v>9222</v>
      </c>
      <c r="MGO18" t="s">
        <v>9223</v>
      </c>
      <c r="MGP18" t="s">
        <v>9224</v>
      </c>
      <c r="MGQ18" t="s">
        <v>9225</v>
      </c>
      <c r="MGR18" t="s">
        <v>9226</v>
      </c>
      <c r="MGS18" t="s">
        <v>9227</v>
      </c>
      <c r="MGT18" t="s">
        <v>9228</v>
      </c>
      <c r="MGU18" t="s">
        <v>9229</v>
      </c>
      <c r="MGV18" t="s">
        <v>9230</v>
      </c>
      <c r="MGW18" t="s">
        <v>9231</v>
      </c>
      <c r="MGX18" t="s">
        <v>9232</v>
      </c>
      <c r="MGY18" t="s">
        <v>9233</v>
      </c>
      <c r="MGZ18" t="s">
        <v>9234</v>
      </c>
      <c r="MHA18" t="s">
        <v>9235</v>
      </c>
      <c r="MHB18" t="s">
        <v>9236</v>
      </c>
      <c r="MHC18" t="s">
        <v>9237</v>
      </c>
      <c r="MHD18" t="s">
        <v>9238</v>
      </c>
      <c r="MHE18" t="s">
        <v>9239</v>
      </c>
      <c r="MHF18" t="s">
        <v>9240</v>
      </c>
      <c r="MHG18" t="s">
        <v>9241</v>
      </c>
      <c r="MHH18" t="s">
        <v>9242</v>
      </c>
      <c r="MHI18" t="s">
        <v>9243</v>
      </c>
      <c r="MHJ18" t="s">
        <v>9244</v>
      </c>
      <c r="MHK18" t="s">
        <v>9245</v>
      </c>
      <c r="MHL18" t="s">
        <v>9246</v>
      </c>
      <c r="MHM18" t="s">
        <v>9247</v>
      </c>
      <c r="MHN18" t="s">
        <v>9248</v>
      </c>
      <c r="MHO18" t="s">
        <v>9249</v>
      </c>
      <c r="MHP18" t="s">
        <v>9250</v>
      </c>
      <c r="MHQ18" t="s">
        <v>9251</v>
      </c>
      <c r="MHR18" t="s">
        <v>9252</v>
      </c>
      <c r="MHS18" t="s">
        <v>9253</v>
      </c>
      <c r="MHT18" t="s">
        <v>9254</v>
      </c>
      <c r="MHU18" t="s">
        <v>9255</v>
      </c>
      <c r="MHV18" t="s">
        <v>9256</v>
      </c>
      <c r="MHW18" t="s">
        <v>9257</v>
      </c>
      <c r="MHX18" t="s">
        <v>9258</v>
      </c>
      <c r="MHY18" t="s">
        <v>9259</v>
      </c>
      <c r="MHZ18" t="s">
        <v>9260</v>
      </c>
      <c r="MIA18" t="s">
        <v>9261</v>
      </c>
      <c r="MIB18" t="s">
        <v>9262</v>
      </c>
      <c r="MIC18" t="s">
        <v>9263</v>
      </c>
      <c r="MID18" t="s">
        <v>9264</v>
      </c>
      <c r="MIE18" t="s">
        <v>9265</v>
      </c>
      <c r="MIF18" t="s">
        <v>9266</v>
      </c>
      <c r="MIG18" t="s">
        <v>9267</v>
      </c>
      <c r="MIH18" t="s">
        <v>9268</v>
      </c>
      <c r="MII18" t="s">
        <v>9269</v>
      </c>
      <c r="MIJ18" t="s">
        <v>9270</v>
      </c>
      <c r="MIK18" t="s">
        <v>9271</v>
      </c>
      <c r="MIL18" t="s">
        <v>9272</v>
      </c>
      <c r="MIM18" t="s">
        <v>9273</v>
      </c>
      <c r="MIN18" t="s">
        <v>9274</v>
      </c>
      <c r="MIO18" t="s">
        <v>9275</v>
      </c>
      <c r="MIP18" t="s">
        <v>9276</v>
      </c>
      <c r="MIQ18" t="s">
        <v>9277</v>
      </c>
      <c r="MIR18" t="s">
        <v>9278</v>
      </c>
      <c r="MIS18" t="s">
        <v>9279</v>
      </c>
      <c r="MIT18" t="s">
        <v>9280</v>
      </c>
      <c r="MIU18" t="s">
        <v>9281</v>
      </c>
      <c r="MIV18" t="s">
        <v>9282</v>
      </c>
      <c r="MIW18" t="s">
        <v>9283</v>
      </c>
      <c r="MIX18" t="s">
        <v>9284</v>
      </c>
      <c r="MIY18" t="s">
        <v>9285</v>
      </c>
      <c r="MIZ18" t="s">
        <v>9286</v>
      </c>
      <c r="MJA18" t="s">
        <v>9287</v>
      </c>
      <c r="MJB18" t="s">
        <v>9288</v>
      </c>
      <c r="MJC18" t="s">
        <v>9289</v>
      </c>
      <c r="MJD18" t="s">
        <v>9290</v>
      </c>
      <c r="MJE18" t="s">
        <v>9291</v>
      </c>
      <c r="MJF18" t="s">
        <v>9292</v>
      </c>
      <c r="MJG18" t="s">
        <v>9293</v>
      </c>
      <c r="MJH18" t="s">
        <v>9294</v>
      </c>
      <c r="MJI18" t="s">
        <v>9295</v>
      </c>
      <c r="MJJ18" t="s">
        <v>9296</v>
      </c>
      <c r="MJK18" t="s">
        <v>9297</v>
      </c>
      <c r="MJL18" t="s">
        <v>9298</v>
      </c>
      <c r="MJM18" t="s">
        <v>9299</v>
      </c>
      <c r="MJN18" t="s">
        <v>9300</v>
      </c>
      <c r="MJO18" t="s">
        <v>9301</v>
      </c>
      <c r="MJP18" t="s">
        <v>9302</v>
      </c>
      <c r="MJQ18" t="s">
        <v>9303</v>
      </c>
      <c r="MJR18" t="s">
        <v>9304</v>
      </c>
      <c r="MJS18" t="s">
        <v>9305</v>
      </c>
      <c r="MJT18" t="s">
        <v>9306</v>
      </c>
      <c r="MJU18" t="s">
        <v>9307</v>
      </c>
      <c r="MJV18" t="s">
        <v>9308</v>
      </c>
      <c r="MJW18" t="s">
        <v>9309</v>
      </c>
      <c r="MJX18" t="s">
        <v>9310</v>
      </c>
      <c r="MJY18" t="s">
        <v>9311</v>
      </c>
      <c r="MJZ18" t="s">
        <v>9312</v>
      </c>
      <c r="MKA18" t="s">
        <v>9313</v>
      </c>
      <c r="MKB18" t="s">
        <v>9314</v>
      </c>
      <c r="MKC18" t="s">
        <v>9315</v>
      </c>
      <c r="MKD18" t="s">
        <v>9316</v>
      </c>
      <c r="MKE18" t="s">
        <v>9317</v>
      </c>
      <c r="MKF18" t="s">
        <v>9318</v>
      </c>
      <c r="MKG18" t="s">
        <v>9319</v>
      </c>
      <c r="MKH18" t="s">
        <v>9320</v>
      </c>
      <c r="MKI18" t="s">
        <v>9321</v>
      </c>
      <c r="MKJ18" t="s">
        <v>9322</v>
      </c>
      <c r="MKK18" t="s">
        <v>9323</v>
      </c>
      <c r="MKL18" t="s">
        <v>9324</v>
      </c>
      <c r="MKM18" t="s">
        <v>9325</v>
      </c>
      <c r="MKN18" t="s">
        <v>9326</v>
      </c>
      <c r="MKO18" t="s">
        <v>9327</v>
      </c>
      <c r="MKP18" t="s">
        <v>9328</v>
      </c>
      <c r="MKQ18" t="s">
        <v>9329</v>
      </c>
      <c r="MKR18" t="s">
        <v>9330</v>
      </c>
      <c r="MKS18" t="s">
        <v>9331</v>
      </c>
      <c r="MKT18" t="s">
        <v>9332</v>
      </c>
      <c r="MKU18" t="s">
        <v>9333</v>
      </c>
      <c r="MKV18" t="s">
        <v>9334</v>
      </c>
      <c r="MKW18" t="s">
        <v>9335</v>
      </c>
      <c r="MKX18" t="s">
        <v>9336</v>
      </c>
      <c r="MKY18" t="s">
        <v>9337</v>
      </c>
      <c r="MKZ18" t="s">
        <v>9338</v>
      </c>
      <c r="MLA18" t="s">
        <v>9339</v>
      </c>
      <c r="MLB18" t="s">
        <v>9340</v>
      </c>
      <c r="MLC18" t="s">
        <v>9341</v>
      </c>
      <c r="MLD18" t="s">
        <v>9342</v>
      </c>
      <c r="MLE18" t="s">
        <v>9343</v>
      </c>
      <c r="MLF18" t="s">
        <v>9344</v>
      </c>
      <c r="MLG18" t="s">
        <v>9345</v>
      </c>
      <c r="MLH18" t="s">
        <v>9346</v>
      </c>
      <c r="MLI18" t="s">
        <v>9347</v>
      </c>
      <c r="MLJ18" t="s">
        <v>9348</v>
      </c>
      <c r="MLK18" t="s">
        <v>9349</v>
      </c>
      <c r="MLL18" t="s">
        <v>9350</v>
      </c>
      <c r="MLM18" t="s">
        <v>9351</v>
      </c>
      <c r="MLN18" t="s">
        <v>9352</v>
      </c>
      <c r="MLO18" t="s">
        <v>9353</v>
      </c>
      <c r="MLP18" t="s">
        <v>9354</v>
      </c>
      <c r="MLQ18" t="s">
        <v>9355</v>
      </c>
      <c r="MLR18" t="s">
        <v>9356</v>
      </c>
      <c r="MLS18" t="s">
        <v>9357</v>
      </c>
      <c r="MLT18" t="s">
        <v>9358</v>
      </c>
      <c r="MLU18" t="s">
        <v>9359</v>
      </c>
      <c r="MLV18" t="s">
        <v>9360</v>
      </c>
      <c r="MLW18" t="s">
        <v>9361</v>
      </c>
      <c r="MLX18" t="s">
        <v>9362</v>
      </c>
      <c r="MLY18" t="s">
        <v>9363</v>
      </c>
      <c r="MLZ18" t="s">
        <v>9364</v>
      </c>
      <c r="MMA18" t="s">
        <v>9365</v>
      </c>
      <c r="MMB18" t="s">
        <v>9366</v>
      </c>
      <c r="MMC18" t="s">
        <v>9367</v>
      </c>
      <c r="MMD18" t="s">
        <v>9368</v>
      </c>
      <c r="MME18" t="s">
        <v>9369</v>
      </c>
      <c r="MMF18" t="s">
        <v>9370</v>
      </c>
      <c r="MMG18" t="s">
        <v>9371</v>
      </c>
      <c r="MMH18" t="s">
        <v>9372</v>
      </c>
      <c r="MMI18" t="s">
        <v>9373</v>
      </c>
      <c r="MMJ18" t="s">
        <v>9374</v>
      </c>
      <c r="MMK18" t="s">
        <v>9375</v>
      </c>
      <c r="MML18" t="s">
        <v>9376</v>
      </c>
      <c r="MMM18" t="s">
        <v>9377</v>
      </c>
      <c r="MMN18" t="s">
        <v>9378</v>
      </c>
      <c r="MMO18" t="s">
        <v>9379</v>
      </c>
      <c r="MMP18" t="s">
        <v>9380</v>
      </c>
      <c r="MMQ18" t="s">
        <v>9381</v>
      </c>
      <c r="MMR18" t="s">
        <v>9382</v>
      </c>
      <c r="MMS18" t="s">
        <v>9383</v>
      </c>
      <c r="MMT18" t="s">
        <v>9384</v>
      </c>
      <c r="MMU18" t="s">
        <v>9385</v>
      </c>
      <c r="MMV18" t="s">
        <v>9386</v>
      </c>
      <c r="MMW18" t="s">
        <v>9387</v>
      </c>
      <c r="MMX18" t="s">
        <v>9388</v>
      </c>
      <c r="MMY18" t="s">
        <v>9389</v>
      </c>
      <c r="MMZ18" t="s">
        <v>9390</v>
      </c>
      <c r="MNA18" t="s">
        <v>9391</v>
      </c>
      <c r="MNB18" t="s">
        <v>9392</v>
      </c>
      <c r="MNC18" t="s">
        <v>9393</v>
      </c>
      <c r="MND18" t="s">
        <v>9394</v>
      </c>
      <c r="MNE18" t="s">
        <v>9395</v>
      </c>
      <c r="MNF18" t="s">
        <v>9396</v>
      </c>
      <c r="MNG18" t="s">
        <v>9397</v>
      </c>
      <c r="MNH18" t="s">
        <v>9398</v>
      </c>
      <c r="MNI18" t="s">
        <v>9399</v>
      </c>
      <c r="MNJ18" t="s">
        <v>9400</v>
      </c>
      <c r="MNK18" t="s">
        <v>9401</v>
      </c>
      <c r="MNL18" t="s">
        <v>9402</v>
      </c>
      <c r="MNM18" t="s">
        <v>9403</v>
      </c>
      <c r="MNN18" t="s">
        <v>9404</v>
      </c>
      <c r="MNO18" t="s">
        <v>9405</v>
      </c>
      <c r="MNP18" t="s">
        <v>9406</v>
      </c>
      <c r="MNQ18" t="s">
        <v>9407</v>
      </c>
      <c r="MNR18" t="s">
        <v>9408</v>
      </c>
      <c r="MNS18" t="s">
        <v>9409</v>
      </c>
      <c r="MNT18" t="s">
        <v>9410</v>
      </c>
      <c r="MNU18" t="s">
        <v>9411</v>
      </c>
      <c r="MNV18" t="s">
        <v>9412</v>
      </c>
      <c r="MNW18" t="s">
        <v>9413</v>
      </c>
      <c r="MNX18" t="s">
        <v>9414</v>
      </c>
      <c r="MNY18" t="s">
        <v>9415</v>
      </c>
      <c r="MNZ18" t="s">
        <v>9416</v>
      </c>
      <c r="MOA18" t="s">
        <v>9417</v>
      </c>
      <c r="MOB18" t="s">
        <v>9418</v>
      </c>
      <c r="MOC18" t="s">
        <v>9419</v>
      </c>
      <c r="MOD18" t="s">
        <v>9420</v>
      </c>
      <c r="MOE18" t="s">
        <v>9421</v>
      </c>
      <c r="MOF18" t="s">
        <v>9422</v>
      </c>
      <c r="MOG18" t="s">
        <v>9423</v>
      </c>
      <c r="MOH18" t="s">
        <v>9424</v>
      </c>
      <c r="MOI18" t="s">
        <v>9425</v>
      </c>
      <c r="MOJ18" t="s">
        <v>9426</v>
      </c>
      <c r="MOK18" t="s">
        <v>9427</v>
      </c>
      <c r="MOL18" t="s">
        <v>9428</v>
      </c>
      <c r="MOM18" t="s">
        <v>9429</v>
      </c>
      <c r="MON18" t="s">
        <v>9430</v>
      </c>
      <c r="MOO18" t="s">
        <v>9431</v>
      </c>
      <c r="MOP18" t="s">
        <v>9432</v>
      </c>
      <c r="MOQ18" t="s">
        <v>9433</v>
      </c>
      <c r="MOR18" t="s">
        <v>9434</v>
      </c>
      <c r="MOS18" t="s">
        <v>9435</v>
      </c>
      <c r="MOT18" t="s">
        <v>9436</v>
      </c>
      <c r="MOU18" t="s">
        <v>9437</v>
      </c>
      <c r="MOV18" t="s">
        <v>9438</v>
      </c>
      <c r="MOW18" t="s">
        <v>9439</v>
      </c>
      <c r="MOX18" t="s">
        <v>9440</v>
      </c>
      <c r="MOY18" t="s">
        <v>9441</v>
      </c>
      <c r="MOZ18" t="s">
        <v>9442</v>
      </c>
      <c r="MPA18" t="s">
        <v>9443</v>
      </c>
      <c r="MPB18" t="s">
        <v>9444</v>
      </c>
      <c r="MPC18" t="s">
        <v>9445</v>
      </c>
      <c r="MPD18" t="s">
        <v>9446</v>
      </c>
      <c r="MPE18" t="s">
        <v>9447</v>
      </c>
      <c r="MPF18" t="s">
        <v>9448</v>
      </c>
      <c r="MPG18" t="s">
        <v>9449</v>
      </c>
      <c r="MPH18" t="s">
        <v>9450</v>
      </c>
      <c r="MPI18" t="s">
        <v>9451</v>
      </c>
      <c r="MPJ18" t="s">
        <v>9452</v>
      </c>
      <c r="MPK18" t="s">
        <v>9453</v>
      </c>
      <c r="MPL18" t="s">
        <v>9454</v>
      </c>
      <c r="MPM18" t="s">
        <v>9455</v>
      </c>
      <c r="MPN18" t="s">
        <v>9456</v>
      </c>
      <c r="MPO18" t="s">
        <v>9457</v>
      </c>
      <c r="MPP18" t="s">
        <v>9458</v>
      </c>
      <c r="MPQ18" t="s">
        <v>9459</v>
      </c>
      <c r="MPR18" t="s">
        <v>9460</v>
      </c>
      <c r="MPS18" t="s">
        <v>9461</v>
      </c>
      <c r="MPT18" t="s">
        <v>9462</v>
      </c>
      <c r="MPU18" t="s">
        <v>9463</v>
      </c>
      <c r="MPV18" t="s">
        <v>9464</v>
      </c>
      <c r="MPW18" t="s">
        <v>9465</v>
      </c>
      <c r="MPX18" t="s">
        <v>9466</v>
      </c>
      <c r="MPY18" t="s">
        <v>9467</v>
      </c>
      <c r="MPZ18" t="s">
        <v>9468</v>
      </c>
      <c r="MQA18" t="s">
        <v>9469</v>
      </c>
      <c r="MQB18" t="s">
        <v>9470</v>
      </c>
      <c r="MQC18" t="s">
        <v>9471</v>
      </c>
      <c r="MQD18" t="s">
        <v>9472</v>
      </c>
      <c r="MQE18" t="s">
        <v>9473</v>
      </c>
      <c r="MQF18" t="s">
        <v>9474</v>
      </c>
      <c r="MQG18" t="s">
        <v>9475</v>
      </c>
      <c r="MQH18" t="s">
        <v>9476</v>
      </c>
      <c r="MQI18" t="s">
        <v>9477</v>
      </c>
      <c r="MQJ18" t="s">
        <v>9478</v>
      </c>
      <c r="MQK18" t="s">
        <v>9479</v>
      </c>
      <c r="MQL18" t="s">
        <v>9480</v>
      </c>
      <c r="MQM18" t="s">
        <v>9481</v>
      </c>
      <c r="MQN18" t="s">
        <v>9482</v>
      </c>
      <c r="MQO18" t="s">
        <v>9483</v>
      </c>
      <c r="MQP18" t="s">
        <v>9484</v>
      </c>
      <c r="MQQ18" t="s">
        <v>9485</v>
      </c>
      <c r="MQR18" t="s">
        <v>9486</v>
      </c>
      <c r="MQS18" t="s">
        <v>9487</v>
      </c>
      <c r="MQT18" t="s">
        <v>9488</v>
      </c>
      <c r="MQU18" t="s">
        <v>9489</v>
      </c>
      <c r="MQV18" t="s">
        <v>9490</v>
      </c>
      <c r="MQW18" t="s">
        <v>9491</v>
      </c>
      <c r="MQX18" t="s">
        <v>9492</v>
      </c>
      <c r="MQY18" t="s">
        <v>9493</v>
      </c>
      <c r="MQZ18" t="s">
        <v>9494</v>
      </c>
      <c r="MRA18" t="s">
        <v>9495</v>
      </c>
      <c r="MRB18" t="s">
        <v>9496</v>
      </c>
      <c r="MRC18" t="s">
        <v>9497</v>
      </c>
      <c r="MRD18" t="s">
        <v>9498</v>
      </c>
      <c r="MRE18" t="s">
        <v>9499</v>
      </c>
      <c r="MRF18" t="s">
        <v>9500</v>
      </c>
      <c r="MRG18" t="s">
        <v>9501</v>
      </c>
      <c r="MRH18" t="s">
        <v>9502</v>
      </c>
      <c r="MRI18" t="s">
        <v>9503</v>
      </c>
      <c r="MRJ18" t="s">
        <v>9504</v>
      </c>
      <c r="MRK18" t="s">
        <v>9505</v>
      </c>
      <c r="MRL18" t="s">
        <v>9506</v>
      </c>
      <c r="MRM18" t="s">
        <v>9507</v>
      </c>
      <c r="MRN18" t="s">
        <v>9508</v>
      </c>
      <c r="MRO18" t="s">
        <v>9509</v>
      </c>
      <c r="MRP18" t="s">
        <v>9510</v>
      </c>
      <c r="MRQ18" t="s">
        <v>9511</v>
      </c>
      <c r="MRR18" t="s">
        <v>9512</v>
      </c>
      <c r="MRS18" t="s">
        <v>9513</v>
      </c>
      <c r="MRT18" t="s">
        <v>9514</v>
      </c>
      <c r="MRU18" t="s">
        <v>9515</v>
      </c>
      <c r="MRV18" t="s">
        <v>9516</v>
      </c>
      <c r="MRW18" t="s">
        <v>9517</v>
      </c>
      <c r="MRX18" t="s">
        <v>9518</v>
      </c>
      <c r="MRY18" t="s">
        <v>9519</v>
      </c>
      <c r="MRZ18" t="s">
        <v>9520</v>
      </c>
      <c r="MSA18" t="s">
        <v>9521</v>
      </c>
      <c r="MSB18" t="s">
        <v>9522</v>
      </c>
      <c r="MSC18" t="s">
        <v>9523</v>
      </c>
      <c r="MSD18" t="s">
        <v>9524</v>
      </c>
      <c r="MSE18" t="s">
        <v>9525</v>
      </c>
      <c r="MSF18" t="s">
        <v>9526</v>
      </c>
      <c r="MSG18" t="s">
        <v>9527</v>
      </c>
      <c r="MSH18" t="s">
        <v>9528</v>
      </c>
      <c r="MSI18" t="s">
        <v>9529</v>
      </c>
      <c r="MSJ18" t="s">
        <v>9530</v>
      </c>
      <c r="MSK18" t="s">
        <v>9531</v>
      </c>
      <c r="MSL18" t="s">
        <v>9532</v>
      </c>
      <c r="MSM18" t="s">
        <v>9533</v>
      </c>
      <c r="MSN18" t="s">
        <v>9534</v>
      </c>
      <c r="MSO18" t="s">
        <v>9535</v>
      </c>
      <c r="MSP18" t="s">
        <v>9536</v>
      </c>
      <c r="MSQ18" t="s">
        <v>9537</v>
      </c>
      <c r="MSR18" t="s">
        <v>9538</v>
      </c>
      <c r="MSS18" t="s">
        <v>9539</v>
      </c>
      <c r="MST18" t="s">
        <v>9540</v>
      </c>
      <c r="MSU18" t="s">
        <v>9541</v>
      </c>
      <c r="MSV18" t="s">
        <v>9542</v>
      </c>
      <c r="MSW18" t="s">
        <v>9543</v>
      </c>
      <c r="MSX18" t="s">
        <v>9544</v>
      </c>
      <c r="MSY18" t="s">
        <v>9545</v>
      </c>
      <c r="MSZ18" t="s">
        <v>9546</v>
      </c>
      <c r="MTA18" t="s">
        <v>9547</v>
      </c>
      <c r="MTB18" t="s">
        <v>9548</v>
      </c>
      <c r="MTC18" t="s">
        <v>9549</v>
      </c>
      <c r="MTD18" t="s">
        <v>9550</v>
      </c>
      <c r="MTE18" t="s">
        <v>9551</v>
      </c>
      <c r="MTF18" t="s">
        <v>9552</v>
      </c>
      <c r="MTG18" t="s">
        <v>9553</v>
      </c>
      <c r="MTH18" t="s">
        <v>9554</v>
      </c>
      <c r="MTI18" t="s">
        <v>9555</v>
      </c>
      <c r="MTJ18" t="s">
        <v>9556</v>
      </c>
      <c r="MTK18" t="s">
        <v>9557</v>
      </c>
      <c r="MTL18" t="s">
        <v>9558</v>
      </c>
      <c r="MTM18" t="s">
        <v>9559</v>
      </c>
      <c r="MTN18" t="s">
        <v>9560</v>
      </c>
      <c r="MTO18" t="s">
        <v>9561</v>
      </c>
      <c r="MTP18" t="s">
        <v>9562</v>
      </c>
      <c r="MTQ18" t="s">
        <v>9563</v>
      </c>
      <c r="MTR18" t="s">
        <v>9564</v>
      </c>
      <c r="MTS18" t="s">
        <v>9565</v>
      </c>
      <c r="MTT18" t="s">
        <v>9566</v>
      </c>
      <c r="MTU18" t="s">
        <v>9567</v>
      </c>
      <c r="MTV18" t="s">
        <v>9568</v>
      </c>
      <c r="MTW18" t="s">
        <v>9569</v>
      </c>
      <c r="MTX18" t="s">
        <v>9570</v>
      </c>
      <c r="MTY18" t="s">
        <v>9571</v>
      </c>
      <c r="MTZ18" t="s">
        <v>9572</v>
      </c>
      <c r="MUA18" t="s">
        <v>9573</v>
      </c>
      <c r="MUB18" t="s">
        <v>9574</v>
      </c>
      <c r="MUC18" t="s">
        <v>9575</v>
      </c>
      <c r="MUD18" t="s">
        <v>9576</v>
      </c>
      <c r="MUE18" t="s">
        <v>9577</v>
      </c>
      <c r="MUF18" t="s">
        <v>9578</v>
      </c>
      <c r="MUG18" t="s">
        <v>9579</v>
      </c>
      <c r="MUH18" t="s">
        <v>9580</v>
      </c>
      <c r="MUI18" t="s">
        <v>9581</v>
      </c>
      <c r="MUJ18" t="s">
        <v>9582</v>
      </c>
      <c r="MUK18" t="s">
        <v>9583</v>
      </c>
      <c r="MUL18" t="s">
        <v>9584</v>
      </c>
      <c r="MUM18" t="s">
        <v>9585</v>
      </c>
      <c r="MUN18" t="s">
        <v>9586</v>
      </c>
      <c r="MUO18" t="s">
        <v>9587</v>
      </c>
      <c r="MUP18" t="s">
        <v>9588</v>
      </c>
      <c r="MUQ18" t="s">
        <v>9589</v>
      </c>
      <c r="MUR18" t="s">
        <v>9590</v>
      </c>
      <c r="MUS18" t="s">
        <v>9591</v>
      </c>
      <c r="MUT18" t="s">
        <v>9592</v>
      </c>
      <c r="MUU18" t="s">
        <v>9593</v>
      </c>
      <c r="MUV18" t="s">
        <v>9594</v>
      </c>
      <c r="MUW18" t="s">
        <v>9595</v>
      </c>
      <c r="MUX18" t="s">
        <v>9596</v>
      </c>
      <c r="MUY18" t="s">
        <v>9597</v>
      </c>
      <c r="MUZ18" t="s">
        <v>9598</v>
      </c>
      <c r="MVA18" t="s">
        <v>9599</v>
      </c>
      <c r="MVB18" t="s">
        <v>9600</v>
      </c>
      <c r="MVC18" t="s">
        <v>9601</v>
      </c>
      <c r="MVD18" t="s">
        <v>9602</v>
      </c>
      <c r="MVE18" t="s">
        <v>9603</v>
      </c>
      <c r="MVF18" t="s">
        <v>9604</v>
      </c>
      <c r="MVG18" t="s">
        <v>9605</v>
      </c>
      <c r="MVH18" t="s">
        <v>9606</v>
      </c>
      <c r="MVI18" t="s">
        <v>9607</v>
      </c>
      <c r="MVJ18" t="s">
        <v>9608</v>
      </c>
      <c r="MVK18" t="s">
        <v>9609</v>
      </c>
      <c r="MVL18" t="s">
        <v>9610</v>
      </c>
      <c r="MVM18" t="s">
        <v>9611</v>
      </c>
      <c r="MVN18" t="s">
        <v>9612</v>
      </c>
      <c r="MVO18" t="s">
        <v>9613</v>
      </c>
      <c r="MVP18" t="s">
        <v>9614</v>
      </c>
      <c r="MVQ18" t="s">
        <v>9615</v>
      </c>
      <c r="MVR18" t="s">
        <v>9616</v>
      </c>
      <c r="MVS18" t="s">
        <v>9617</v>
      </c>
      <c r="MVT18" t="s">
        <v>9618</v>
      </c>
      <c r="MVU18" t="s">
        <v>9619</v>
      </c>
      <c r="MVV18" t="s">
        <v>9620</v>
      </c>
      <c r="MVW18" t="s">
        <v>9621</v>
      </c>
      <c r="MVX18" t="s">
        <v>9622</v>
      </c>
      <c r="MVY18" t="s">
        <v>9623</v>
      </c>
      <c r="MVZ18" t="s">
        <v>9624</v>
      </c>
      <c r="MWA18" t="s">
        <v>9625</v>
      </c>
      <c r="MWB18" t="s">
        <v>9626</v>
      </c>
      <c r="MWC18" t="s">
        <v>9627</v>
      </c>
      <c r="MWD18" t="s">
        <v>9628</v>
      </c>
      <c r="MWE18" t="s">
        <v>9629</v>
      </c>
      <c r="MWF18" t="s">
        <v>9630</v>
      </c>
      <c r="MWG18" t="s">
        <v>9631</v>
      </c>
      <c r="MWH18" t="s">
        <v>9632</v>
      </c>
      <c r="MWI18" t="s">
        <v>9633</v>
      </c>
      <c r="MWJ18" t="s">
        <v>9634</v>
      </c>
      <c r="MWK18" t="s">
        <v>9635</v>
      </c>
      <c r="MWL18" t="s">
        <v>9636</v>
      </c>
      <c r="MWM18" t="s">
        <v>9637</v>
      </c>
      <c r="MWN18" t="s">
        <v>9638</v>
      </c>
      <c r="MWO18" t="s">
        <v>9639</v>
      </c>
      <c r="MWP18" t="s">
        <v>9640</v>
      </c>
      <c r="MWQ18" t="s">
        <v>9641</v>
      </c>
      <c r="MWR18" t="s">
        <v>9642</v>
      </c>
      <c r="MWS18" t="s">
        <v>9643</v>
      </c>
      <c r="MWT18" t="s">
        <v>9644</v>
      </c>
      <c r="MWU18" t="s">
        <v>9645</v>
      </c>
      <c r="MWV18" t="s">
        <v>9646</v>
      </c>
      <c r="MWW18" t="s">
        <v>9647</v>
      </c>
      <c r="MWX18" t="s">
        <v>9648</v>
      </c>
      <c r="MWY18" t="s">
        <v>9649</v>
      </c>
      <c r="MWZ18" t="s">
        <v>9650</v>
      </c>
      <c r="MXA18" t="s">
        <v>9651</v>
      </c>
      <c r="MXB18" t="s">
        <v>9652</v>
      </c>
      <c r="MXC18" t="s">
        <v>9653</v>
      </c>
      <c r="MXD18" t="s">
        <v>9654</v>
      </c>
      <c r="MXE18" t="s">
        <v>9655</v>
      </c>
      <c r="MXF18" t="s">
        <v>9656</v>
      </c>
      <c r="MXG18" t="s">
        <v>9657</v>
      </c>
      <c r="MXH18" t="s">
        <v>9658</v>
      </c>
      <c r="MXI18" t="s">
        <v>9659</v>
      </c>
      <c r="MXJ18" t="s">
        <v>9660</v>
      </c>
      <c r="MXK18" t="s">
        <v>9661</v>
      </c>
      <c r="MXL18" t="s">
        <v>9662</v>
      </c>
      <c r="MXM18" t="s">
        <v>9663</v>
      </c>
      <c r="MXN18" t="s">
        <v>9664</v>
      </c>
      <c r="MXO18" t="s">
        <v>9665</v>
      </c>
      <c r="MXP18" t="s">
        <v>9666</v>
      </c>
      <c r="MXQ18" t="s">
        <v>9667</v>
      </c>
      <c r="MXR18" t="s">
        <v>9668</v>
      </c>
      <c r="MXS18" t="s">
        <v>9669</v>
      </c>
      <c r="MXT18" t="s">
        <v>9670</v>
      </c>
      <c r="MXU18" t="s">
        <v>9671</v>
      </c>
      <c r="MXV18" t="s">
        <v>9672</v>
      </c>
      <c r="MXW18" t="s">
        <v>9673</v>
      </c>
      <c r="MXX18" t="s">
        <v>9674</v>
      </c>
      <c r="MXY18" t="s">
        <v>9675</v>
      </c>
      <c r="MXZ18" t="s">
        <v>9676</v>
      </c>
      <c r="MYA18" t="s">
        <v>9677</v>
      </c>
      <c r="MYB18" t="s">
        <v>9678</v>
      </c>
      <c r="MYC18" t="s">
        <v>9679</v>
      </c>
      <c r="MYD18" t="s">
        <v>9680</v>
      </c>
      <c r="MYE18" t="s">
        <v>9681</v>
      </c>
      <c r="MYF18" t="s">
        <v>9682</v>
      </c>
      <c r="MYG18" t="s">
        <v>9683</v>
      </c>
      <c r="MYH18" t="s">
        <v>9684</v>
      </c>
      <c r="MYI18" t="s">
        <v>9685</v>
      </c>
      <c r="MYJ18" t="s">
        <v>9686</v>
      </c>
      <c r="MYK18" t="s">
        <v>9687</v>
      </c>
      <c r="MYL18" t="s">
        <v>9688</v>
      </c>
      <c r="MYM18" t="s">
        <v>9689</v>
      </c>
      <c r="MYN18" t="s">
        <v>9690</v>
      </c>
      <c r="MYO18" t="s">
        <v>9691</v>
      </c>
      <c r="MYP18" t="s">
        <v>9692</v>
      </c>
      <c r="MYQ18" t="s">
        <v>9693</v>
      </c>
      <c r="MYR18" t="s">
        <v>9694</v>
      </c>
      <c r="MYS18" t="s">
        <v>9695</v>
      </c>
      <c r="MYT18" t="s">
        <v>9696</v>
      </c>
      <c r="MYU18" t="s">
        <v>9697</v>
      </c>
      <c r="MYV18" t="s">
        <v>9698</v>
      </c>
      <c r="MYW18" t="s">
        <v>9699</v>
      </c>
      <c r="MYX18" t="s">
        <v>9700</v>
      </c>
      <c r="MYY18" t="s">
        <v>9701</v>
      </c>
      <c r="MYZ18" t="s">
        <v>9702</v>
      </c>
      <c r="MZA18" t="s">
        <v>9703</v>
      </c>
      <c r="MZB18" t="s">
        <v>9704</v>
      </c>
      <c r="MZC18" t="s">
        <v>9705</v>
      </c>
      <c r="MZD18" t="s">
        <v>9706</v>
      </c>
      <c r="MZE18" t="s">
        <v>9707</v>
      </c>
      <c r="MZF18" t="s">
        <v>9708</v>
      </c>
      <c r="MZG18" t="s">
        <v>9709</v>
      </c>
      <c r="MZH18" t="s">
        <v>9710</v>
      </c>
      <c r="MZI18" t="s">
        <v>9711</v>
      </c>
      <c r="MZJ18" t="s">
        <v>9712</v>
      </c>
      <c r="MZK18" t="s">
        <v>9713</v>
      </c>
      <c r="MZL18" t="s">
        <v>9714</v>
      </c>
      <c r="MZM18" t="s">
        <v>9715</v>
      </c>
      <c r="MZN18" t="s">
        <v>9716</v>
      </c>
      <c r="MZO18" t="s">
        <v>9717</v>
      </c>
      <c r="MZP18" t="s">
        <v>9718</v>
      </c>
      <c r="MZQ18" t="s">
        <v>9719</v>
      </c>
      <c r="MZR18" t="s">
        <v>9720</v>
      </c>
      <c r="MZS18" t="s">
        <v>9721</v>
      </c>
      <c r="MZT18" t="s">
        <v>9722</v>
      </c>
      <c r="MZU18" t="s">
        <v>9723</v>
      </c>
      <c r="MZV18" t="s">
        <v>9724</v>
      </c>
      <c r="MZW18" t="s">
        <v>9725</v>
      </c>
      <c r="MZX18" t="s">
        <v>9726</v>
      </c>
      <c r="MZY18" t="s">
        <v>9727</v>
      </c>
      <c r="MZZ18" t="s">
        <v>9728</v>
      </c>
      <c r="NAA18" t="s">
        <v>9729</v>
      </c>
      <c r="NAB18" t="s">
        <v>9730</v>
      </c>
      <c r="NAC18" t="s">
        <v>9731</v>
      </c>
      <c r="NAD18" t="s">
        <v>9732</v>
      </c>
      <c r="NAE18" t="s">
        <v>9733</v>
      </c>
      <c r="NAF18" t="s">
        <v>9734</v>
      </c>
      <c r="NAG18" t="s">
        <v>9735</v>
      </c>
      <c r="NAH18" t="s">
        <v>9736</v>
      </c>
      <c r="NAI18" t="s">
        <v>9737</v>
      </c>
      <c r="NAJ18" t="s">
        <v>9738</v>
      </c>
      <c r="NAK18" t="s">
        <v>9739</v>
      </c>
      <c r="NAL18" t="s">
        <v>9740</v>
      </c>
      <c r="NAM18" t="s">
        <v>9741</v>
      </c>
      <c r="NAN18" t="s">
        <v>9742</v>
      </c>
      <c r="NAO18" t="s">
        <v>9743</v>
      </c>
      <c r="NAP18" t="s">
        <v>9744</v>
      </c>
      <c r="NAQ18" t="s">
        <v>9745</v>
      </c>
      <c r="NAR18" t="s">
        <v>9746</v>
      </c>
      <c r="NAS18" t="s">
        <v>9747</v>
      </c>
      <c r="NAT18" t="s">
        <v>9748</v>
      </c>
      <c r="NAU18" t="s">
        <v>9749</v>
      </c>
      <c r="NAV18" t="s">
        <v>9750</v>
      </c>
      <c r="NAW18" t="s">
        <v>9751</v>
      </c>
      <c r="NAX18" t="s">
        <v>9752</v>
      </c>
      <c r="NAY18" t="s">
        <v>9753</v>
      </c>
      <c r="NAZ18" t="s">
        <v>9754</v>
      </c>
      <c r="NBA18" t="s">
        <v>9755</v>
      </c>
      <c r="NBB18" t="s">
        <v>9756</v>
      </c>
      <c r="NBC18" t="s">
        <v>9757</v>
      </c>
      <c r="NBD18" t="s">
        <v>9758</v>
      </c>
      <c r="NBE18" t="s">
        <v>9759</v>
      </c>
      <c r="NBF18" t="s">
        <v>9760</v>
      </c>
      <c r="NBG18" t="s">
        <v>9761</v>
      </c>
      <c r="NBH18" t="s">
        <v>9762</v>
      </c>
      <c r="NBI18" t="s">
        <v>9763</v>
      </c>
      <c r="NBJ18" t="s">
        <v>9764</v>
      </c>
      <c r="NBK18" t="s">
        <v>9765</v>
      </c>
      <c r="NBL18" t="s">
        <v>9766</v>
      </c>
      <c r="NBM18" t="s">
        <v>9767</v>
      </c>
      <c r="NBN18" t="s">
        <v>9768</v>
      </c>
      <c r="NBO18" t="s">
        <v>9769</v>
      </c>
      <c r="NBP18" t="s">
        <v>9770</v>
      </c>
      <c r="NBQ18" t="s">
        <v>9771</v>
      </c>
      <c r="NBR18" t="s">
        <v>9772</v>
      </c>
      <c r="NBS18" t="s">
        <v>9773</v>
      </c>
      <c r="NBT18" t="s">
        <v>9774</v>
      </c>
      <c r="NBU18" t="s">
        <v>9775</v>
      </c>
      <c r="NBV18" t="s">
        <v>9776</v>
      </c>
      <c r="NBW18" t="s">
        <v>9777</v>
      </c>
      <c r="NBX18" t="s">
        <v>9778</v>
      </c>
      <c r="NBY18" t="s">
        <v>9779</v>
      </c>
      <c r="NBZ18" t="s">
        <v>9780</v>
      </c>
      <c r="NCA18" t="s">
        <v>9781</v>
      </c>
      <c r="NCB18" t="s">
        <v>9782</v>
      </c>
      <c r="NCC18" t="s">
        <v>9783</v>
      </c>
      <c r="NCD18" t="s">
        <v>9784</v>
      </c>
      <c r="NCE18" t="s">
        <v>9785</v>
      </c>
      <c r="NCF18" t="s">
        <v>9786</v>
      </c>
      <c r="NCG18" t="s">
        <v>9787</v>
      </c>
      <c r="NCH18" t="s">
        <v>9788</v>
      </c>
      <c r="NCI18" t="s">
        <v>9789</v>
      </c>
      <c r="NCJ18" t="s">
        <v>9790</v>
      </c>
      <c r="NCK18" t="s">
        <v>9791</v>
      </c>
      <c r="NCL18" t="s">
        <v>9792</v>
      </c>
      <c r="NCM18" t="s">
        <v>9793</v>
      </c>
      <c r="NCN18" t="s">
        <v>9794</v>
      </c>
      <c r="NCO18" t="s">
        <v>9795</v>
      </c>
      <c r="NCP18" t="s">
        <v>9796</v>
      </c>
      <c r="NCQ18" t="s">
        <v>9797</v>
      </c>
      <c r="NCR18" t="s">
        <v>9798</v>
      </c>
      <c r="NCS18" t="s">
        <v>9799</v>
      </c>
      <c r="NCT18" t="s">
        <v>9800</v>
      </c>
      <c r="NCU18" t="s">
        <v>9801</v>
      </c>
      <c r="NCV18" t="s">
        <v>9802</v>
      </c>
      <c r="NCW18" t="s">
        <v>9803</v>
      </c>
      <c r="NCX18" t="s">
        <v>9804</v>
      </c>
      <c r="NCY18" t="s">
        <v>9805</v>
      </c>
      <c r="NCZ18" t="s">
        <v>9806</v>
      </c>
      <c r="NDA18" t="s">
        <v>9807</v>
      </c>
      <c r="NDB18" t="s">
        <v>9808</v>
      </c>
      <c r="NDC18" t="s">
        <v>9809</v>
      </c>
      <c r="NDD18" t="s">
        <v>9810</v>
      </c>
      <c r="NDE18" t="s">
        <v>9811</v>
      </c>
      <c r="NDF18" t="s">
        <v>9812</v>
      </c>
      <c r="NDG18" t="s">
        <v>9813</v>
      </c>
      <c r="NDH18" t="s">
        <v>9814</v>
      </c>
      <c r="NDI18" t="s">
        <v>9815</v>
      </c>
      <c r="NDJ18" t="s">
        <v>9816</v>
      </c>
      <c r="NDK18" t="s">
        <v>9817</v>
      </c>
      <c r="NDL18" t="s">
        <v>9818</v>
      </c>
      <c r="NDM18" t="s">
        <v>9819</v>
      </c>
      <c r="NDN18" t="s">
        <v>9820</v>
      </c>
      <c r="NDO18" t="s">
        <v>9821</v>
      </c>
      <c r="NDP18" t="s">
        <v>9822</v>
      </c>
      <c r="NDQ18" t="s">
        <v>9823</v>
      </c>
      <c r="NDR18" t="s">
        <v>9824</v>
      </c>
      <c r="NDS18" t="s">
        <v>9825</v>
      </c>
      <c r="NDT18" t="s">
        <v>9826</v>
      </c>
      <c r="NDU18" t="s">
        <v>9827</v>
      </c>
      <c r="NDV18" t="s">
        <v>9828</v>
      </c>
      <c r="NDW18" t="s">
        <v>9829</v>
      </c>
      <c r="NDX18" t="s">
        <v>9830</v>
      </c>
      <c r="NDY18" t="s">
        <v>9831</v>
      </c>
      <c r="NDZ18" t="s">
        <v>9832</v>
      </c>
      <c r="NEA18" t="s">
        <v>9833</v>
      </c>
      <c r="NEB18" t="s">
        <v>9834</v>
      </c>
      <c r="NEC18" t="s">
        <v>9835</v>
      </c>
      <c r="NED18" t="s">
        <v>9836</v>
      </c>
      <c r="NEE18" t="s">
        <v>9837</v>
      </c>
      <c r="NEF18" t="s">
        <v>9838</v>
      </c>
      <c r="NEG18" t="s">
        <v>9839</v>
      </c>
      <c r="NEH18" t="s">
        <v>9840</v>
      </c>
      <c r="NEI18" t="s">
        <v>9841</v>
      </c>
      <c r="NEJ18" t="s">
        <v>9842</v>
      </c>
      <c r="NEK18" t="s">
        <v>9843</v>
      </c>
      <c r="NEL18" t="s">
        <v>9844</v>
      </c>
      <c r="NEM18" t="s">
        <v>9845</v>
      </c>
      <c r="NEN18" t="s">
        <v>9846</v>
      </c>
      <c r="NEO18" t="s">
        <v>9847</v>
      </c>
      <c r="NEP18" t="s">
        <v>9848</v>
      </c>
      <c r="NEQ18" t="s">
        <v>9849</v>
      </c>
      <c r="NER18" t="s">
        <v>9850</v>
      </c>
      <c r="NES18" t="s">
        <v>9851</v>
      </c>
      <c r="NET18" t="s">
        <v>9852</v>
      </c>
      <c r="NEU18" t="s">
        <v>9853</v>
      </c>
      <c r="NEV18" t="s">
        <v>9854</v>
      </c>
      <c r="NEW18" t="s">
        <v>9855</v>
      </c>
      <c r="NEX18" t="s">
        <v>9856</v>
      </c>
      <c r="NEY18" t="s">
        <v>9857</v>
      </c>
      <c r="NEZ18" t="s">
        <v>9858</v>
      </c>
      <c r="NFA18" t="s">
        <v>9859</v>
      </c>
      <c r="NFB18" t="s">
        <v>9860</v>
      </c>
      <c r="NFC18" t="s">
        <v>9861</v>
      </c>
      <c r="NFD18" t="s">
        <v>9862</v>
      </c>
      <c r="NFE18" t="s">
        <v>9863</v>
      </c>
      <c r="NFF18" t="s">
        <v>9864</v>
      </c>
      <c r="NFG18" t="s">
        <v>9865</v>
      </c>
      <c r="NFH18" t="s">
        <v>9866</v>
      </c>
      <c r="NFI18" t="s">
        <v>9867</v>
      </c>
      <c r="NFJ18" t="s">
        <v>9868</v>
      </c>
      <c r="NFK18" t="s">
        <v>9869</v>
      </c>
      <c r="NFL18" t="s">
        <v>9870</v>
      </c>
      <c r="NFM18" t="s">
        <v>9871</v>
      </c>
      <c r="NFN18" t="s">
        <v>9872</v>
      </c>
      <c r="NFO18" t="s">
        <v>9873</v>
      </c>
      <c r="NFP18" t="s">
        <v>9874</v>
      </c>
      <c r="NFQ18" t="s">
        <v>9875</v>
      </c>
      <c r="NFR18" t="s">
        <v>9876</v>
      </c>
      <c r="NFS18" t="s">
        <v>9877</v>
      </c>
      <c r="NFT18" t="s">
        <v>9878</v>
      </c>
      <c r="NFU18" t="s">
        <v>9879</v>
      </c>
      <c r="NFV18" t="s">
        <v>9880</v>
      </c>
      <c r="NFW18" t="s">
        <v>9881</v>
      </c>
      <c r="NFX18" t="s">
        <v>9882</v>
      </c>
      <c r="NFY18" t="s">
        <v>9883</v>
      </c>
      <c r="NFZ18" t="s">
        <v>9884</v>
      </c>
      <c r="NGA18" t="s">
        <v>9885</v>
      </c>
      <c r="NGB18" t="s">
        <v>9886</v>
      </c>
      <c r="NGC18" t="s">
        <v>9887</v>
      </c>
      <c r="NGD18" t="s">
        <v>9888</v>
      </c>
      <c r="NGE18" t="s">
        <v>9889</v>
      </c>
      <c r="NGF18" t="s">
        <v>9890</v>
      </c>
      <c r="NGG18" t="s">
        <v>9891</v>
      </c>
      <c r="NGH18" t="s">
        <v>9892</v>
      </c>
      <c r="NGI18" t="s">
        <v>9893</v>
      </c>
      <c r="NGJ18" t="s">
        <v>9894</v>
      </c>
      <c r="NGK18" t="s">
        <v>9895</v>
      </c>
      <c r="NGL18" t="s">
        <v>9896</v>
      </c>
      <c r="NGM18" t="s">
        <v>9897</v>
      </c>
      <c r="NGN18" t="s">
        <v>9898</v>
      </c>
      <c r="NGO18" t="s">
        <v>9899</v>
      </c>
      <c r="NGP18" t="s">
        <v>9900</v>
      </c>
      <c r="NGQ18" t="s">
        <v>9901</v>
      </c>
      <c r="NGR18" t="s">
        <v>9902</v>
      </c>
      <c r="NGS18" t="s">
        <v>9903</v>
      </c>
      <c r="NGT18" t="s">
        <v>9904</v>
      </c>
      <c r="NGU18" t="s">
        <v>9905</v>
      </c>
      <c r="NGV18" t="s">
        <v>9906</v>
      </c>
      <c r="NGW18" t="s">
        <v>9907</v>
      </c>
      <c r="NGX18" t="s">
        <v>9908</v>
      </c>
      <c r="NGY18" t="s">
        <v>9909</v>
      </c>
      <c r="NGZ18" t="s">
        <v>9910</v>
      </c>
      <c r="NHA18" t="s">
        <v>9911</v>
      </c>
      <c r="NHB18" t="s">
        <v>9912</v>
      </c>
      <c r="NHC18" t="s">
        <v>9913</v>
      </c>
      <c r="NHD18" t="s">
        <v>9914</v>
      </c>
      <c r="NHE18" t="s">
        <v>9915</v>
      </c>
      <c r="NHF18" t="s">
        <v>9916</v>
      </c>
      <c r="NHG18" t="s">
        <v>9917</v>
      </c>
      <c r="NHH18" t="s">
        <v>9918</v>
      </c>
      <c r="NHI18" t="s">
        <v>9919</v>
      </c>
      <c r="NHJ18" t="s">
        <v>9920</v>
      </c>
      <c r="NHK18" t="s">
        <v>9921</v>
      </c>
      <c r="NHL18" t="s">
        <v>9922</v>
      </c>
      <c r="NHM18" t="s">
        <v>9923</v>
      </c>
      <c r="NHN18" t="s">
        <v>9924</v>
      </c>
      <c r="NHO18" t="s">
        <v>9925</v>
      </c>
      <c r="NHP18" t="s">
        <v>9926</v>
      </c>
      <c r="NHQ18" t="s">
        <v>9927</v>
      </c>
      <c r="NHR18" t="s">
        <v>9928</v>
      </c>
      <c r="NHS18" t="s">
        <v>9929</v>
      </c>
      <c r="NHT18" t="s">
        <v>9930</v>
      </c>
      <c r="NHU18" t="s">
        <v>9931</v>
      </c>
      <c r="NHV18" t="s">
        <v>9932</v>
      </c>
      <c r="NHW18" t="s">
        <v>9933</v>
      </c>
      <c r="NHX18" t="s">
        <v>9934</v>
      </c>
      <c r="NHY18" t="s">
        <v>9935</v>
      </c>
      <c r="NHZ18" t="s">
        <v>9936</v>
      </c>
      <c r="NIA18" t="s">
        <v>9937</v>
      </c>
      <c r="NIB18" t="s">
        <v>9938</v>
      </c>
      <c r="NIC18" t="s">
        <v>9939</v>
      </c>
      <c r="NID18" t="s">
        <v>9940</v>
      </c>
      <c r="NIE18" t="s">
        <v>9941</v>
      </c>
      <c r="NIF18" t="s">
        <v>9942</v>
      </c>
      <c r="NIG18" t="s">
        <v>9943</v>
      </c>
      <c r="NIH18" t="s">
        <v>9944</v>
      </c>
      <c r="NII18" t="s">
        <v>9945</v>
      </c>
      <c r="NIJ18" t="s">
        <v>9946</v>
      </c>
      <c r="NIK18" t="s">
        <v>9947</v>
      </c>
      <c r="NIL18" t="s">
        <v>9948</v>
      </c>
      <c r="NIM18" t="s">
        <v>9949</v>
      </c>
      <c r="NIN18" t="s">
        <v>9950</v>
      </c>
      <c r="NIO18" t="s">
        <v>9951</v>
      </c>
      <c r="NIP18" t="s">
        <v>9952</v>
      </c>
      <c r="NIQ18" t="s">
        <v>9953</v>
      </c>
      <c r="NIR18" t="s">
        <v>9954</v>
      </c>
      <c r="NIS18" t="s">
        <v>9955</v>
      </c>
      <c r="NIT18" t="s">
        <v>9956</v>
      </c>
      <c r="NIU18" t="s">
        <v>9957</v>
      </c>
      <c r="NIV18" t="s">
        <v>9958</v>
      </c>
      <c r="NIW18" t="s">
        <v>9959</v>
      </c>
      <c r="NIX18" t="s">
        <v>9960</v>
      </c>
      <c r="NIY18" t="s">
        <v>9961</v>
      </c>
      <c r="NIZ18" t="s">
        <v>9962</v>
      </c>
      <c r="NJA18" t="s">
        <v>9963</v>
      </c>
      <c r="NJB18" t="s">
        <v>9964</v>
      </c>
      <c r="NJC18" t="s">
        <v>9965</v>
      </c>
      <c r="NJD18" t="s">
        <v>9966</v>
      </c>
      <c r="NJE18" t="s">
        <v>9967</v>
      </c>
      <c r="NJF18" t="s">
        <v>9968</v>
      </c>
      <c r="NJG18" t="s">
        <v>9969</v>
      </c>
      <c r="NJH18" t="s">
        <v>9970</v>
      </c>
      <c r="NJI18" t="s">
        <v>9971</v>
      </c>
      <c r="NJJ18" t="s">
        <v>9972</v>
      </c>
      <c r="NJK18" t="s">
        <v>9973</v>
      </c>
      <c r="NJL18" t="s">
        <v>9974</v>
      </c>
      <c r="NJM18" t="s">
        <v>9975</v>
      </c>
      <c r="NJN18" t="s">
        <v>9976</v>
      </c>
      <c r="NJO18" t="s">
        <v>9977</v>
      </c>
      <c r="NJP18" t="s">
        <v>9978</v>
      </c>
      <c r="NJQ18" t="s">
        <v>9979</v>
      </c>
      <c r="NJR18" t="s">
        <v>9980</v>
      </c>
      <c r="NJS18" t="s">
        <v>9981</v>
      </c>
      <c r="NJT18" t="s">
        <v>9982</v>
      </c>
      <c r="NJU18" t="s">
        <v>9983</v>
      </c>
      <c r="NJV18" t="s">
        <v>9984</v>
      </c>
      <c r="NJW18" t="s">
        <v>9985</v>
      </c>
      <c r="NJX18" t="s">
        <v>9986</v>
      </c>
      <c r="NJY18" t="s">
        <v>9987</v>
      </c>
      <c r="NJZ18" t="s">
        <v>9988</v>
      </c>
      <c r="NKA18" t="s">
        <v>9989</v>
      </c>
      <c r="NKB18" t="s">
        <v>9990</v>
      </c>
      <c r="NKC18" t="s">
        <v>9991</v>
      </c>
      <c r="NKD18" t="s">
        <v>9992</v>
      </c>
      <c r="NKE18" t="s">
        <v>9993</v>
      </c>
      <c r="NKF18" t="s">
        <v>9994</v>
      </c>
      <c r="NKG18" t="s">
        <v>9995</v>
      </c>
      <c r="NKH18" t="s">
        <v>9996</v>
      </c>
      <c r="NKI18" t="s">
        <v>9997</v>
      </c>
      <c r="NKJ18" t="s">
        <v>9998</v>
      </c>
      <c r="NKK18" t="s">
        <v>9999</v>
      </c>
      <c r="NKL18" t="s">
        <v>10000</v>
      </c>
      <c r="NKM18" t="s">
        <v>10001</v>
      </c>
      <c r="NKN18" t="s">
        <v>10002</v>
      </c>
      <c r="NKO18" t="s">
        <v>10003</v>
      </c>
      <c r="NKP18" t="s">
        <v>10004</v>
      </c>
      <c r="NKQ18" t="s">
        <v>10005</v>
      </c>
      <c r="NKR18" t="s">
        <v>10006</v>
      </c>
      <c r="NKS18" t="s">
        <v>10007</v>
      </c>
      <c r="NKT18" t="s">
        <v>10008</v>
      </c>
      <c r="NKU18" t="s">
        <v>10009</v>
      </c>
      <c r="NKV18" t="s">
        <v>10010</v>
      </c>
      <c r="NKW18" t="s">
        <v>10011</v>
      </c>
      <c r="NKX18" t="s">
        <v>10012</v>
      </c>
      <c r="NKY18" t="s">
        <v>10013</v>
      </c>
      <c r="NKZ18" t="s">
        <v>10014</v>
      </c>
      <c r="NLA18" t="s">
        <v>10015</v>
      </c>
      <c r="NLB18" t="s">
        <v>10016</v>
      </c>
      <c r="NLC18" t="s">
        <v>10017</v>
      </c>
      <c r="NLD18" t="s">
        <v>10018</v>
      </c>
      <c r="NLE18" t="s">
        <v>10019</v>
      </c>
      <c r="NLF18" t="s">
        <v>10020</v>
      </c>
      <c r="NLG18" t="s">
        <v>10021</v>
      </c>
      <c r="NLH18" t="s">
        <v>10022</v>
      </c>
      <c r="NLI18" t="s">
        <v>10023</v>
      </c>
      <c r="NLJ18" t="s">
        <v>10024</v>
      </c>
      <c r="NLK18" t="s">
        <v>10025</v>
      </c>
      <c r="NLL18" t="s">
        <v>10026</v>
      </c>
      <c r="NLM18" t="s">
        <v>10027</v>
      </c>
      <c r="NLN18" t="s">
        <v>10028</v>
      </c>
      <c r="NLO18" t="s">
        <v>10029</v>
      </c>
      <c r="NLP18" t="s">
        <v>10030</v>
      </c>
      <c r="NLQ18" t="s">
        <v>10031</v>
      </c>
      <c r="NLR18" t="s">
        <v>10032</v>
      </c>
      <c r="NLS18" t="s">
        <v>10033</v>
      </c>
      <c r="NLT18" t="s">
        <v>10034</v>
      </c>
      <c r="NLU18" t="s">
        <v>10035</v>
      </c>
      <c r="NLV18" t="s">
        <v>10036</v>
      </c>
      <c r="NLW18" t="s">
        <v>10037</v>
      </c>
      <c r="NLX18" t="s">
        <v>10038</v>
      </c>
      <c r="NLY18" t="s">
        <v>10039</v>
      </c>
      <c r="NLZ18" t="s">
        <v>10040</v>
      </c>
      <c r="NMA18" t="s">
        <v>10041</v>
      </c>
      <c r="NMB18" t="s">
        <v>10042</v>
      </c>
      <c r="NMC18" t="s">
        <v>10043</v>
      </c>
      <c r="NMD18" t="s">
        <v>10044</v>
      </c>
      <c r="NME18" t="s">
        <v>10045</v>
      </c>
      <c r="NMF18" t="s">
        <v>10046</v>
      </c>
      <c r="NMG18" t="s">
        <v>10047</v>
      </c>
      <c r="NMH18" t="s">
        <v>10048</v>
      </c>
      <c r="NMI18" t="s">
        <v>10049</v>
      </c>
      <c r="NMJ18" t="s">
        <v>10050</v>
      </c>
      <c r="NMK18" t="s">
        <v>10051</v>
      </c>
      <c r="NML18" t="s">
        <v>10052</v>
      </c>
      <c r="NMM18" t="s">
        <v>10053</v>
      </c>
      <c r="NMN18" t="s">
        <v>10054</v>
      </c>
      <c r="NMO18" t="s">
        <v>10055</v>
      </c>
      <c r="NMP18" t="s">
        <v>10056</v>
      </c>
      <c r="NMQ18" t="s">
        <v>10057</v>
      </c>
      <c r="NMR18" t="s">
        <v>10058</v>
      </c>
      <c r="NMS18" t="s">
        <v>10059</v>
      </c>
      <c r="NMT18" t="s">
        <v>10060</v>
      </c>
      <c r="NMU18" t="s">
        <v>10061</v>
      </c>
      <c r="NMV18" t="s">
        <v>10062</v>
      </c>
      <c r="NMW18" t="s">
        <v>10063</v>
      </c>
      <c r="NMX18" t="s">
        <v>10064</v>
      </c>
      <c r="NMY18" t="s">
        <v>10065</v>
      </c>
      <c r="NMZ18" t="s">
        <v>10066</v>
      </c>
      <c r="NNA18" t="s">
        <v>10067</v>
      </c>
      <c r="NNB18" t="s">
        <v>10068</v>
      </c>
      <c r="NNC18" t="s">
        <v>10069</v>
      </c>
      <c r="NND18" t="s">
        <v>10070</v>
      </c>
      <c r="NNE18" t="s">
        <v>10071</v>
      </c>
      <c r="NNF18" t="s">
        <v>10072</v>
      </c>
      <c r="NNG18" t="s">
        <v>10073</v>
      </c>
      <c r="NNH18" t="s">
        <v>10074</v>
      </c>
      <c r="NNI18" t="s">
        <v>10075</v>
      </c>
      <c r="NNJ18" t="s">
        <v>10076</v>
      </c>
      <c r="NNK18" t="s">
        <v>10077</v>
      </c>
      <c r="NNL18" t="s">
        <v>10078</v>
      </c>
      <c r="NNM18" t="s">
        <v>10079</v>
      </c>
      <c r="NNN18" t="s">
        <v>10080</v>
      </c>
      <c r="NNO18" t="s">
        <v>10081</v>
      </c>
      <c r="NNP18" t="s">
        <v>10082</v>
      </c>
      <c r="NNQ18" t="s">
        <v>10083</v>
      </c>
      <c r="NNR18" t="s">
        <v>10084</v>
      </c>
      <c r="NNS18" t="s">
        <v>10085</v>
      </c>
      <c r="NNT18" t="s">
        <v>10086</v>
      </c>
      <c r="NNU18" t="s">
        <v>10087</v>
      </c>
      <c r="NNV18" t="s">
        <v>10088</v>
      </c>
      <c r="NNW18" t="s">
        <v>10089</v>
      </c>
      <c r="NNX18" t="s">
        <v>10090</v>
      </c>
      <c r="NNY18" t="s">
        <v>10091</v>
      </c>
      <c r="NNZ18" t="s">
        <v>10092</v>
      </c>
      <c r="NOA18" t="s">
        <v>10093</v>
      </c>
      <c r="NOB18" t="s">
        <v>10094</v>
      </c>
      <c r="NOC18" t="s">
        <v>10095</v>
      </c>
      <c r="NOD18" t="s">
        <v>10096</v>
      </c>
      <c r="NOE18" t="s">
        <v>10097</v>
      </c>
      <c r="NOF18" t="s">
        <v>10098</v>
      </c>
      <c r="NOG18" t="s">
        <v>10099</v>
      </c>
      <c r="NOH18" t="s">
        <v>10100</v>
      </c>
      <c r="NOI18" t="s">
        <v>10101</v>
      </c>
      <c r="NOJ18" t="s">
        <v>10102</v>
      </c>
      <c r="NOK18" t="s">
        <v>10103</v>
      </c>
      <c r="NOL18" t="s">
        <v>10104</v>
      </c>
      <c r="NOM18" t="s">
        <v>10105</v>
      </c>
      <c r="NON18" t="s">
        <v>10106</v>
      </c>
      <c r="NOO18" t="s">
        <v>10107</v>
      </c>
      <c r="NOP18" t="s">
        <v>10108</v>
      </c>
      <c r="NOQ18" t="s">
        <v>10109</v>
      </c>
      <c r="NOR18" t="s">
        <v>10110</v>
      </c>
      <c r="NOS18" t="s">
        <v>10111</v>
      </c>
      <c r="NOT18" t="s">
        <v>10112</v>
      </c>
      <c r="NOU18" t="s">
        <v>10113</v>
      </c>
      <c r="NOV18" t="s">
        <v>10114</v>
      </c>
      <c r="NOW18" t="s">
        <v>10115</v>
      </c>
      <c r="NOX18" t="s">
        <v>10116</v>
      </c>
      <c r="NOY18" t="s">
        <v>10117</v>
      </c>
      <c r="NOZ18" t="s">
        <v>10118</v>
      </c>
      <c r="NPA18" t="s">
        <v>10119</v>
      </c>
      <c r="NPB18" t="s">
        <v>10120</v>
      </c>
      <c r="NPC18" t="s">
        <v>10121</v>
      </c>
      <c r="NPD18" t="s">
        <v>10122</v>
      </c>
      <c r="NPE18" t="s">
        <v>10123</v>
      </c>
      <c r="NPF18" t="s">
        <v>10124</v>
      </c>
      <c r="NPG18" t="s">
        <v>10125</v>
      </c>
      <c r="NPH18" t="s">
        <v>10126</v>
      </c>
      <c r="NPI18" t="s">
        <v>10127</v>
      </c>
      <c r="NPJ18" t="s">
        <v>10128</v>
      </c>
      <c r="NPK18" t="s">
        <v>10129</v>
      </c>
      <c r="NPL18" t="s">
        <v>10130</v>
      </c>
      <c r="NPM18" t="s">
        <v>10131</v>
      </c>
      <c r="NPN18" t="s">
        <v>10132</v>
      </c>
      <c r="NPO18" t="s">
        <v>10133</v>
      </c>
      <c r="NPP18" t="s">
        <v>10134</v>
      </c>
      <c r="NPQ18" t="s">
        <v>10135</v>
      </c>
      <c r="NPR18" t="s">
        <v>10136</v>
      </c>
      <c r="NPS18" t="s">
        <v>10137</v>
      </c>
      <c r="NPT18" t="s">
        <v>10138</v>
      </c>
      <c r="NPU18" t="s">
        <v>10139</v>
      </c>
      <c r="NPV18" t="s">
        <v>10140</v>
      </c>
      <c r="NPW18" t="s">
        <v>10141</v>
      </c>
      <c r="NPX18" t="s">
        <v>10142</v>
      </c>
      <c r="NPY18" t="s">
        <v>10143</v>
      </c>
      <c r="NPZ18" t="s">
        <v>10144</v>
      </c>
      <c r="NQA18" t="s">
        <v>10145</v>
      </c>
      <c r="NQB18" t="s">
        <v>10146</v>
      </c>
      <c r="NQC18" t="s">
        <v>10147</v>
      </c>
      <c r="NQD18" t="s">
        <v>10148</v>
      </c>
      <c r="NQE18" t="s">
        <v>10149</v>
      </c>
      <c r="NQF18" t="s">
        <v>10150</v>
      </c>
      <c r="NQG18" t="s">
        <v>10151</v>
      </c>
      <c r="NQH18" t="s">
        <v>10152</v>
      </c>
      <c r="NQI18" t="s">
        <v>10153</v>
      </c>
      <c r="NQJ18" t="s">
        <v>10154</v>
      </c>
      <c r="NQK18" t="s">
        <v>10155</v>
      </c>
      <c r="NQL18" t="s">
        <v>10156</v>
      </c>
      <c r="NQM18" t="s">
        <v>10157</v>
      </c>
      <c r="NQN18" t="s">
        <v>10158</v>
      </c>
      <c r="NQO18" t="s">
        <v>10159</v>
      </c>
      <c r="NQP18" t="s">
        <v>10160</v>
      </c>
      <c r="NQQ18" t="s">
        <v>10161</v>
      </c>
      <c r="NQR18" t="s">
        <v>10162</v>
      </c>
      <c r="NQS18" t="s">
        <v>10163</v>
      </c>
      <c r="NQT18" t="s">
        <v>10164</v>
      </c>
      <c r="NQU18" t="s">
        <v>10165</v>
      </c>
      <c r="NQV18" t="s">
        <v>10166</v>
      </c>
      <c r="NQW18" t="s">
        <v>10167</v>
      </c>
      <c r="NQX18" t="s">
        <v>10168</v>
      </c>
      <c r="NQY18" t="s">
        <v>10169</v>
      </c>
      <c r="NQZ18" t="s">
        <v>10170</v>
      </c>
      <c r="NRA18" t="s">
        <v>10171</v>
      </c>
      <c r="NRB18" t="s">
        <v>10172</v>
      </c>
      <c r="NRC18" t="s">
        <v>10173</v>
      </c>
      <c r="NRD18" t="s">
        <v>10174</v>
      </c>
      <c r="NRE18" t="s">
        <v>10175</v>
      </c>
      <c r="NRF18" t="s">
        <v>10176</v>
      </c>
      <c r="NRG18" t="s">
        <v>10177</v>
      </c>
      <c r="NRH18" t="s">
        <v>10178</v>
      </c>
      <c r="NRI18" t="s">
        <v>10179</v>
      </c>
      <c r="NRJ18" t="s">
        <v>10180</v>
      </c>
      <c r="NRK18" t="s">
        <v>10181</v>
      </c>
      <c r="NRL18" t="s">
        <v>10182</v>
      </c>
      <c r="NRM18" t="s">
        <v>10183</v>
      </c>
      <c r="NRN18" t="s">
        <v>10184</v>
      </c>
      <c r="NRO18" t="s">
        <v>10185</v>
      </c>
      <c r="NRP18" t="s">
        <v>10186</v>
      </c>
      <c r="NRQ18" t="s">
        <v>10187</v>
      </c>
      <c r="NRR18" t="s">
        <v>10188</v>
      </c>
      <c r="NRS18" t="s">
        <v>10189</v>
      </c>
      <c r="NRT18" t="s">
        <v>10190</v>
      </c>
      <c r="NRU18" t="s">
        <v>10191</v>
      </c>
      <c r="NRV18" t="s">
        <v>10192</v>
      </c>
      <c r="NRW18" t="s">
        <v>10193</v>
      </c>
      <c r="NRX18" t="s">
        <v>10194</v>
      </c>
      <c r="NRY18" t="s">
        <v>10195</v>
      </c>
      <c r="NRZ18" t="s">
        <v>10196</v>
      </c>
      <c r="NSA18" t="s">
        <v>10197</v>
      </c>
      <c r="NSB18" t="s">
        <v>10198</v>
      </c>
      <c r="NSC18" t="s">
        <v>10199</v>
      </c>
      <c r="NSD18" t="s">
        <v>10200</v>
      </c>
      <c r="NSE18" t="s">
        <v>10201</v>
      </c>
      <c r="NSF18" t="s">
        <v>10202</v>
      </c>
      <c r="NSG18" t="s">
        <v>10203</v>
      </c>
      <c r="NSH18" t="s">
        <v>10204</v>
      </c>
      <c r="NSI18" t="s">
        <v>10205</v>
      </c>
      <c r="NSJ18" t="s">
        <v>10206</v>
      </c>
      <c r="NSK18" t="s">
        <v>10207</v>
      </c>
      <c r="NSL18" t="s">
        <v>10208</v>
      </c>
      <c r="NSM18" t="s">
        <v>10209</v>
      </c>
      <c r="NSN18" t="s">
        <v>10210</v>
      </c>
      <c r="NSO18" t="s">
        <v>10211</v>
      </c>
      <c r="NSP18" t="s">
        <v>10212</v>
      </c>
      <c r="NSQ18" t="s">
        <v>10213</v>
      </c>
      <c r="NSR18" t="s">
        <v>10214</v>
      </c>
      <c r="NSS18" t="s">
        <v>10215</v>
      </c>
      <c r="NST18" t="s">
        <v>10216</v>
      </c>
      <c r="NSU18" t="s">
        <v>10217</v>
      </c>
      <c r="NSV18" t="s">
        <v>10218</v>
      </c>
      <c r="NSW18" t="s">
        <v>10219</v>
      </c>
      <c r="NSX18" t="s">
        <v>10220</v>
      </c>
      <c r="NSY18" t="s">
        <v>10221</v>
      </c>
      <c r="NSZ18" t="s">
        <v>10222</v>
      </c>
      <c r="NTA18" t="s">
        <v>10223</v>
      </c>
      <c r="NTB18" t="s">
        <v>10224</v>
      </c>
      <c r="NTC18" t="s">
        <v>10225</v>
      </c>
      <c r="NTD18" t="s">
        <v>10226</v>
      </c>
      <c r="NTE18" t="s">
        <v>10227</v>
      </c>
      <c r="NTF18" t="s">
        <v>10228</v>
      </c>
      <c r="NTG18" t="s">
        <v>10229</v>
      </c>
      <c r="NTH18" t="s">
        <v>10230</v>
      </c>
      <c r="NTI18" t="s">
        <v>10231</v>
      </c>
      <c r="NTJ18" t="s">
        <v>10232</v>
      </c>
      <c r="NTK18" t="s">
        <v>10233</v>
      </c>
      <c r="NTL18" t="s">
        <v>10234</v>
      </c>
      <c r="NTM18" t="s">
        <v>10235</v>
      </c>
      <c r="NTN18" t="s">
        <v>10236</v>
      </c>
      <c r="NTO18" t="s">
        <v>10237</v>
      </c>
      <c r="NTP18" t="s">
        <v>10238</v>
      </c>
      <c r="NTQ18" t="s">
        <v>10239</v>
      </c>
      <c r="NTR18" t="s">
        <v>10240</v>
      </c>
      <c r="NTS18" t="s">
        <v>10241</v>
      </c>
      <c r="NTT18" t="s">
        <v>10242</v>
      </c>
      <c r="NTU18" t="s">
        <v>10243</v>
      </c>
      <c r="NTV18" t="s">
        <v>10244</v>
      </c>
      <c r="NTW18" t="s">
        <v>10245</v>
      </c>
      <c r="NTX18" t="s">
        <v>10246</v>
      </c>
      <c r="NTY18" t="s">
        <v>10247</v>
      </c>
      <c r="NTZ18" t="s">
        <v>10248</v>
      </c>
      <c r="NUA18" t="s">
        <v>10249</v>
      </c>
      <c r="NUB18" t="s">
        <v>10250</v>
      </c>
      <c r="NUC18" t="s">
        <v>10251</v>
      </c>
      <c r="NUD18" t="s">
        <v>10252</v>
      </c>
      <c r="NUE18" t="s">
        <v>10253</v>
      </c>
      <c r="NUF18" t="s">
        <v>10254</v>
      </c>
      <c r="NUG18" t="s">
        <v>10255</v>
      </c>
      <c r="NUH18" t="s">
        <v>10256</v>
      </c>
      <c r="NUI18" t="s">
        <v>10257</v>
      </c>
      <c r="NUJ18" t="s">
        <v>10258</v>
      </c>
      <c r="NUK18" t="s">
        <v>10259</v>
      </c>
      <c r="NUL18" t="s">
        <v>10260</v>
      </c>
      <c r="NUM18" t="s">
        <v>10261</v>
      </c>
      <c r="NUN18" t="s">
        <v>10262</v>
      </c>
      <c r="NUO18" t="s">
        <v>10263</v>
      </c>
      <c r="NUP18" t="s">
        <v>10264</v>
      </c>
      <c r="NUQ18" t="s">
        <v>10265</v>
      </c>
      <c r="NUR18" t="s">
        <v>10266</v>
      </c>
      <c r="NUS18" t="s">
        <v>10267</v>
      </c>
      <c r="NUT18" t="s">
        <v>10268</v>
      </c>
      <c r="NUU18" t="s">
        <v>10269</v>
      </c>
      <c r="NUV18" t="s">
        <v>10270</v>
      </c>
      <c r="NUW18" t="s">
        <v>10271</v>
      </c>
      <c r="NUX18" t="s">
        <v>10272</v>
      </c>
      <c r="NUY18" t="s">
        <v>10273</v>
      </c>
      <c r="NUZ18" t="s">
        <v>10274</v>
      </c>
      <c r="NVA18" t="s">
        <v>10275</v>
      </c>
      <c r="NVB18" t="s">
        <v>10276</v>
      </c>
      <c r="NVC18" t="s">
        <v>10277</v>
      </c>
      <c r="NVD18" t="s">
        <v>10278</v>
      </c>
      <c r="NVE18" t="s">
        <v>10279</v>
      </c>
      <c r="NVF18" t="s">
        <v>10280</v>
      </c>
      <c r="NVG18" t="s">
        <v>10281</v>
      </c>
      <c r="NVH18" t="s">
        <v>10282</v>
      </c>
      <c r="NVI18" t="s">
        <v>10283</v>
      </c>
      <c r="NVJ18" t="s">
        <v>10284</v>
      </c>
      <c r="NVK18" t="s">
        <v>10285</v>
      </c>
      <c r="NVL18" t="s">
        <v>10286</v>
      </c>
      <c r="NVM18" t="s">
        <v>10287</v>
      </c>
      <c r="NVN18" t="s">
        <v>10288</v>
      </c>
      <c r="NVO18" t="s">
        <v>10289</v>
      </c>
      <c r="NVP18" t="s">
        <v>10290</v>
      </c>
      <c r="NVQ18" t="s">
        <v>10291</v>
      </c>
      <c r="NVR18" t="s">
        <v>10292</v>
      </c>
      <c r="NVS18" t="s">
        <v>10293</v>
      </c>
      <c r="NVT18" t="s">
        <v>10294</v>
      </c>
      <c r="NVU18" t="s">
        <v>10295</v>
      </c>
      <c r="NVV18" t="s">
        <v>10296</v>
      </c>
      <c r="NVW18" t="s">
        <v>10297</v>
      </c>
      <c r="NVX18" t="s">
        <v>10298</v>
      </c>
      <c r="NVY18" t="s">
        <v>10299</v>
      </c>
      <c r="NVZ18" t="s">
        <v>10300</v>
      </c>
      <c r="NWA18" t="s">
        <v>10301</v>
      </c>
      <c r="NWB18" t="s">
        <v>10302</v>
      </c>
      <c r="NWC18" t="s">
        <v>10303</v>
      </c>
      <c r="NWD18" t="s">
        <v>10304</v>
      </c>
      <c r="NWE18" t="s">
        <v>10305</v>
      </c>
      <c r="NWF18" t="s">
        <v>10306</v>
      </c>
      <c r="NWG18" t="s">
        <v>10307</v>
      </c>
      <c r="NWH18" t="s">
        <v>10308</v>
      </c>
      <c r="NWI18" t="s">
        <v>10309</v>
      </c>
      <c r="NWJ18" t="s">
        <v>10310</v>
      </c>
      <c r="NWK18" t="s">
        <v>10311</v>
      </c>
      <c r="NWL18" t="s">
        <v>10312</v>
      </c>
      <c r="NWM18" t="s">
        <v>10313</v>
      </c>
      <c r="NWN18" t="s">
        <v>10314</v>
      </c>
      <c r="NWO18" t="s">
        <v>10315</v>
      </c>
      <c r="NWP18" t="s">
        <v>10316</v>
      </c>
      <c r="NWQ18" t="s">
        <v>10317</v>
      </c>
      <c r="NWR18" t="s">
        <v>10318</v>
      </c>
      <c r="NWS18" t="s">
        <v>10319</v>
      </c>
      <c r="NWT18" t="s">
        <v>10320</v>
      </c>
      <c r="NWU18" t="s">
        <v>10321</v>
      </c>
      <c r="NWV18" t="s">
        <v>10322</v>
      </c>
      <c r="NWW18" t="s">
        <v>10323</v>
      </c>
      <c r="NWX18" t="s">
        <v>10324</v>
      </c>
      <c r="NWY18" t="s">
        <v>10325</v>
      </c>
      <c r="NWZ18" t="s">
        <v>10326</v>
      </c>
      <c r="NXA18" t="s">
        <v>10327</v>
      </c>
      <c r="NXB18" t="s">
        <v>10328</v>
      </c>
      <c r="NXC18" t="s">
        <v>10329</v>
      </c>
      <c r="NXD18" t="s">
        <v>10330</v>
      </c>
      <c r="NXE18" t="s">
        <v>10331</v>
      </c>
      <c r="NXF18" t="s">
        <v>10332</v>
      </c>
      <c r="NXG18" t="s">
        <v>10333</v>
      </c>
      <c r="NXH18" t="s">
        <v>10334</v>
      </c>
      <c r="NXI18" t="s">
        <v>10335</v>
      </c>
      <c r="NXJ18" t="s">
        <v>10336</v>
      </c>
      <c r="NXK18" t="s">
        <v>10337</v>
      </c>
      <c r="NXL18" t="s">
        <v>10338</v>
      </c>
      <c r="NXM18" t="s">
        <v>10339</v>
      </c>
      <c r="NXN18" t="s">
        <v>10340</v>
      </c>
      <c r="NXO18" t="s">
        <v>10341</v>
      </c>
      <c r="NXP18" t="s">
        <v>10342</v>
      </c>
      <c r="NXQ18" t="s">
        <v>10343</v>
      </c>
      <c r="NXR18" t="s">
        <v>10344</v>
      </c>
      <c r="NXS18" t="s">
        <v>10345</v>
      </c>
      <c r="NXT18" t="s">
        <v>10346</v>
      </c>
      <c r="NXU18" t="s">
        <v>10347</v>
      </c>
      <c r="NXV18" t="s">
        <v>10348</v>
      </c>
      <c r="NXW18" t="s">
        <v>10349</v>
      </c>
      <c r="NXX18" t="s">
        <v>10350</v>
      </c>
      <c r="NXY18" t="s">
        <v>10351</v>
      </c>
      <c r="NXZ18" t="s">
        <v>10352</v>
      </c>
      <c r="NYA18" t="s">
        <v>10353</v>
      </c>
      <c r="NYB18" t="s">
        <v>10354</v>
      </c>
      <c r="NYC18" t="s">
        <v>10355</v>
      </c>
      <c r="NYD18" t="s">
        <v>10356</v>
      </c>
      <c r="NYE18" t="s">
        <v>10357</v>
      </c>
      <c r="NYF18" t="s">
        <v>10358</v>
      </c>
      <c r="NYG18" t="s">
        <v>10359</v>
      </c>
      <c r="NYH18" t="s">
        <v>10360</v>
      </c>
      <c r="NYI18" t="s">
        <v>10361</v>
      </c>
      <c r="NYJ18" t="s">
        <v>10362</v>
      </c>
      <c r="NYK18" t="s">
        <v>10363</v>
      </c>
      <c r="NYL18" t="s">
        <v>10364</v>
      </c>
      <c r="NYM18" t="s">
        <v>10365</v>
      </c>
      <c r="NYN18" t="s">
        <v>10366</v>
      </c>
      <c r="NYO18" t="s">
        <v>10367</v>
      </c>
      <c r="NYP18" t="s">
        <v>10368</v>
      </c>
      <c r="NYQ18" t="s">
        <v>10369</v>
      </c>
      <c r="NYR18" t="s">
        <v>10370</v>
      </c>
      <c r="NYS18" t="s">
        <v>10371</v>
      </c>
      <c r="NYT18" t="s">
        <v>10372</v>
      </c>
      <c r="NYU18" t="s">
        <v>10373</v>
      </c>
      <c r="NYV18" t="s">
        <v>10374</v>
      </c>
      <c r="NYW18" t="s">
        <v>10375</v>
      </c>
      <c r="NYX18" t="s">
        <v>10376</v>
      </c>
      <c r="NYY18" t="s">
        <v>10377</v>
      </c>
      <c r="NYZ18" t="s">
        <v>10378</v>
      </c>
      <c r="NZA18" t="s">
        <v>10379</v>
      </c>
      <c r="NZB18" t="s">
        <v>10380</v>
      </c>
      <c r="NZC18" t="s">
        <v>10381</v>
      </c>
      <c r="NZD18" t="s">
        <v>10382</v>
      </c>
      <c r="NZE18" t="s">
        <v>10383</v>
      </c>
      <c r="NZF18" t="s">
        <v>10384</v>
      </c>
      <c r="NZG18" t="s">
        <v>10385</v>
      </c>
      <c r="NZH18" t="s">
        <v>10386</v>
      </c>
      <c r="NZI18" t="s">
        <v>10387</v>
      </c>
      <c r="NZJ18" t="s">
        <v>10388</v>
      </c>
      <c r="NZK18" t="s">
        <v>10389</v>
      </c>
      <c r="NZL18" t="s">
        <v>10390</v>
      </c>
      <c r="NZM18" t="s">
        <v>10391</v>
      </c>
      <c r="NZN18" t="s">
        <v>10392</v>
      </c>
      <c r="NZO18" t="s">
        <v>10393</v>
      </c>
      <c r="NZP18" t="s">
        <v>10394</v>
      </c>
      <c r="NZQ18" t="s">
        <v>10395</v>
      </c>
      <c r="NZR18" t="s">
        <v>10396</v>
      </c>
      <c r="NZS18" t="s">
        <v>10397</v>
      </c>
      <c r="NZT18" t="s">
        <v>10398</v>
      </c>
      <c r="NZU18" t="s">
        <v>10399</v>
      </c>
      <c r="NZV18" t="s">
        <v>10400</v>
      </c>
      <c r="NZW18" t="s">
        <v>10401</v>
      </c>
      <c r="NZX18" t="s">
        <v>10402</v>
      </c>
      <c r="NZY18" t="s">
        <v>10403</v>
      </c>
      <c r="NZZ18" t="s">
        <v>10404</v>
      </c>
      <c r="OAA18" t="s">
        <v>10405</v>
      </c>
      <c r="OAB18" t="s">
        <v>10406</v>
      </c>
      <c r="OAC18" t="s">
        <v>10407</v>
      </c>
      <c r="OAD18" t="s">
        <v>10408</v>
      </c>
      <c r="OAE18" t="s">
        <v>10409</v>
      </c>
      <c r="OAF18" t="s">
        <v>10410</v>
      </c>
      <c r="OAG18" t="s">
        <v>10411</v>
      </c>
      <c r="OAH18" t="s">
        <v>10412</v>
      </c>
      <c r="OAI18" t="s">
        <v>10413</v>
      </c>
      <c r="OAJ18" t="s">
        <v>10414</v>
      </c>
      <c r="OAK18" t="s">
        <v>10415</v>
      </c>
      <c r="OAL18" t="s">
        <v>10416</v>
      </c>
      <c r="OAM18" t="s">
        <v>10417</v>
      </c>
      <c r="OAN18" t="s">
        <v>10418</v>
      </c>
      <c r="OAO18" t="s">
        <v>10419</v>
      </c>
      <c r="OAP18" t="s">
        <v>10420</v>
      </c>
      <c r="OAQ18" t="s">
        <v>10421</v>
      </c>
      <c r="OAR18" t="s">
        <v>10422</v>
      </c>
      <c r="OAS18" t="s">
        <v>10423</v>
      </c>
      <c r="OAT18" t="s">
        <v>10424</v>
      </c>
      <c r="OAU18" t="s">
        <v>10425</v>
      </c>
      <c r="OAV18" t="s">
        <v>10426</v>
      </c>
      <c r="OAW18" t="s">
        <v>10427</v>
      </c>
      <c r="OAX18" t="s">
        <v>10428</v>
      </c>
      <c r="OAY18" t="s">
        <v>10429</v>
      </c>
      <c r="OAZ18" t="s">
        <v>10430</v>
      </c>
      <c r="OBA18" t="s">
        <v>10431</v>
      </c>
      <c r="OBB18" t="s">
        <v>10432</v>
      </c>
      <c r="OBC18" t="s">
        <v>10433</v>
      </c>
      <c r="OBD18" t="s">
        <v>10434</v>
      </c>
      <c r="OBE18" t="s">
        <v>10435</v>
      </c>
      <c r="OBF18" t="s">
        <v>10436</v>
      </c>
      <c r="OBG18" t="s">
        <v>10437</v>
      </c>
      <c r="OBH18" t="s">
        <v>10438</v>
      </c>
      <c r="OBI18" t="s">
        <v>10439</v>
      </c>
      <c r="OBJ18" t="s">
        <v>10440</v>
      </c>
      <c r="OBK18" t="s">
        <v>10441</v>
      </c>
      <c r="OBL18" t="s">
        <v>10442</v>
      </c>
      <c r="OBM18" t="s">
        <v>10443</v>
      </c>
      <c r="OBN18" t="s">
        <v>10444</v>
      </c>
      <c r="OBO18" t="s">
        <v>10445</v>
      </c>
      <c r="OBP18" t="s">
        <v>10446</v>
      </c>
      <c r="OBQ18" t="s">
        <v>10447</v>
      </c>
      <c r="OBR18" t="s">
        <v>10448</v>
      </c>
      <c r="OBS18" t="s">
        <v>10449</v>
      </c>
      <c r="OBT18" t="s">
        <v>10450</v>
      </c>
      <c r="OBU18" t="s">
        <v>10451</v>
      </c>
      <c r="OBV18" t="s">
        <v>10452</v>
      </c>
      <c r="OBW18" t="s">
        <v>10453</v>
      </c>
      <c r="OBX18" t="s">
        <v>10454</v>
      </c>
      <c r="OBY18" t="s">
        <v>10455</v>
      </c>
      <c r="OBZ18" t="s">
        <v>10456</v>
      </c>
      <c r="OCA18" t="s">
        <v>10457</v>
      </c>
      <c r="OCB18" t="s">
        <v>10458</v>
      </c>
      <c r="OCC18" t="s">
        <v>10459</v>
      </c>
      <c r="OCD18" t="s">
        <v>10460</v>
      </c>
      <c r="OCE18" t="s">
        <v>10461</v>
      </c>
      <c r="OCF18" t="s">
        <v>10462</v>
      </c>
      <c r="OCG18" t="s">
        <v>10463</v>
      </c>
      <c r="OCH18" t="s">
        <v>10464</v>
      </c>
      <c r="OCI18" t="s">
        <v>10465</v>
      </c>
      <c r="OCJ18" t="s">
        <v>10466</v>
      </c>
      <c r="OCK18" t="s">
        <v>10467</v>
      </c>
      <c r="OCL18" t="s">
        <v>10468</v>
      </c>
      <c r="OCM18" t="s">
        <v>10469</v>
      </c>
      <c r="OCN18" t="s">
        <v>10470</v>
      </c>
      <c r="OCO18" t="s">
        <v>10471</v>
      </c>
      <c r="OCP18" t="s">
        <v>10472</v>
      </c>
      <c r="OCQ18" t="s">
        <v>10473</v>
      </c>
      <c r="OCR18" t="s">
        <v>10474</v>
      </c>
      <c r="OCS18" t="s">
        <v>10475</v>
      </c>
      <c r="OCT18" t="s">
        <v>10476</v>
      </c>
      <c r="OCU18" t="s">
        <v>10477</v>
      </c>
      <c r="OCV18" t="s">
        <v>10478</v>
      </c>
      <c r="OCW18" t="s">
        <v>10479</v>
      </c>
      <c r="OCX18" t="s">
        <v>10480</v>
      </c>
      <c r="OCY18" t="s">
        <v>10481</v>
      </c>
      <c r="OCZ18" t="s">
        <v>10482</v>
      </c>
      <c r="ODA18" t="s">
        <v>10483</v>
      </c>
      <c r="ODB18" t="s">
        <v>10484</v>
      </c>
      <c r="ODC18" t="s">
        <v>10485</v>
      </c>
      <c r="ODD18" t="s">
        <v>10486</v>
      </c>
      <c r="ODE18" t="s">
        <v>10487</v>
      </c>
      <c r="ODF18" t="s">
        <v>10488</v>
      </c>
      <c r="ODG18" t="s">
        <v>10489</v>
      </c>
      <c r="ODH18" t="s">
        <v>10490</v>
      </c>
      <c r="ODI18" t="s">
        <v>10491</v>
      </c>
      <c r="ODJ18" t="s">
        <v>10492</v>
      </c>
      <c r="ODK18" t="s">
        <v>10493</v>
      </c>
      <c r="ODL18" t="s">
        <v>10494</v>
      </c>
      <c r="ODM18" t="s">
        <v>10495</v>
      </c>
      <c r="ODN18" t="s">
        <v>10496</v>
      </c>
      <c r="ODO18" t="s">
        <v>10497</v>
      </c>
      <c r="ODP18" t="s">
        <v>10498</v>
      </c>
      <c r="ODQ18" t="s">
        <v>10499</v>
      </c>
      <c r="ODR18" t="s">
        <v>10500</v>
      </c>
      <c r="ODS18" t="s">
        <v>10501</v>
      </c>
      <c r="ODT18" t="s">
        <v>10502</v>
      </c>
      <c r="ODU18" t="s">
        <v>10503</v>
      </c>
      <c r="ODV18" t="s">
        <v>10504</v>
      </c>
      <c r="ODW18" t="s">
        <v>10505</v>
      </c>
      <c r="ODX18" t="s">
        <v>10506</v>
      </c>
      <c r="ODY18" t="s">
        <v>10507</v>
      </c>
      <c r="ODZ18" t="s">
        <v>10508</v>
      </c>
      <c r="OEA18" t="s">
        <v>10509</v>
      </c>
      <c r="OEB18" t="s">
        <v>10510</v>
      </c>
      <c r="OEC18" t="s">
        <v>10511</v>
      </c>
      <c r="OED18" t="s">
        <v>10512</v>
      </c>
      <c r="OEE18" t="s">
        <v>10513</v>
      </c>
      <c r="OEF18" t="s">
        <v>10514</v>
      </c>
      <c r="OEG18" t="s">
        <v>10515</v>
      </c>
      <c r="OEH18" t="s">
        <v>10516</v>
      </c>
      <c r="OEI18" t="s">
        <v>10517</v>
      </c>
      <c r="OEJ18" t="s">
        <v>10518</v>
      </c>
      <c r="OEK18" t="s">
        <v>10519</v>
      </c>
      <c r="OEL18" t="s">
        <v>10520</v>
      </c>
      <c r="OEM18" t="s">
        <v>10521</v>
      </c>
      <c r="OEN18" t="s">
        <v>10522</v>
      </c>
      <c r="OEO18" t="s">
        <v>10523</v>
      </c>
      <c r="OEP18" t="s">
        <v>10524</v>
      </c>
      <c r="OEQ18" t="s">
        <v>10525</v>
      </c>
      <c r="OER18" t="s">
        <v>10526</v>
      </c>
      <c r="OES18" t="s">
        <v>10527</v>
      </c>
      <c r="OET18" t="s">
        <v>10528</v>
      </c>
      <c r="OEU18" t="s">
        <v>10529</v>
      </c>
      <c r="OEV18" t="s">
        <v>10530</v>
      </c>
      <c r="OEW18" t="s">
        <v>10531</v>
      </c>
      <c r="OEX18" t="s">
        <v>10532</v>
      </c>
      <c r="OEY18" t="s">
        <v>10533</v>
      </c>
      <c r="OEZ18" t="s">
        <v>10534</v>
      </c>
      <c r="OFA18" t="s">
        <v>10535</v>
      </c>
      <c r="OFB18" t="s">
        <v>10536</v>
      </c>
      <c r="OFC18" t="s">
        <v>10537</v>
      </c>
      <c r="OFD18" t="s">
        <v>10538</v>
      </c>
      <c r="OFE18" t="s">
        <v>10539</v>
      </c>
      <c r="OFF18" t="s">
        <v>10540</v>
      </c>
      <c r="OFG18" t="s">
        <v>10541</v>
      </c>
      <c r="OFH18" t="s">
        <v>10542</v>
      </c>
      <c r="OFI18" t="s">
        <v>10543</v>
      </c>
      <c r="OFJ18" t="s">
        <v>10544</v>
      </c>
      <c r="OFK18" t="s">
        <v>10545</v>
      </c>
      <c r="OFL18" t="s">
        <v>10546</v>
      </c>
      <c r="OFM18" t="s">
        <v>10547</v>
      </c>
      <c r="OFN18" t="s">
        <v>10548</v>
      </c>
      <c r="OFO18" t="s">
        <v>10549</v>
      </c>
      <c r="OFP18" t="s">
        <v>10550</v>
      </c>
      <c r="OFQ18" t="s">
        <v>10551</v>
      </c>
      <c r="OFR18" t="s">
        <v>10552</v>
      </c>
      <c r="OFS18" t="s">
        <v>10553</v>
      </c>
      <c r="OFT18" t="s">
        <v>10554</v>
      </c>
      <c r="OFU18" t="s">
        <v>10555</v>
      </c>
      <c r="OFV18" t="s">
        <v>10556</v>
      </c>
      <c r="OFW18" t="s">
        <v>10557</v>
      </c>
      <c r="OFX18" t="s">
        <v>10558</v>
      </c>
      <c r="OFY18" t="s">
        <v>10559</v>
      </c>
      <c r="OFZ18" t="s">
        <v>10560</v>
      </c>
      <c r="OGA18" t="s">
        <v>10561</v>
      </c>
      <c r="OGB18" t="s">
        <v>10562</v>
      </c>
      <c r="OGC18" t="s">
        <v>10563</v>
      </c>
      <c r="OGD18" t="s">
        <v>10564</v>
      </c>
      <c r="OGE18" t="s">
        <v>10565</v>
      </c>
      <c r="OGF18" t="s">
        <v>10566</v>
      </c>
      <c r="OGG18" t="s">
        <v>10567</v>
      </c>
      <c r="OGH18" t="s">
        <v>10568</v>
      </c>
      <c r="OGI18" t="s">
        <v>10569</v>
      </c>
      <c r="OGJ18" t="s">
        <v>10570</v>
      </c>
      <c r="OGK18" t="s">
        <v>10571</v>
      </c>
      <c r="OGL18" t="s">
        <v>10572</v>
      </c>
      <c r="OGM18" t="s">
        <v>10573</v>
      </c>
      <c r="OGN18" t="s">
        <v>10574</v>
      </c>
      <c r="OGO18" t="s">
        <v>10575</v>
      </c>
      <c r="OGP18" t="s">
        <v>10576</v>
      </c>
      <c r="OGQ18" t="s">
        <v>10577</v>
      </c>
      <c r="OGR18" t="s">
        <v>10578</v>
      </c>
      <c r="OGS18" t="s">
        <v>10579</v>
      </c>
      <c r="OGT18" t="s">
        <v>10580</v>
      </c>
      <c r="OGU18" t="s">
        <v>10581</v>
      </c>
      <c r="OGV18" t="s">
        <v>10582</v>
      </c>
      <c r="OGW18" t="s">
        <v>10583</v>
      </c>
      <c r="OGX18" t="s">
        <v>10584</v>
      </c>
      <c r="OGY18" t="s">
        <v>10585</v>
      </c>
      <c r="OGZ18" t="s">
        <v>10586</v>
      </c>
      <c r="OHA18" t="s">
        <v>10587</v>
      </c>
      <c r="OHB18" t="s">
        <v>10588</v>
      </c>
      <c r="OHC18" t="s">
        <v>10589</v>
      </c>
      <c r="OHD18" t="s">
        <v>10590</v>
      </c>
      <c r="OHE18" t="s">
        <v>10591</v>
      </c>
      <c r="OHF18" t="s">
        <v>10592</v>
      </c>
      <c r="OHG18" t="s">
        <v>10593</v>
      </c>
      <c r="OHH18" t="s">
        <v>10594</v>
      </c>
      <c r="OHI18" t="s">
        <v>10595</v>
      </c>
      <c r="OHJ18" t="s">
        <v>10596</v>
      </c>
      <c r="OHK18" t="s">
        <v>10597</v>
      </c>
      <c r="OHL18" t="s">
        <v>10598</v>
      </c>
      <c r="OHM18" t="s">
        <v>10599</v>
      </c>
      <c r="OHN18" t="s">
        <v>10600</v>
      </c>
      <c r="OHO18" t="s">
        <v>10601</v>
      </c>
      <c r="OHP18" t="s">
        <v>10602</v>
      </c>
      <c r="OHQ18" t="s">
        <v>10603</v>
      </c>
      <c r="OHR18" t="s">
        <v>10604</v>
      </c>
      <c r="OHS18" t="s">
        <v>10605</v>
      </c>
      <c r="OHT18" t="s">
        <v>10606</v>
      </c>
      <c r="OHU18" t="s">
        <v>10607</v>
      </c>
      <c r="OHV18" t="s">
        <v>10608</v>
      </c>
      <c r="OHW18" t="s">
        <v>10609</v>
      </c>
      <c r="OHX18" t="s">
        <v>10610</v>
      </c>
      <c r="OHY18" t="s">
        <v>10611</v>
      </c>
      <c r="OHZ18" t="s">
        <v>10612</v>
      </c>
      <c r="OIA18" t="s">
        <v>10613</v>
      </c>
      <c r="OIB18" t="s">
        <v>10614</v>
      </c>
      <c r="OIC18" t="s">
        <v>10615</v>
      </c>
      <c r="OID18" t="s">
        <v>10616</v>
      </c>
      <c r="OIE18" t="s">
        <v>10617</v>
      </c>
      <c r="OIF18" t="s">
        <v>10618</v>
      </c>
      <c r="OIG18" t="s">
        <v>10619</v>
      </c>
      <c r="OIH18" t="s">
        <v>10620</v>
      </c>
      <c r="OII18" t="s">
        <v>10621</v>
      </c>
      <c r="OIJ18" t="s">
        <v>10622</v>
      </c>
      <c r="OIK18" t="s">
        <v>10623</v>
      </c>
      <c r="OIL18" t="s">
        <v>10624</v>
      </c>
      <c r="OIM18" t="s">
        <v>10625</v>
      </c>
      <c r="OIN18" t="s">
        <v>10626</v>
      </c>
      <c r="OIO18" t="s">
        <v>10627</v>
      </c>
      <c r="OIP18" t="s">
        <v>10628</v>
      </c>
      <c r="OIQ18" t="s">
        <v>10629</v>
      </c>
      <c r="OIR18" t="s">
        <v>10630</v>
      </c>
      <c r="OIS18" t="s">
        <v>10631</v>
      </c>
      <c r="OIT18" t="s">
        <v>10632</v>
      </c>
      <c r="OIU18" t="s">
        <v>10633</v>
      </c>
      <c r="OIV18" t="s">
        <v>10634</v>
      </c>
      <c r="OIW18" t="s">
        <v>10635</v>
      </c>
      <c r="OIX18" t="s">
        <v>10636</v>
      </c>
      <c r="OIY18" t="s">
        <v>10637</v>
      </c>
      <c r="OIZ18" t="s">
        <v>10638</v>
      </c>
      <c r="OJA18" t="s">
        <v>10639</v>
      </c>
      <c r="OJB18" t="s">
        <v>10640</v>
      </c>
      <c r="OJC18" t="s">
        <v>10641</v>
      </c>
      <c r="OJD18" t="s">
        <v>10642</v>
      </c>
      <c r="OJE18" t="s">
        <v>10643</v>
      </c>
      <c r="OJF18" t="s">
        <v>10644</v>
      </c>
      <c r="OJG18" t="s">
        <v>10645</v>
      </c>
      <c r="OJH18" t="s">
        <v>10646</v>
      </c>
      <c r="OJI18" t="s">
        <v>10647</v>
      </c>
      <c r="OJJ18" t="s">
        <v>10648</v>
      </c>
      <c r="OJK18" t="s">
        <v>10649</v>
      </c>
      <c r="OJL18" t="s">
        <v>10650</v>
      </c>
      <c r="OJM18" t="s">
        <v>10651</v>
      </c>
      <c r="OJN18" t="s">
        <v>10652</v>
      </c>
      <c r="OJO18" t="s">
        <v>10653</v>
      </c>
      <c r="OJP18" t="s">
        <v>10654</v>
      </c>
      <c r="OJQ18" t="s">
        <v>10655</v>
      </c>
      <c r="OJR18" t="s">
        <v>10656</v>
      </c>
      <c r="OJS18" t="s">
        <v>10657</v>
      </c>
      <c r="OJT18" t="s">
        <v>10658</v>
      </c>
      <c r="OJU18" t="s">
        <v>10659</v>
      </c>
      <c r="OJV18" t="s">
        <v>10660</v>
      </c>
      <c r="OJW18" t="s">
        <v>10661</v>
      </c>
      <c r="OJX18" t="s">
        <v>10662</v>
      </c>
      <c r="OJY18" t="s">
        <v>10663</v>
      </c>
      <c r="OJZ18" t="s">
        <v>10664</v>
      </c>
      <c r="OKA18" t="s">
        <v>10665</v>
      </c>
      <c r="OKB18" t="s">
        <v>10666</v>
      </c>
      <c r="OKC18" t="s">
        <v>10667</v>
      </c>
      <c r="OKD18" t="s">
        <v>10668</v>
      </c>
      <c r="OKE18" t="s">
        <v>10669</v>
      </c>
      <c r="OKF18" t="s">
        <v>10670</v>
      </c>
      <c r="OKG18" t="s">
        <v>10671</v>
      </c>
      <c r="OKH18" t="s">
        <v>10672</v>
      </c>
      <c r="OKI18" t="s">
        <v>10673</v>
      </c>
      <c r="OKJ18" t="s">
        <v>10674</v>
      </c>
      <c r="OKK18" t="s">
        <v>10675</v>
      </c>
      <c r="OKL18" t="s">
        <v>10676</v>
      </c>
      <c r="OKM18" t="s">
        <v>10677</v>
      </c>
      <c r="OKN18" t="s">
        <v>10678</v>
      </c>
      <c r="OKO18" t="s">
        <v>10679</v>
      </c>
      <c r="OKP18" t="s">
        <v>10680</v>
      </c>
      <c r="OKQ18" t="s">
        <v>10681</v>
      </c>
      <c r="OKR18" t="s">
        <v>10682</v>
      </c>
      <c r="OKS18" t="s">
        <v>10683</v>
      </c>
      <c r="OKT18" t="s">
        <v>10684</v>
      </c>
      <c r="OKU18" t="s">
        <v>10685</v>
      </c>
      <c r="OKV18" t="s">
        <v>10686</v>
      </c>
      <c r="OKW18" t="s">
        <v>10687</v>
      </c>
      <c r="OKX18" t="s">
        <v>10688</v>
      </c>
      <c r="OKY18" t="s">
        <v>10689</v>
      </c>
      <c r="OKZ18" t="s">
        <v>10690</v>
      </c>
      <c r="OLA18" t="s">
        <v>10691</v>
      </c>
      <c r="OLB18" t="s">
        <v>10692</v>
      </c>
      <c r="OLC18" t="s">
        <v>10693</v>
      </c>
      <c r="OLD18" t="s">
        <v>10694</v>
      </c>
      <c r="OLE18" t="s">
        <v>10695</v>
      </c>
      <c r="OLF18" t="s">
        <v>10696</v>
      </c>
      <c r="OLG18" t="s">
        <v>10697</v>
      </c>
      <c r="OLH18" t="s">
        <v>10698</v>
      </c>
      <c r="OLI18" t="s">
        <v>10699</v>
      </c>
      <c r="OLJ18" t="s">
        <v>10700</v>
      </c>
      <c r="OLK18" t="s">
        <v>10701</v>
      </c>
      <c r="OLL18" t="s">
        <v>10702</v>
      </c>
      <c r="OLM18" t="s">
        <v>10703</v>
      </c>
      <c r="OLN18" t="s">
        <v>10704</v>
      </c>
      <c r="OLO18" t="s">
        <v>10705</v>
      </c>
      <c r="OLP18" t="s">
        <v>10706</v>
      </c>
      <c r="OLQ18" t="s">
        <v>10707</v>
      </c>
      <c r="OLR18" t="s">
        <v>10708</v>
      </c>
      <c r="OLS18" t="s">
        <v>10709</v>
      </c>
      <c r="OLT18" t="s">
        <v>10710</v>
      </c>
      <c r="OLU18" t="s">
        <v>10711</v>
      </c>
      <c r="OLV18" t="s">
        <v>10712</v>
      </c>
      <c r="OLW18" t="s">
        <v>10713</v>
      </c>
      <c r="OLX18" t="s">
        <v>10714</v>
      </c>
      <c r="OLY18" t="s">
        <v>10715</v>
      </c>
      <c r="OLZ18" t="s">
        <v>10716</v>
      </c>
      <c r="OMA18" t="s">
        <v>10717</v>
      </c>
      <c r="OMB18" t="s">
        <v>10718</v>
      </c>
      <c r="OMC18" t="s">
        <v>10719</v>
      </c>
      <c r="OMD18" t="s">
        <v>10720</v>
      </c>
      <c r="OME18" t="s">
        <v>10721</v>
      </c>
      <c r="OMF18" t="s">
        <v>10722</v>
      </c>
      <c r="OMG18" t="s">
        <v>10723</v>
      </c>
      <c r="OMH18" t="s">
        <v>10724</v>
      </c>
      <c r="OMI18" t="s">
        <v>10725</v>
      </c>
      <c r="OMJ18" t="s">
        <v>10726</v>
      </c>
      <c r="OMK18" t="s">
        <v>10727</v>
      </c>
      <c r="OML18" t="s">
        <v>10728</v>
      </c>
      <c r="OMM18" t="s">
        <v>10729</v>
      </c>
      <c r="OMN18" t="s">
        <v>10730</v>
      </c>
      <c r="OMO18" t="s">
        <v>10731</v>
      </c>
      <c r="OMP18" t="s">
        <v>10732</v>
      </c>
      <c r="OMQ18" t="s">
        <v>10733</v>
      </c>
      <c r="OMR18" t="s">
        <v>10734</v>
      </c>
      <c r="OMS18" t="s">
        <v>10735</v>
      </c>
      <c r="OMT18" t="s">
        <v>10736</v>
      </c>
      <c r="OMU18" t="s">
        <v>10737</v>
      </c>
      <c r="OMV18" t="s">
        <v>10738</v>
      </c>
      <c r="OMW18" t="s">
        <v>10739</v>
      </c>
      <c r="OMX18" t="s">
        <v>10740</v>
      </c>
      <c r="OMY18" t="s">
        <v>10741</v>
      </c>
      <c r="OMZ18" t="s">
        <v>10742</v>
      </c>
      <c r="ONA18" t="s">
        <v>10743</v>
      </c>
      <c r="ONB18" t="s">
        <v>10744</v>
      </c>
      <c r="ONC18" t="s">
        <v>10745</v>
      </c>
      <c r="OND18" t="s">
        <v>10746</v>
      </c>
      <c r="ONE18" t="s">
        <v>10747</v>
      </c>
      <c r="ONF18" t="s">
        <v>10748</v>
      </c>
      <c r="ONG18" t="s">
        <v>10749</v>
      </c>
      <c r="ONH18" t="s">
        <v>10750</v>
      </c>
      <c r="ONI18" t="s">
        <v>10751</v>
      </c>
      <c r="ONJ18" t="s">
        <v>10752</v>
      </c>
      <c r="ONK18" t="s">
        <v>10753</v>
      </c>
      <c r="ONL18" t="s">
        <v>10754</v>
      </c>
      <c r="ONM18" t="s">
        <v>10755</v>
      </c>
      <c r="ONN18" t="s">
        <v>10756</v>
      </c>
      <c r="ONO18" t="s">
        <v>10757</v>
      </c>
      <c r="ONP18" t="s">
        <v>10758</v>
      </c>
      <c r="ONQ18" t="s">
        <v>10759</v>
      </c>
      <c r="ONR18" t="s">
        <v>10760</v>
      </c>
      <c r="ONS18" t="s">
        <v>10761</v>
      </c>
      <c r="ONT18" t="s">
        <v>10762</v>
      </c>
      <c r="ONU18" t="s">
        <v>10763</v>
      </c>
      <c r="ONV18" t="s">
        <v>10764</v>
      </c>
      <c r="ONW18" t="s">
        <v>10765</v>
      </c>
      <c r="ONX18" t="s">
        <v>10766</v>
      </c>
      <c r="ONY18" t="s">
        <v>10767</v>
      </c>
      <c r="ONZ18" t="s">
        <v>10768</v>
      </c>
      <c r="OOA18" t="s">
        <v>10769</v>
      </c>
      <c r="OOB18" t="s">
        <v>10770</v>
      </c>
      <c r="OOC18" t="s">
        <v>10771</v>
      </c>
      <c r="OOD18" t="s">
        <v>10772</v>
      </c>
      <c r="OOE18" t="s">
        <v>10773</v>
      </c>
      <c r="OOF18" t="s">
        <v>10774</v>
      </c>
      <c r="OOG18" t="s">
        <v>10775</v>
      </c>
      <c r="OOH18" t="s">
        <v>10776</v>
      </c>
      <c r="OOI18" t="s">
        <v>10777</v>
      </c>
      <c r="OOJ18" t="s">
        <v>10778</v>
      </c>
      <c r="OOK18" t="s">
        <v>10779</v>
      </c>
      <c r="OOL18" t="s">
        <v>10780</v>
      </c>
      <c r="OOM18" t="s">
        <v>10781</v>
      </c>
      <c r="OON18" t="s">
        <v>10782</v>
      </c>
      <c r="OOO18" t="s">
        <v>10783</v>
      </c>
      <c r="OOP18" t="s">
        <v>10784</v>
      </c>
      <c r="OOQ18" t="s">
        <v>10785</v>
      </c>
      <c r="OOR18" t="s">
        <v>10786</v>
      </c>
      <c r="OOS18" t="s">
        <v>10787</v>
      </c>
      <c r="OOT18" t="s">
        <v>10788</v>
      </c>
      <c r="OOU18" t="s">
        <v>10789</v>
      </c>
      <c r="OOV18" t="s">
        <v>10790</v>
      </c>
      <c r="OOW18" t="s">
        <v>10791</v>
      </c>
      <c r="OOX18" t="s">
        <v>10792</v>
      </c>
      <c r="OOY18" t="s">
        <v>10793</v>
      </c>
      <c r="OOZ18" t="s">
        <v>10794</v>
      </c>
      <c r="OPA18" t="s">
        <v>10795</v>
      </c>
      <c r="OPB18" t="s">
        <v>10796</v>
      </c>
      <c r="OPC18" t="s">
        <v>10797</v>
      </c>
      <c r="OPD18" t="s">
        <v>10798</v>
      </c>
      <c r="OPE18" t="s">
        <v>10799</v>
      </c>
      <c r="OPF18" t="s">
        <v>10800</v>
      </c>
      <c r="OPG18" t="s">
        <v>10801</v>
      </c>
      <c r="OPH18" t="s">
        <v>10802</v>
      </c>
      <c r="OPI18" t="s">
        <v>10803</v>
      </c>
      <c r="OPJ18" t="s">
        <v>10804</v>
      </c>
      <c r="OPK18" t="s">
        <v>10805</v>
      </c>
      <c r="OPL18" t="s">
        <v>10806</v>
      </c>
      <c r="OPM18" t="s">
        <v>10807</v>
      </c>
      <c r="OPN18" t="s">
        <v>10808</v>
      </c>
      <c r="OPO18" t="s">
        <v>10809</v>
      </c>
      <c r="OPP18" t="s">
        <v>10810</v>
      </c>
      <c r="OPQ18" t="s">
        <v>10811</v>
      </c>
      <c r="OPR18" t="s">
        <v>10812</v>
      </c>
      <c r="OPS18" t="s">
        <v>10813</v>
      </c>
      <c r="OPT18" t="s">
        <v>10814</v>
      </c>
      <c r="OPU18" t="s">
        <v>10815</v>
      </c>
      <c r="OPV18" t="s">
        <v>10816</v>
      </c>
      <c r="OPW18" t="s">
        <v>10817</v>
      </c>
      <c r="OPX18" t="s">
        <v>10818</v>
      </c>
      <c r="OPY18" t="s">
        <v>10819</v>
      </c>
      <c r="OPZ18" t="s">
        <v>10820</v>
      </c>
      <c r="OQA18" t="s">
        <v>10821</v>
      </c>
      <c r="OQB18" t="s">
        <v>10822</v>
      </c>
      <c r="OQC18" t="s">
        <v>10823</v>
      </c>
      <c r="OQD18" t="s">
        <v>10824</v>
      </c>
      <c r="OQE18" t="s">
        <v>10825</v>
      </c>
      <c r="OQF18" t="s">
        <v>10826</v>
      </c>
      <c r="OQG18" t="s">
        <v>10827</v>
      </c>
      <c r="OQH18" t="s">
        <v>10828</v>
      </c>
      <c r="OQI18" t="s">
        <v>10829</v>
      </c>
      <c r="OQJ18" t="s">
        <v>10830</v>
      </c>
      <c r="OQK18" t="s">
        <v>10831</v>
      </c>
      <c r="OQL18" t="s">
        <v>10832</v>
      </c>
      <c r="OQM18" t="s">
        <v>10833</v>
      </c>
      <c r="OQN18" t="s">
        <v>10834</v>
      </c>
      <c r="OQO18" t="s">
        <v>10835</v>
      </c>
      <c r="OQP18" t="s">
        <v>10836</v>
      </c>
      <c r="OQQ18" t="s">
        <v>10837</v>
      </c>
      <c r="OQR18" t="s">
        <v>10838</v>
      </c>
      <c r="OQS18" t="s">
        <v>10839</v>
      </c>
      <c r="OQT18" t="s">
        <v>10840</v>
      </c>
      <c r="OQU18" t="s">
        <v>10841</v>
      </c>
      <c r="OQV18" t="s">
        <v>10842</v>
      </c>
      <c r="OQW18" t="s">
        <v>10843</v>
      </c>
      <c r="OQX18" t="s">
        <v>10844</v>
      </c>
      <c r="OQY18" t="s">
        <v>10845</v>
      </c>
      <c r="OQZ18" t="s">
        <v>10846</v>
      </c>
      <c r="ORA18" t="s">
        <v>10847</v>
      </c>
      <c r="ORB18" t="s">
        <v>10848</v>
      </c>
      <c r="ORC18" t="s">
        <v>10849</v>
      </c>
      <c r="ORD18" t="s">
        <v>10850</v>
      </c>
      <c r="ORE18" t="s">
        <v>10851</v>
      </c>
      <c r="ORF18" t="s">
        <v>10852</v>
      </c>
      <c r="ORG18" t="s">
        <v>10853</v>
      </c>
      <c r="ORH18" t="s">
        <v>10854</v>
      </c>
      <c r="ORI18" t="s">
        <v>10855</v>
      </c>
      <c r="ORJ18" t="s">
        <v>10856</v>
      </c>
      <c r="ORK18" t="s">
        <v>10857</v>
      </c>
      <c r="ORL18" t="s">
        <v>10858</v>
      </c>
      <c r="ORM18" t="s">
        <v>10859</v>
      </c>
      <c r="ORN18" t="s">
        <v>10860</v>
      </c>
      <c r="ORO18" t="s">
        <v>10861</v>
      </c>
      <c r="ORP18" t="s">
        <v>10862</v>
      </c>
      <c r="ORQ18" t="s">
        <v>10863</v>
      </c>
      <c r="ORR18" t="s">
        <v>10864</v>
      </c>
      <c r="ORS18" t="s">
        <v>10865</v>
      </c>
      <c r="ORT18" t="s">
        <v>10866</v>
      </c>
      <c r="ORU18" t="s">
        <v>10867</v>
      </c>
      <c r="ORV18" t="s">
        <v>10868</v>
      </c>
      <c r="ORW18" t="s">
        <v>10869</v>
      </c>
      <c r="ORX18" t="s">
        <v>10870</v>
      </c>
      <c r="ORY18" t="s">
        <v>10871</v>
      </c>
      <c r="ORZ18" t="s">
        <v>10872</v>
      </c>
      <c r="OSA18" t="s">
        <v>10873</v>
      </c>
      <c r="OSB18" t="s">
        <v>10874</v>
      </c>
      <c r="OSC18" t="s">
        <v>10875</v>
      </c>
      <c r="OSD18" t="s">
        <v>10876</v>
      </c>
      <c r="OSE18" t="s">
        <v>10877</v>
      </c>
      <c r="OSF18" t="s">
        <v>10878</v>
      </c>
      <c r="OSG18" t="s">
        <v>10879</v>
      </c>
      <c r="OSH18" t="s">
        <v>10880</v>
      </c>
      <c r="OSI18" t="s">
        <v>10881</v>
      </c>
      <c r="OSJ18" t="s">
        <v>10882</v>
      </c>
      <c r="OSK18" t="s">
        <v>10883</v>
      </c>
      <c r="OSL18" t="s">
        <v>10884</v>
      </c>
      <c r="OSM18" t="s">
        <v>10885</v>
      </c>
      <c r="OSN18" t="s">
        <v>10886</v>
      </c>
      <c r="OSO18" t="s">
        <v>10887</v>
      </c>
      <c r="OSP18" t="s">
        <v>10888</v>
      </c>
      <c r="OSQ18" t="s">
        <v>10889</v>
      </c>
      <c r="OSR18" t="s">
        <v>10890</v>
      </c>
      <c r="OSS18" t="s">
        <v>10891</v>
      </c>
      <c r="OST18" t="s">
        <v>10892</v>
      </c>
      <c r="OSU18" t="s">
        <v>10893</v>
      </c>
      <c r="OSV18" t="s">
        <v>10894</v>
      </c>
      <c r="OSW18" t="s">
        <v>10895</v>
      </c>
      <c r="OSX18" t="s">
        <v>10896</v>
      </c>
      <c r="OSY18" t="s">
        <v>10897</v>
      </c>
      <c r="OSZ18" t="s">
        <v>10898</v>
      </c>
      <c r="OTA18" t="s">
        <v>10899</v>
      </c>
      <c r="OTB18" t="s">
        <v>10900</v>
      </c>
      <c r="OTC18" t="s">
        <v>10901</v>
      </c>
      <c r="OTD18" t="s">
        <v>10902</v>
      </c>
      <c r="OTE18" t="s">
        <v>10903</v>
      </c>
      <c r="OTF18" t="s">
        <v>10904</v>
      </c>
      <c r="OTG18" t="s">
        <v>10905</v>
      </c>
      <c r="OTH18" t="s">
        <v>10906</v>
      </c>
      <c r="OTI18" t="s">
        <v>10907</v>
      </c>
      <c r="OTJ18" t="s">
        <v>10908</v>
      </c>
      <c r="OTK18" t="s">
        <v>10909</v>
      </c>
      <c r="OTL18" t="s">
        <v>10910</v>
      </c>
      <c r="OTM18" t="s">
        <v>10911</v>
      </c>
      <c r="OTN18" t="s">
        <v>10912</v>
      </c>
      <c r="OTO18" t="s">
        <v>10913</v>
      </c>
      <c r="OTP18" t="s">
        <v>10914</v>
      </c>
      <c r="OTQ18" t="s">
        <v>10915</v>
      </c>
      <c r="OTR18" t="s">
        <v>10916</v>
      </c>
      <c r="OTS18" t="s">
        <v>10917</v>
      </c>
      <c r="OTT18" t="s">
        <v>10918</v>
      </c>
      <c r="OTU18" t="s">
        <v>10919</v>
      </c>
      <c r="OTV18" t="s">
        <v>10920</v>
      </c>
      <c r="OTW18" t="s">
        <v>10921</v>
      </c>
      <c r="OTX18" t="s">
        <v>10922</v>
      </c>
      <c r="OTY18" t="s">
        <v>10923</v>
      </c>
      <c r="OTZ18" t="s">
        <v>10924</v>
      </c>
      <c r="OUA18" t="s">
        <v>10925</v>
      </c>
      <c r="OUB18" t="s">
        <v>10926</v>
      </c>
      <c r="OUC18" t="s">
        <v>10927</v>
      </c>
      <c r="OUD18" t="s">
        <v>10928</v>
      </c>
      <c r="OUE18" t="s">
        <v>10929</v>
      </c>
      <c r="OUF18" t="s">
        <v>10930</v>
      </c>
      <c r="OUG18" t="s">
        <v>10931</v>
      </c>
      <c r="OUH18" t="s">
        <v>10932</v>
      </c>
      <c r="OUI18" t="s">
        <v>10933</v>
      </c>
      <c r="OUJ18" t="s">
        <v>10934</v>
      </c>
      <c r="OUK18" t="s">
        <v>10935</v>
      </c>
      <c r="OUL18" t="s">
        <v>10936</v>
      </c>
      <c r="OUM18" t="s">
        <v>10937</v>
      </c>
      <c r="OUN18" t="s">
        <v>10938</v>
      </c>
      <c r="OUO18" t="s">
        <v>10939</v>
      </c>
      <c r="OUP18" t="s">
        <v>10940</v>
      </c>
      <c r="OUQ18" t="s">
        <v>10941</v>
      </c>
      <c r="OUR18" t="s">
        <v>10942</v>
      </c>
      <c r="OUS18" t="s">
        <v>10943</v>
      </c>
      <c r="OUT18" t="s">
        <v>10944</v>
      </c>
      <c r="OUU18" t="s">
        <v>10945</v>
      </c>
      <c r="OUV18" t="s">
        <v>10946</v>
      </c>
      <c r="OUW18" t="s">
        <v>10947</v>
      </c>
      <c r="OUX18" t="s">
        <v>10948</v>
      </c>
      <c r="OUY18" t="s">
        <v>10949</v>
      </c>
      <c r="OUZ18" t="s">
        <v>10950</v>
      </c>
      <c r="OVA18" t="s">
        <v>10951</v>
      </c>
      <c r="OVB18" t="s">
        <v>10952</v>
      </c>
      <c r="OVC18" t="s">
        <v>10953</v>
      </c>
      <c r="OVD18" t="s">
        <v>10954</v>
      </c>
      <c r="OVE18" t="s">
        <v>10955</v>
      </c>
      <c r="OVF18" t="s">
        <v>10956</v>
      </c>
      <c r="OVG18" t="s">
        <v>10957</v>
      </c>
      <c r="OVH18" t="s">
        <v>10958</v>
      </c>
      <c r="OVI18" t="s">
        <v>10959</v>
      </c>
      <c r="OVJ18" t="s">
        <v>10960</v>
      </c>
      <c r="OVK18" t="s">
        <v>10961</v>
      </c>
      <c r="OVL18" t="s">
        <v>10962</v>
      </c>
      <c r="OVM18" t="s">
        <v>10963</v>
      </c>
      <c r="OVN18" t="s">
        <v>10964</v>
      </c>
      <c r="OVO18" t="s">
        <v>10965</v>
      </c>
      <c r="OVP18" t="s">
        <v>10966</v>
      </c>
      <c r="OVQ18" t="s">
        <v>10967</v>
      </c>
      <c r="OVR18" t="s">
        <v>10968</v>
      </c>
      <c r="OVS18" t="s">
        <v>10969</v>
      </c>
      <c r="OVT18" t="s">
        <v>10970</v>
      </c>
      <c r="OVU18" t="s">
        <v>10971</v>
      </c>
      <c r="OVV18" t="s">
        <v>10972</v>
      </c>
      <c r="OVW18" t="s">
        <v>10973</v>
      </c>
      <c r="OVX18" t="s">
        <v>10974</v>
      </c>
      <c r="OVY18" t="s">
        <v>10975</v>
      </c>
      <c r="OVZ18" t="s">
        <v>10976</v>
      </c>
      <c r="OWA18" t="s">
        <v>10977</v>
      </c>
      <c r="OWB18" t="s">
        <v>10978</v>
      </c>
      <c r="OWC18" t="s">
        <v>10979</v>
      </c>
      <c r="OWD18" t="s">
        <v>10980</v>
      </c>
      <c r="OWE18" t="s">
        <v>10981</v>
      </c>
      <c r="OWF18" t="s">
        <v>10982</v>
      </c>
      <c r="OWG18" t="s">
        <v>10983</v>
      </c>
      <c r="OWH18" t="s">
        <v>10984</v>
      </c>
      <c r="OWI18" t="s">
        <v>10985</v>
      </c>
      <c r="OWJ18" t="s">
        <v>10986</v>
      </c>
      <c r="OWK18" t="s">
        <v>10987</v>
      </c>
      <c r="OWL18" t="s">
        <v>10988</v>
      </c>
      <c r="OWM18" t="s">
        <v>10989</v>
      </c>
      <c r="OWN18" t="s">
        <v>10990</v>
      </c>
      <c r="OWO18" t="s">
        <v>10991</v>
      </c>
      <c r="OWP18" t="s">
        <v>10992</v>
      </c>
      <c r="OWQ18" t="s">
        <v>10993</v>
      </c>
      <c r="OWR18" t="s">
        <v>10994</v>
      </c>
      <c r="OWS18" t="s">
        <v>10995</v>
      </c>
      <c r="OWT18" t="s">
        <v>10996</v>
      </c>
      <c r="OWU18" t="s">
        <v>10997</v>
      </c>
      <c r="OWV18" t="s">
        <v>10998</v>
      </c>
      <c r="OWW18" t="s">
        <v>10999</v>
      </c>
      <c r="OWX18" t="s">
        <v>11000</v>
      </c>
      <c r="OWY18" t="s">
        <v>11001</v>
      </c>
      <c r="OWZ18" t="s">
        <v>11002</v>
      </c>
      <c r="OXA18" t="s">
        <v>11003</v>
      </c>
      <c r="OXB18" t="s">
        <v>11004</v>
      </c>
      <c r="OXC18" t="s">
        <v>11005</v>
      </c>
      <c r="OXD18" t="s">
        <v>11006</v>
      </c>
      <c r="OXE18" t="s">
        <v>11007</v>
      </c>
      <c r="OXF18" t="s">
        <v>11008</v>
      </c>
      <c r="OXG18" t="s">
        <v>11009</v>
      </c>
      <c r="OXH18" t="s">
        <v>11010</v>
      </c>
      <c r="OXI18" t="s">
        <v>11011</v>
      </c>
      <c r="OXJ18" t="s">
        <v>11012</v>
      </c>
      <c r="OXK18" t="s">
        <v>11013</v>
      </c>
      <c r="OXL18" t="s">
        <v>11014</v>
      </c>
      <c r="OXM18" t="s">
        <v>11015</v>
      </c>
      <c r="OXN18" t="s">
        <v>11016</v>
      </c>
      <c r="OXO18" t="s">
        <v>11017</v>
      </c>
      <c r="OXP18" t="s">
        <v>11018</v>
      </c>
      <c r="OXQ18" t="s">
        <v>11019</v>
      </c>
      <c r="OXR18" t="s">
        <v>11020</v>
      </c>
      <c r="OXS18" t="s">
        <v>11021</v>
      </c>
      <c r="OXT18" t="s">
        <v>11022</v>
      </c>
      <c r="OXU18" t="s">
        <v>11023</v>
      </c>
      <c r="OXV18" t="s">
        <v>11024</v>
      </c>
      <c r="OXW18" t="s">
        <v>11025</v>
      </c>
      <c r="OXX18" t="s">
        <v>11026</v>
      </c>
      <c r="OXY18" t="s">
        <v>11027</v>
      </c>
      <c r="OXZ18" t="s">
        <v>11028</v>
      </c>
      <c r="OYA18" t="s">
        <v>11029</v>
      </c>
      <c r="OYB18" t="s">
        <v>11030</v>
      </c>
      <c r="OYC18" t="s">
        <v>11031</v>
      </c>
      <c r="OYD18" t="s">
        <v>11032</v>
      </c>
      <c r="OYE18" t="s">
        <v>11033</v>
      </c>
      <c r="OYF18" t="s">
        <v>11034</v>
      </c>
      <c r="OYG18" t="s">
        <v>11035</v>
      </c>
      <c r="OYH18" t="s">
        <v>11036</v>
      </c>
      <c r="OYI18" t="s">
        <v>11037</v>
      </c>
      <c r="OYJ18" t="s">
        <v>11038</v>
      </c>
      <c r="OYK18" t="s">
        <v>11039</v>
      </c>
      <c r="OYL18" t="s">
        <v>11040</v>
      </c>
      <c r="OYM18" t="s">
        <v>11041</v>
      </c>
      <c r="OYN18" t="s">
        <v>11042</v>
      </c>
      <c r="OYO18" t="s">
        <v>11043</v>
      </c>
      <c r="OYP18" t="s">
        <v>11044</v>
      </c>
      <c r="OYQ18" t="s">
        <v>11045</v>
      </c>
      <c r="OYR18" t="s">
        <v>11046</v>
      </c>
      <c r="OYS18" t="s">
        <v>11047</v>
      </c>
      <c r="OYT18" t="s">
        <v>11048</v>
      </c>
      <c r="OYU18" t="s">
        <v>11049</v>
      </c>
      <c r="OYV18" t="s">
        <v>11050</v>
      </c>
      <c r="OYW18" t="s">
        <v>11051</v>
      </c>
      <c r="OYX18" t="s">
        <v>11052</v>
      </c>
      <c r="OYY18" t="s">
        <v>11053</v>
      </c>
      <c r="OYZ18" t="s">
        <v>11054</v>
      </c>
      <c r="OZA18" t="s">
        <v>11055</v>
      </c>
      <c r="OZB18" t="s">
        <v>11056</v>
      </c>
      <c r="OZC18" t="s">
        <v>11057</v>
      </c>
      <c r="OZD18" t="s">
        <v>11058</v>
      </c>
      <c r="OZE18" t="s">
        <v>11059</v>
      </c>
      <c r="OZF18" t="s">
        <v>11060</v>
      </c>
      <c r="OZG18" t="s">
        <v>11061</v>
      </c>
      <c r="OZH18" t="s">
        <v>11062</v>
      </c>
      <c r="OZI18" t="s">
        <v>11063</v>
      </c>
      <c r="OZJ18" t="s">
        <v>11064</v>
      </c>
      <c r="OZK18" t="s">
        <v>11065</v>
      </c>
      <c r="OZL18" t="s">
        <v>11066</v>
      </c>
      <c r="OZM18" t="s">
        <v>11067</v>
      </c>
      <c r="OZN18" t="s">
        <v>11068</v>
      </c>
      <c r="OZO18" t="s">
        <v>11069</v>
      </c>
      <c r="OZP18" t="s">
        <v>11070</v>
      </c>
      <c r="OZQ18" t="s">
        <v>11071</v>
      </c>
      <c r="OZR18" t="s">
        <v>11072</v>
      </c>
      <c r="OZS18" t="s">
        <v>11073</v>
      </c>
      <c r="OZT18" t="s">
        <v>11074</v>
      </c>
      <c r="OZU18" t="s">
        <v>11075</v>
      </c>
      <c r="OZV18" t="s">
        <v>11076</v>
      </c>
      <c r="OZW18" t="s">
        <v>11077</v>
      </c>
      <c r="OZX18" t="s">
        <v>11078</v>
      </c>
      <c r="OZY18" t="s">
        <v>11079</v>
      </c>
      <c r="OZZ18" t="s">
        <v>11080</v>
      </c>
      <c r="PAA18" t="s">
        <v>11081</v>
      </c>
      <c r="PAB18" t="s">
        <v>11082</v>
      </c>
      <c r="PAC18" t="s">
        <v>11083</v>
      </c>
      <c r="PAD18" t="s">
        <v>11084</v>
      </c>
      <c r="PAE18" t="s">
        <v>11085</v>
      </c>
      <c r="PAF18" t="s">
        <v>11086</v>
      </c>
      <c r="PAG18" t="s">
        <v>11087</v>
      </c>
      <c r="PAH18" t="s">
        <v>11088</v>
      </c>
      <c r="PAI18" t="s">
        <v>11089</v>
      </c>
      <c r="PAJ18" t="s">
        <v>11090</v>
      </c>
      <c r="PAK18" t="s">
        <v>11091</v>
      </c>
      <c r="PAL18" t="s">
        <v>11092</v>
      </c>
      <c r="PAM18" t="s">
        <v>11093</v>
      </c>
      <c r="PAN18" t="s">
        <v>11094</v>
      </c>
      <c r="PAO18" t="s">
        <v>11095</v>
      </c>
      <c r="PAP18" t="s">
        <v>11096</v>
      </c>
      <c r="PAQ18" t="s">
        <v>11097</v>
      </c>
      <c r="PAR18" t="s">
        <v>11098</v>
      </c>
      <c r="PAS18" t="s">
        <v>11099</v>
      </c>
      <c r="PAT18" t="s">
        <v>11100</v>
      </c>
      <c r="PAU18" t="s">
        <v>11101</v>
      </c>
      <c r="PAV18" t="s">
        <v>11102</v>
      </c>
      <c r="PAW18" t="s">
        <v>11103</v>
      </c>
      <c r="PAX18" t="s">
        <v>11104</v>
      </c>
      <c r="PAY18" t="s">
        <v>11105</v>
      </c>
      <c r="PAZ18" t="s">
        <v>11106</v>
      </c>
      <c r="PBA18" t="s">
        <v>11107</v>
      </c>
      <c r="PBB18" t="s">
        <v>11108</v>
      </c>
      <c r="PBC18" t="s">
        <v>11109</v>
      </c>
      <c r="PBD18" t="s">
        <v>11110</v>
      </c>
      <c r="PBE18" t="s">
        <v>11111</v>
      </c>
      <c r="PBF18" t="s">
        <v>11112</v>
      </c>
      <c r="PBG18" t="s">
        <v>11113</v>
      </c>
      <c r="PBH18" t="s">
        <v>11114</v>
      </c>
      <c r="PBI18" t="s">
        <v>11115</v>
      </c>
      <c r="PBJ18" t="s">
        <v>11116</v>
      </c>
      <c r="PBK18" t="s">
        <v>11117</v>
      </c>
      <c r="PBL18" t="s">
        <v>11118</v>
      </c>
      <c r="PBM18" t="s">
        <v>11119</v>
      </c>
      <c r="PBN18" t="s">
        <v>11120</v>
      </c>
      <c r="PBO18" t="s">
        <v>11121</v>
      </c>
      <c r="PBP18" t="s">
        <v>11122</v>
      </c>
      <c r="PBQ18" t="s">
        <v>11123</v>
      </c>
      <c r="PBR18" t="s">
        <v>11124</v>
      </c>
      <c r="PBS18" t="s">
        <v>11125</v>
      </c>
      <c r="PBT18" t="s">
        <v>11126</v>
      </c>
      <c r="PBU18" t="s">
        <v>11127</v>
      </c>
      <c r="PBV18" t="s">
        <v>11128</v>
      </c>
      <c r="PBW18" t="s">
        <v>11129</v>
      </c>
      <c r="PBX18" t="s">
        <v>11130</v>
      </c>
      <c r="PBY18" t="s">
        <v>11131</v>
      </c>
      <c r="PBZ18" t="s">
        <v>11132</v>
      </c>
      <c r="PCA18" t="s">
        <v>11133</v>
      </c>
      <c r="PCB18" t="s">
        <v>11134</v>
      </c>
      <c r="PCC18" t="s">
        <v>11135</v>
      </c>
      <c r="PCD18" t="s">
        <v>11136</v>
      </c>
      <c r="PCE18" t="s">
        <v>11137</v>
      </c>
      <c r="PCF18" t="s">
        <v>11138</v>
      </c>
      <c r="PCG18" t="s">
        <v>11139</v>
      </c>
      <c r="PCH18" t="s">
        <v>11140</v>
      </c>
      <c r="PCI18" t="s">
        <v>11141</v>
      </c>
      <c r="PCJ18" t="s">
        <v>11142</v>
      </c>
      <c r="PCK18" t="s">
        <v>11143</v>
      </c>
      <c r="PCL18" t="s">
        <v>11144</v>
      </c>
      <c r="PCM18" t="s">
        <v>11145</v>
      </c>
      <c r="PCN18" t="s">
        <v>11146</v>
      </c>
      <c r="PCO18" t="s">
        <v>11147</v>
      </c>
      <c r="PCP18" t="s">
        <v>11148</v>
      </c>
      <c r="PCQ18" t="s">
        <v>11149</v>
      </c>
      <c r="PCR18" t="s">
        <v>11150</v>
      </c>
      <c r="PCS18" t="s">
        <v>11151</v>
      </c>
      <c r="PCT18" t="s">
        <v>11152</v>
      </c>
      <c r="PCU18" t="s">
        <v>11153</v>
      </c>
      <c r="PCV18" t="s">
        <v>11154</v>
      </c>
      <c r="PCW18" t="s">
        <v>11155</v>
      </c>
      <c r="PCX18" t="s">
        <v>11156</v>
      </c>
      <c r="PCY18" t="s">
        <v>11157</v>
      </c>
      <c r="PCZ18" t="s">
        <v>11158</v>
      </c>
      <c r="PDA18" t="s">
        <v>11159</v>
      </c>
      <c r="PDB18" t="s">
        <v>11160</v>
      </c>
      <c r="PDC18" t="s">
        <v>11161</v>
      </c>
      <c r="PDD18" t="s">
        <v>11162</v>
      </c>
      <c r="PDE18" t="s">
        <v>11163</v>
      </c>
      <c r="PDF18" t="s">
        <v>11164</v>
      </c>
      <c r="PDG18" t="s">
        <v>11165</v>
      </c>
      <c r="PDH18" t="s">
        <v>11166</v>
      </c>
      <c r="PDI18" t="s">
        <v>11167</v>
      </c>
      <c r="PDJ18" t="s">
        <v>11168</v>
      </c>
      <c r="PDK18" t="s">
        <v>11169</v>
      </c>
      <c r="PDL18" t="s">
        <v>11170</v>
      </c>
      <c r="PDM18" t="s">
        <v>11171</v>
      </c>
      <c r="PDN18" t="s">
        <v>11172</v>
      </c>
      <c r="PDO18" t="s">
        <v>11173</v>
      </c>
      <c r="PDP18" t="s">
        <v>11174</v>
      </c>
      <c r="PDQ18" t="s">
        <v>11175</v>
      </c>
      <c r="PDR18" t="s">
        <v>11176</v>
      </c>
      <c r="PDS18" t="s">
        <v>11177</v>
      </c>
      <c r="PDT18" t="s">
        <v>11178</v>
      </c>
      <c r="PDU18" t="s">
        <v>11179</v>
      </c>
      <c r="PDV18" t="s">
        <v>11180</v>
      </c>
      <c r="PDW18" t="s">
        <v>11181</v>
      </c>
      <c r="PDX18" t="s">
        <v>11182</v>
      </c>
      <c r="PDY18" t="s">
        <v>11183</v>
      </c>
      <c r="PDZ18" t="s">
        <v>11184</v>
      </c>
      <c r="PEA18" t="s">
        <v>11185</v>
      </c>
      <c r="PEB18" t="s">
        <v>11186</v>
      </c>
      <c r="PEC18" t="s">
        <v>11187</v>
      </c>
      <c r="PED18" t="s">
        <v>11188</v>
      </c>
      <c r="PEE18" t="s">
        <v>11189</v>
      </c>
      <c r="PEF18" t="s">
        <v>11190</v>
      </c>
      <c r="PEG18" t="s">
        <v>11191</v>
      </c>
      <c r="PEH18" t="s">
        <v>11192</v>
      </c>
      <c r="PEI18" t="s">
        <v>11193</v>
      </c>
      <c r="PEJ18" t="s">
        <v>11194</v>
      </c>
      <c r="PEK18" t="s">
        <v>11195</v>
      </c>
      <c r="PEL18" t="s">
        <v>11196</v>
      </c>
      <c r="PEM18" t="s">
        <v>11197</v>
      </c>
      <c r="PEN18" t="s">
        <v>11198</v>
      </c>
      <c r="PEO18" t="s">
        <v>11199</v>
      </c>
      <c r="PEP18" t="s">
        <v>11200</v>
      </c>
      <c r="PEQ18" t="s">
        <v>11201</v>
      </c>
      <c r="PER18" t="s">
        <v>11202</v>
      </c>
      <c r="PES18" t="s">
        <v>11203</v>
      </c>
      <c r="PET18" t="s">
        <v>11204</v>
      </c>
      <c r="PEU18" t="s">
        <v>11205</v>
      </c>
      <c r="PEV18" t="s">
        <v>11206</v>
      </c>
      <c r="PEW18" t="s">
        <v>11207</v>
      </c>
      <c r="PEX18" t="s">
        <v>11208</v>
      </c>
      <c r="PEY18" t="s">
        <v>11209</v>
      </c>
      <c r="PEZ18" t="s">
        <v>11210</v>
      </c>
      <c r="PFA18" t="s">
        <v>11211</v>
      </c>
      <c r="PFB18" t="s">
        <v>11212</v>
      </c>
      <c r="PFC18" t="s">
        <v>11213</v>
      </c>
      <c r="PFD18" t="s">
        <v>11214</v>
      </c>
      <c r="PFE18" t="s">
        <v>11215</v>
      </c>
      <c r="PFF18" t="s">
        <v>11216</v>
      </c>
      <c r="PFG18" t="s">
        <v>11217</v>
      </c>
      <c r="PFH18" t="s">
        <v>11218</v>
      </c>
      <c r="PFI18" t="s">
        <v>11219</v>
      </c>
      <c r="PFJ18" t="s">
        <v>11220</v>
      </c>
      <c r="PFK18" t="s">
        <v>11221</v>
      </c>
      <c r="PFL18" t="s">
        <v>11222</v>
      </c>
      <c r="PFM18" t="s">
        <v>11223</v>
      </c>
      <c r="PFN18" t="s">
        <v>11224</v>
      </c>
      <c r="PFO18" t="s">
        <v>11225</v>
      </c>
      <c r="PFP18" t="s">
        <v>11226</v>
      </c>
      <c r="PFQ18" t="s">
        <v>11227</v>
      </c>
      <c r="PFR18" t="s">
        <v>11228</v>
      </c>
      <c r="PFS18" t="s">
        <v>11229</v>
      </c>
      <c r="PFT18" t="s">
        <v>11230</v>
      </c>
      <c r="PFU18" t="s">
        <v>11231</v>
      </c>
      <c r="PFV18" t="s">
        <v>11232</v>
      </c>
      <c r="PFW18" t="s">
        <v>11233</v>
      </c>
      <c r="PFX18" t="s">
        <v>11234</v>
      </c>
      <c r="PFY18" t="s">
        <v>11235</v>
      </c>
      <c r="PFZ18" t="s">
        <v>11236</v>
      </c>
      <c r="PGA18" t="s">
        <v>11237</v>
      </c>
      <c r="PGB18" t="s">
        <v>11238</v>
      </c>
      <c r="PGC18" t="s">
        <v>11239</v>
      </c>
      <c r="PGD18" t="s">
        <v>11240</v>
      </c>
      <c r="PGE18" t="s">
        <v>11241</v>
      </c>
      <c r="PGF18" t="s">
        <v>11242</v>
      </c>
      <c r="PGG18" t="s">
        <v>11243</v>
      </c>
      <c r="PGH18" t="s">
        <v>11244</v>
      </c>
      <c r="PGI18" t="s">
        <v>11245</v>
      </c>
      <c r="PGJ18" t="s">
        <v>11246</v>
      </c>
      <c r="PGK18" t="s">
        <v>11247</v>
      </c>
      <c r="PGL18" t="s">
        <v>11248</v>
      </c>
      <c r="PGM18" t="s">
        <v>11249</v>
      </c>
      <c r="PGN18" t="s">
        <v>11250</v>
      </c>
      <c r="PGO18" t="s">
        <v>11251</v>
      </c>
      <c r="PGP18" t="s">
        <v>11252</v>
      </c>
      <c r="PGQ18" t="s">
        <v>11253</v>
      </c>
      <c r="PGR18" t="s">
        <v>11254</v>
      </c>
      <c r="PGS18" t="s">
        <v>11255</v>
      </c>
      <c r="PGT18" t="s">
        <v>11256</v>
      </c>
      <c r="PGU18" t="s">
        <v>11257</v>
      </c>
      <c r="PGV18" t="s">
        <v>11258</v>
      </c>
      <c r="PGW18" t="s">
        <v>11259</v>
      </c>
      <c r="PGX18" t="s">
        <v>11260</v>
      </c>
      <c r="PGY18" t="s">
        <v>11261</v>
      </c>
      <c r="PGZ18" t="s">
        <v>11262</v>
      </c>
      <c r="PHA18" t="s">
        <v>11263</v>
      </c>
      <c r="PHB18" t="s">
        <v>11264</v>
      </c>
      <c r="PHC18" t="s">
        <v>11265</v>
      </c>
      <c r="PHD18" t="s">
        <v>11266</v>
      </c>
      <c r="PHE18" t="s">
        <v>11267</v>
      </c>
      <c r="PHF18" t="s">
        <v>11268</v>
      </c>
      <c r="PHG18" t="s">
        <v>11269</v>
      </c>
      <c r="PHH18" t="s">
        <v>11270</v>
      </c>
      <c r="PHI18" t="s">
        <v>11271</v>
      </c>
      <c r="PHJ18" t="s">
        <v>11272</v>
      </c>
      <c r="PHK18" t="s">
        <v>11273</v>
      </c>
      <c r="PHL18" t="s">
        <v>11274</v>
      </c>
      <c r="PHM18" t="s">
        <v>11275</v>
      </c>
      <c r="PHN18" t="s">
        <v>11276</v>
      </c>
      <c r="PHO18" t="s">
        <v>11277</v>
      </c>
      <c r="PHP18" t="s">
        <v>11278</v>
      </c>
      <c r="PHQ18" t="s">
        <v>11279</v>
      </c>
      <c r="PHR18" t="s">
        <v>11280</v>
      </c>
      <c r="PHS18" t="s">
        <v>11281</v>
      </c>
      <c r="PHT18" t="s">
        <v>11282</v>
      </c>
      <c r="PHU18" t="s">
        <v>11283</v>
      </c>
      <c r="PHV18" t="s">
        <v>11284</v>
      </c>
      <c r="PHW18" t="s">
        <v>11285</v>
      </c>
      <c r="PHX18" t="s">
        <v>11286</v>
      </c>
      <c r="PHY18" t="s">
        <v>11287</v>
      </c>
      <c r="PHZ18" t="s">
        <v>11288</v>
      </c>
      <c r="PIA18" t="s">
        <v>11289</v>
      </c>
      <c r="PIB18" t="s">
        <v>11290</v>
      </c>
      <c r="PIC18" t="s">
        <v>11291</v>
      </c>
      <c r="PID18" t="s">
        <v>11292</v>
      </c>
      <c r="PIE18" t="s">
        <v>11293</v>
      </c>
      <c r="PIF18" t="s">
        <v>11294</v>
      </c>
      <c r="PIG18" t="s">
        <v>11295</v>
      </c>
      <c r="PIH18" t="s">
        <v>11296</v>
      </c>
      <c r="PII18" t="s">
        <v>11297</v>
      </c>
      <c r="PIJ18" t="s">
        <v>11298</v>
      </c>
      <c r="PIK18" t="s">
        <v>11299</v>
      </c>
      <c r="PIL18" t="s">
        <v>11300</v>
      </c>
      <c r="PIM18" t="s">
        <v>11301</v>
      </c>
      <c r="PIN18" t="s">
        <v>11302</v>
      </c>
      <c r="PIO18" t="s">
        <v>11303</v>
      </c>
      <c r="PIP18" t="s">
        <v>11304</v>
      </c>
      <c r="PIQ18" t="s">
        <v>11305</v>
      </c>
      <c r="PIR18" t="s">
        <v>11306</v>
      </c>
      <c r="PIS18" t="s">
        <v>11307</v>
      </c>
      <c r="PIT18" t="s">
        <v>11308</v>
      </c>
      <c r="PIU18" t="s">
        <v>11309</v>
      </c>
      <c r="PIV18" t="s">
        <v>11310</v>
      </c>
      <c r="PIW18" t="s">
        <v>11311</v>
      </c>
      <c r="PIX18" t="s">
        <v>11312</v>
      </c>
      <c r="PIY18" t="s">
        <v>11313</v>
      </c>
      <c r="PIZ18" t="s">
        <v>11314</v>
      </c>
      <c r="PJA18" t="s">
        <v>11315</v>
      </c>
      <c r="PJB18" t="s">
        <v>11316</v>
      </c>
      <c r="PJC18" t="s">
        <v>11317</v>
      </c>
      <c r="PJD18" t="s">
        <v>11318</v>
      </c>
      <c r="PJE18" t="s">
        <v>11319</v>
      </c>
      <c r="PJF18" t="s">
        <v>11320</v>
      </c>
      <c r="PJG18" t="s">
        <v>11321</v>
      </c>
      <c r="PJH18" t="s">
        <v>11322</v>
      </c>
      <c r="PJI18" t="s">
        <v>11323</v>
      </c>
      <c r="PJJ18" t="s">
        <v>11324</v>
      </c>
      <c r="PJK18" t="s">
        <v>11325</v>
      </c>
      <c r="PJL18" t="s">
        <v>11326</v>
      </c>
      <c r="PJM18" t="s">
        <v>11327</v>
      </c>
      <c r="PJN18" t="s">
        <v>11328</v>
      </c>
      <c r="PJO18" t="s">
        <v>11329</v>
      </c>
      <c r="PJP18" t="s">
        <v>11330</v>
      </c>
      <c r="PJQ18" t="s">
        <v>11331</v>
      </c>
      <c r="PJR18" t="s">
        <v>11332</v>
      </c>
      <c r="PJS18" t="s">
        <v>11333</v>
      </c>
      <c r="PJT18" t="s">
        <v>11334</v>
      </c>
      <c r="PJU18" t="s">
        <v>11335</v>
      </c>
      <c r="PJV18" t="s">
        <v>11336</v>
      </c>
      <c r="PJW18" t="s">
        <v>11337</v>
      </c>
      <c r="PJX18" t="s">
        <v>11338</v>
      </c>
      <c r="PJY18" t="s">
        <v>11339</v>
      </c>
      <c r="PJZ18" t="s">
        <v>11340</v>
      </c>
      <c r="PKA18" t="s">
        <v>11341</v>
      </c>
      <c r="PKB18" t="s">
        <v>11342</v>
      </c>
      <c r="PKC18" t="s">
        <v>11343</v>
      </c>
      <c r="PKD18" t="s">
        <v>11344</v>
      </c>
      <c r="PKE18" t="s">
        <v>11345</v>
      </c>
      <c r="PKF18" t="s">
        <v>11346</v>
      </c>
      <c r="PKG18" t="s">
        <v>11347</v>
      </c>
      <c r="PKH18" t="s">
        <v>11348</v>
      </c>
      <c r="PKI18" t="s">
        <v>11349</v>
      </c>
      <c r="PKJ18" t="s">
        <v>11350</v>
      </c>
      <c r="PKK18" t="s">
        <v>11351</v>
      </c>
      <c r="PKL18" t="s">
        <v>11352</v>
      </c>
      <c r="PKM18" t="s">
        <v>11353</v>
      </c>
      <c r="PKN18" t="s">
        <v>11354</v>
      </c>
      <c r="PKO18" t="s">
        <v>11355</v>
      </c>
      <c r="PKP18" t="s">
        <v>11356</v>
      </c>
      <c r="PKQ18" t="s">
        <v>11357</v>
      </c>
      <c r="PKR18" t="s">
        <v>11358</v>
      </c>
      <c r="PKS18" t="s">
        <v>11359</v>
      </c>
      <c r="PKT18" t="s">
        <v>11360</v>
      </c>
      <c r="PKU18" t="s">
        <v>11361</v>
      </c>
      <c r="PKV18" t="s">
        <v>11362</v>
      </c>
      <c r="PKW18" t="s">
        <v>11363</v>
      </c>
      <c r="PKX18" t="s">
        <v>11364</v>
      </c>
      <c r="PKY18" t="s">
        <v>11365</v>
      </c>
      <c r="PKZ18" t="s">
        <v>11366</v>
      </c>
      <c r="PLA18" t="s">
        <v>11367</v>
      </c>
      <c r="PLB18" t="s">
        <v>11368</v>
      </c>
      <c r="PLC18" t="s">
        <v>11369</v>
      </c>
      <c r="PLD18" t="s">
        <v>11370</v>
      </c>
      <c r="PLE18" t="s">
        <v>11371</v>
      </c>
      <c r="PLF18" t="s">
        <v>11372</v>
      </c>
      <c r="PLG18" t="s">
        <v>11373</v>
      </c>
      <c r="PLH18" t="s">
        <v>11374</v>
      </c>
      <c r="PLI18" t="s">
        <v>11375</v>
      </c>
      <c r="PLJ18" t="s">
        <v>11376</v>
      </c>
      <c r="PLK18" t="s">
        <v>11377</v>
      </c>
      <c r="PLL18" t="s">
        <v>11378</v>
      </c>
      <c r="PLM18" t="s">
        <v>11379</v>
      </c>
      <c r="PLN18" t="s">
        <v>11380</v>
      </c>
      <c r="PLO18" t="s">
        <v>11381</v>
      </c>
      <c r="PLP18" t="s">
        <v>11382</v>
      </c>
      <c r="PLQ18" t="s">
        <v>11383</v>
      </c>
      <c r="PLR18" t="s">
        <v>11384</v>
      </c>
      <c r="PLS18" t="s">
        <v>11385</v>
      </c>
      <c r="PLT18" t="s">
        <v>11386</v>
      </c>
      <c r="PLU18" t="s">
        <v>11387</v>
      </c>
      <c r="PLV18" t="s">
        <v>11388</v>
      </c>
      <c r="PLW18" t="s">
        <v>11389</v>
      </c>
      <c r="PLX18" t="s">
        <v>11390</v>
      </c>
      <c r="PLY18" t="s">
        <v>11391</v>
      </c>
      <c r="PLZ18" t="s">
        <v>11392</v>
      </c>
      <c r="PMA18" t="s">
        <v>11393</v>
      </c>
      <c r="PMB18" t="s">
        <v>11394</v>
      </c>
      <c r="PMC18" t="s">
        <v>11395</v>
      </c>
      <c r="PMD18" t="s">
        <v>11396</v>
      </c>
      <c r="PME18" t="s">
        <v>11397</v>
      </c>
      <c r="PMF18" t="s">
        <v>11398</v>
      </c>
      <c r="PMG18" t="s">
        <v>11399</v>
      </c>
      <c r="PMH18" t="s">
        <v>11400</v>
      </c>
      <c r="PMI18" t="s">
        <v>11401</v>
      </c>
      <c r="PMJ18" t="s">
        <v>11402</v>
      </c>
      <c r="PMK18" t="s">
        <v>11403</v>
      </c>
      <c r="PML18" t="s">
        <v>11404</v>
      </c>
      <c r="PMM18" t="s">
        <v>11405</v>
      </c>
      <c r="PMN18" t="s">
        <v>11406</v>
      </c>
      <c r="PMO18" t="s">
        <v>11407</v>
      </c>
      <c r="PMP18" t="s">
        <v>11408</v>
      </c>
      <c r="PMQ18" t="s">
        <v>11409</v>
      </c>
      <c r="PMR18" t="s">
        <v>11410</v>
      </c>
      <c r="PMS18" t="s">
        <v>11411</v>
      </c>
      <c r="PMT18" t="s">
        <v>11412</v>
      </c>
      <c r="PMU18" t="s">
        <v>11413</v>
      </c>
      <c r="PMV18" t="s">
        <v>11414</v>
      </c>
      <c r="PMW18" t="s">
        <v>11415</v>
      </c>
      <c r="PMX18" t="s">
        <v>11416</v>
      </c>
      <c r="PMY18" t="s">
        <v>11417</v>
      </c>
      <c r="PMZ18" t="s">
        <v>11418</v>
      </c>
      <c r="PNA18" t="s">
        <v>11419</v>
      </c>
      <c r="PNB18" t="s">
        <v>11420</v>
      </c>
      <c r="PNC18" t="s">
        <v>11421</v>
      </c>
      <c r="PND18" t="s">
        <v>11422</v>
      </c>
      <c r="PNE18" t="s">
        <v>11423</v>
      </c>
      <c r="PNF18" t="s">
        <v>11424</v>
      </c>
      <c r="PNG18" t="s">
        <v>11425</v>
      </c>
      <c r="PNH18" t="s">
        <v>11426</v>
      </c>
      <c r="PNI18" t="s">
        <v>11427</v>
      </c>
      <c r="PNJ18" t="s">
        <v>11428</v>
      </c>
      <c r="PNK18" t="s">
        <v>11429</v>
      </c>
      <c r="PNL18" t="s">
        <v>11430</v>
      </c>
      <c r="PNM18" t="s">
        <v>11431</v>
      </c>
      <c r="PNN18" t="s">
        <v>11432</v>
      </c>
      <c r="PNO18" t="s">
        <v>11433</v>
      </c>
      <c r="PNP18" t="s">
        <v>11434</v>
      </c>
      <c r="PNQ18" t="s">
        <v>11435</v>
      </c>
      <c r="PNR18" t="s">
        <v>11436</v>
      </c>
      <c r="PNS18" t="s">
        <v>11437</v>
      </c>
      <c r="PNT18" t="s">
        <v>11438</v>
      </c>
      <c r="PNU18" t="s">
        <v>11439</v>
      </c>
      <c r="PNV18" t="s">
        <v>11440</v>
      </c>
      <c r="PNW18" t="s">
        <v>11441</v>
      </c>
      <c r="PNX18" t="s">
        <v>11442</v>
      </c>
      <c r="PNY18" t="s">
        <v>11443</v>
      </c>
      <c r="PNZ18" t="s">
        <v>11444</v>
      </c>
      <c r="POA18" t="s">
        <v>11445</v>
      </c>
      <c r="POB18" t="s">
        <v>11446</v>
      </c>
      <c r="POC18" t="s">
        <v>11447</v>
      </c>
      <c r="POD18" t="s">
        <v>11448</v>
      </c>
      <c r="POE18" t="s">
        <v>11449</v>
      </c>
      <c r="POF18" t="s">
        <v>11450</v>
      </c>
      <c r="POG18" t="s">
        <v>11451</v>
      </c>
      <c r="POH18" t="s">
        <v>11452</v>
      </c>
      <c r="POI18" t="s">
        <v>11453</v>
      </c>
      <c r="POJ18" t="s">
        <v>11454</v>
      </c>
      <c r="POK18" t="s">
        <v>11455</v>
      </c>
      <c r="POL18" t="s">
        <v>11456</v>
      </c>
      <c r="POM18" t="s">
        <v>11457</v>
      </c>
      <c r="PON18" t="s">
        <v>11458</v>
      </c>
      <c r="POO18" t="s">
        <v>11459</v>
      </c>
      <c r="POP18" t="s">
        <v>11460</v>
      </c>
      <c r="POQ18" t="s">
        <v>11461</v>
      </c>
      <c r="POR18" t="s">
        <v>11462</v>
      </c>
      <c r="POS18" t="s">
        <v>11463</v>
      </c>
      <c r="POT18" t="s">
        <v>11464</v>
      </c>
      <c r="POU18" t="s">
        <v>11465</v>
      </c>
      <c r="POV18" t="s">
        <v>11466</v>
      </c>
      <c r="POW18" t="s">
        <v>11467</v>
      </c>
      <c r="POX18" t="s">
        <v>11468</v>
      </c>
      <c r="POY18" t="s">
        <v>11469</v>
      </c>
      <c r="POZ18" t="s">
        <v>11470</v>
      </c>
      <c r="PPA18" t="s">
        <v>11471</v>
      </c>
      <c r="PPB18" t="s">
        <v>11472</v>
      </c>
      <c r="PPC18" t="s">
        <v>11473</v>
      </c>
      <c r="PPD18" t="s">
        <v>11474</v>
      </c>
      <c r="PPE18" t="s">
        <v>11475</v>
      </c>
      <c r="PPF18" t="s">
        <v>11476</v>
      </c>
      <c r="PPG18" t="s">
        <v>11477</v>
      </c>
      <c r="PPH18" t="s">
        <v>11478</v>
      </c>
      <c r="PPI18" t="s">
        <v>11479</v>
      </c>
      <c r="PPJ18" t="s">
        <v>11480</v>
      </c>
      <c r="PPK18" t="s">
        <v>11481</v>
      </c>
      <c r="PPL18" t="s">
        <v>11482</v>
      </c>
      <c r="PPM18" t="s">
        <v>11483</v>
      </c>
      <c r="PPN18" t="s">
        <v>11484</v>
      </c>
      <c r="PPO18" t="s">
        <v>11485</v>
      </c>
      <c r="PPP18" t="s">
        <v>11486</v>
      </c>
      <c r="PPQ18" t="s">
        <v>11487</v>
      </c>
      <c r="PPR18" t="s">
        <v>11488</v>
      </c>
      <c r="PPS18" t="s">
        <v>11489</v>
      </c>
      <c r="PPT18" t="s">
        <v>11490</v>
      </c>
      <c r="PPU18" t="s">
        <v>11491</v>
      </c>
      <c r="PPV18" t="s">
        <v>11492</v>
      </c>
      <c r="PPW18" t="s">
        <v>11493</v>
      </c>
      <c r="PPX18" t="s">
        <v>11494</v>
      </c>
      <c r="PPY18" t="s">
        <v>11495</v>
      </c>
      <c r="PPZ18" t="s">
        <v>11496</v>
      </c>
      <c r="PQA18" t="s">
        <v>11497</v>
      </c>
      <c r="PQB18" t="s">
        <v>11498</v>
      </c>
      <c r="PQC18" t="s">
        <v>11499</v>
      </c>
      <c r="PQD18" t="s">
        <v>11500</v>
      </c>
      <c r="PQE18" t="s">
        <v>11501</v>
      </c>
      <c r="PQF18" t="s">
        <v>11502</v>
      </c>
      <c r="PQG18" t="s">
        <v>11503</v>
      </c>
      <c r="PQH18" t="s">
        <v>11504</v>
      </c>
      <c r="PQI18" t="s">
        <v>11505</v>
      </c>
      <c r="PQJ18" t="s">
        <v>11506</v>
      </c>
      <c r="PQK18" t="s">
        <v>11507</v>
      </c>
      <c r="PQL18" t="s">
        <v>11508</v>
      </c>
      <c r="PQM18" t="s">
        <v>11509</v>
      </c>
      <c r="PQN18" t="s">
        <v>11510</v>
      </c>
      <c r="PQO18" t="s">
        <v>11511</v>
      </c>
      <c r="PQP18" t="s">
        <v>11512</v>
      </c>
      <c r="PQQ18" t="s">
        <v>11513</v>
      </c>
      <c r="PQR18" t="s">
        <v>11514</v>
      </c>
      <c r="PQS18" t="s">
        <v>11515</v>
      </c>
      <c r="PQT18" t="s">
        <v>11516</v>
      </c>
      <c r="PQU18" t="s">
        <v>11517</v>
      </c>
      <c r="PQV18" t="s">
        <v>11518</v>
      </c>
      <c r="PQW18" t="s">
        <v>11519</v>
      </c>
      <c r="PQX18" t="s">
        <v>11520</v>
      </c>
      <c r="PQY18" t="s">
        <v>11521</v>
      </c>
      <c r="PQZ18" t="s">
        <v>11522</v>
      </c>
      <c r="PRA18" t="s">
        <v>11523</v>
      </c>
      <c r="PRB18" t="s">
        <v>11524</v>
      </c>
      <c r="PRC18" t="s">
        <v>11525</v>
      </c>
      <c r="PRD18" t="s">
        <v>11526</v>
      </c>
      <c r="PRE18" t="s">
        <v>11527</v>
      </c>
      <c r="PRF18" t="s">
        <v>11528</v>
      </c>
      <c r="PRG18" t="s">
        <v>11529</v>
      </c>
      <c r="PRH18" t="s">
        <v>11530</v>
      </c>
      <c r="PRI18" t="s">
        <v>11531</v>
      </c>
      <c r="PRJ18" t="s">
        <v>11532</v>
      </c>
      <c r="PRK18" t="s">
        <v>11533</v>
      </c>
      <c r="PRL18" t="s">
        <v>11534</v>
      </c>
      <c r="PRM18" t="s">
        <v>11535</v>
      </c>
      <c r="PRN18" t="s">
        <v>11536</v>
      </c>
      <c r="PRO18" t="s">
        <v>11537</v>
      </c>
      <c r="PRP18" t="s">
        <v>11538</v>
      </c>
      <c r="PRQ18" t="s">
        <v>11539</v>
      </c>
      <c r="PRR18" t="s">
        <v>11540</v>
      </c>
      <c r="PRS18" t="s">
        <v>11541</v>
      </c>
      <c r="PRT18" t="s">
        <v>11542</v>
      </c>
      <c r="PRU18" t="s">
        <v>11543</v>
      </c>
      <c r="PRV18" t="s">
        <v>11544</v>
      </c>
      <c r="PRW18" t="s">
        <v>11545</v>
      </c>
      <c r="PRX18" t="s">
        <v>11546</v>
      </c>
      <c r="PRY18" t="s">
        <v>11547</v>
      </c>
      <c r="PRZ18" t="s">
        <v>11548</v>
      </c>
      <c r="PSA18" t="s">
        <v>11549</v>
      </c>
      <c r="PSB18" t="s">
        <v>11550</v>
      </c>
      <c r="PSC18" t="s">
        <v>11551</v>
      </c>
      <c r="PSD18" t="s">
        <v>11552</v>
      </c>
      <c r="PSE18" t="s">
        <v>11553</v>
      </c>
      <c r="PSF18" t="s">
        <v>11554</v>
      </c>
      <c r="PSG18" t="s">
        <v>11555</v>
      </c>
      <c r="PSH18" t="s">
        <v>11556</v>
      </c>
      <c r="PSI18" t="s">
        <v>11557</v>
      </c>
      <c r="PSJ18" t="s">
        <v>11558</v>
      </c>
      <c r="PSK18" t="s">
        <v>11559</v>
      </c>
      <c r="PSL18" t="s">
        <v>11560</v>
      </c>
      <c r="PSM18" t="s">
        <v>11561</v>
      </c>
      <c r="PSN18" t="s">
        <v>11562</v>
      </c>
      <c r="PSO18" t="s">
        <v>11563</v>
      </c>
      <c r="PSP18" t="s">
        <v>11564</v>
      </c>
      <c r="PSQ18" t="s">
        <v>11565</v>
      </c>
      <c r="PSR18" t="s">
        <v>11566</v>
      </c>
      <c r="PSS18" t="s">
        <v>11567</v>
      </c>
      <c r="PST18" t="s">
        <v>11568</v>
      </c>
      <c r="PSU18" t="s">
        <v>11569</v>
      </c>
      <c r="PSV18" t="s">
        <v>11570</v>
      </c>
      <c r="PSW18" t="s">
        <v>11571</v>
      </c>
      <c r="PSX18" t="s">
        <v>11572</v>
      </c>
      <c r="PSY18" t="s">
        <v>11573</v>
      </c>
      <c r="PSZ18" t="s">
        <v>11574</v>
      </c>
      <c r="PTA18" t="s">
        <v>11575</v>
      </c>
      <c r="PTB18" t="s">
        <v>11576</v>
      </c>
      <c r="PTC18" t="s">
        <v>11577</v>
      </c>
      <c r="PTD18" t="s">
        <v>11578</v>
      </c>
      <c r="PTE18" t="s">
        <v>11579</v>
      </c>
      <c r="PTF18" t="s">
        <v>11580</v>
      </c>
      <c r="PTG18" t="s">
        <v>11581</v>
      </c>
      <c r="PTH18" t="s">
        <v>11582</v>
      </c>
      <c r="PTI18" t="s">
        <v>11583</v>
      </c>
      <c r="PTJ18" t="s">
        <v>11584</v>
      </c>
      <c r="PTK18" t="s">
        <v>11585</v>
      </c>
      <c r="PTL18" t="s">
        <v>11586</v>
      </c>
      <c r="PTM18" t="s">
        <v>11587</v>
      </c>
      <c r="PTN18" t="s">
        <v>11588</v>
      </c>
      <c r="PTO18" t="s">
        <v>11589</v>
      </c>
      <c r="PTP18" t="s">
        <v>11590</v>
      </c>
      <c r="PTQ18" t="s">
        <v>11591</v>
      </c>
      <c r="PTR18" t="s">
        <v>11592</v>
      </c>
      <c r="PTS18" t="s">
        <v>11593</v>
      </c>
      <c r="PTT18" t="s">
        <v>11594</v>
      </c>
      <c r="PTU18" t="s">
        <v>11595</v>
      </c>
      <c r="PTV18" t="s">
        <v>11596</v>
      </c>
      <c r="PTW18" t="s">
        <v>11597</v>
      </c>
      <c r="PTX18" t="s">
        <v>11598</v>
      </c>
      <c r="PTY18" t="s">
        <v>11599</v>
      </c>
      <c r="PTZ18" t="s">
        <v>11600</v>
      </c>
      <c r="PUA18" t="s">
        <v>11601</v>
      </c>
      <c r="PUB18" t="s">
        <v>11602</v>
      </c>
      <c r="PUC18" t="s">
        <v>11603</v>
      </c>
      <c r="PUD18" t="s">
        <v>11604</v>
      </c>
      <c r="PUE18" t="s">
        <v>11605</v>
      </c>
      <c r="PUF18" t="s">
        <v>11606</v>
      </c>
      <c r="PUG18" t="s">
        <v>11607</v>
      </c>
      <c r="PUH18" t="s">
        <v>11608</v>
      </c>
      <c r="PUI18" t="s">
        <v>11609</v>
      </c>
      <c r="PUJ18" t="s">
        <v>11610</v>
      </c>
      <c r="PUK18" t="s">
        <v>11611</v>
      </c>
      <c r="PUL18" t="s">
        <v>11612</v>
      </c>
      <c r="PUM18" t="s">
        <v>11613</v>
      </c>
      <c r="PUN18" t="s">
        <v>11614</v>
      </c>
      <c r="PUO18" t="s">
        <v>11615</v>
      </c>
      <c r="PUP18" t="s">
        <v>11616</v>
      </c>
      <c r="PUQ18" t="s">
        <v>11617</v>
      </c>
      <c r="PUR18" t="s">
        <v>11618</v>
      </c>
      <c r="PUS18" t="s">
        <v>11619</v>
      </c>
      <c r="PUT18" t="s">
        <v>11620</v>
      </c>
      <c r="PUU18" t="s">
        <v>11621</v>
      </c>
      <c r="PUV18" t="s">
        <v>11622</v>
      </c>
      <c r="PUW18" t="s">
        <v>11623</v>
      </c>
      <c r="PUX18" t="s">
        <v>11624</v>
      </c>
      <c r="PUY18" t="s">
        <v>11625</v>
      </c>
      <c r="PUZ18" t="s">
        <v>11626</v>
      </c>
      <c r="PVA18" t="s">
        <v>11627</v>
      </c>
      <c r="PVB18" t="s">
        <v>11628</v>
      </c>
      <c r="PVC18" t="s">
        <v>11629</v>
      </c>
      <c r="PVD18" t="s">
        <v>11630</v>
      </c>
      <c r="PVE18" t="s">
        <v>11631</v>
      </c>
      <c r="PVF18" t="s">
        <v>11632</v>
      </c>
      <c r="PVG18" t="s">
        <v>11633</v>
      </c>
      <c r="PVH18" t="s">
        <v>11634</v>
      </c>
      <c r="PVI18" t="s">
        <v>11635</v>
      </c>
      <c r="PVJ18" t="s">
        <v>11636</v>
      </c>
      <c r="PVK18" t="s">
        <v>11637</v>
      </c>
      <c r="PVL18" t="s">
        <v>11638</v>
      </c>
      <c r="PVM18" t="s">
        <v>11639</v>
      </c>
      <c r="PVN18" t="s">
        <v>11640</v>
      </c>
      <c r="PVO18" t="s">
        <v>11641</v>
      </c>
      <c r="PVP18" t="s">
        <v>11642</v>
      </c>
      <c r="PVQ18" t="s">
        <v>11643</v>
      </c>
      <c r="PVR18" t="s">
        <v>11644</v>
      </c>
      <c r="PVS18" t="s">
        <v>11645</v>
      </c>
      <c r="PVT18" t="s">
        <v>11646</v>
      </c>
      <c r="PVU18" t="s">
        <v>11647</v>
      </c>
      <c r="PVV18" t="s">
        <v>11648</v>
      </c>
      <c r="PVW18" t="s">
        <v>11649</v>
      </c>
      <c r="PVX18" t="s">
        <v>11650</v>
      </c>
      <c r="PVY18" t="s">
        <v>11651</v>
      </c>
      <c r="PVZ18" t="s">
        <v>11652</v>
      </c>
      <c r="PWA18" t="s">
        <v>11653</v>
      </c>
      <c r="PWB18" t="s">
        <v>11654</v>
      </c>
      <c r="PWC18" t="s">
        <v>11655</v>
      </c>
      <c r="PWD18" t="s">
        <v>11656</v>
      </c>
      <c r="PWE18" t="s">
        <v>11657</v>
      </c>
      <c r="PWF18" t="s">
        <v>11658</v>
      </c>
      <c r="PWG18" t="s">
        <v>11659</v>
      </c>
      <c r="PWH18" t="s">
        <v>11660</v>
      </c>
      <c r="PWI18" t="s">
        <v>11661</v>
      </c>
      <c r="PWJ18" t="s">
        <v>11662</v>
      </c>
      <c r="PWK18" t="s">
        <v>11663</v>
      </c>
      <c r="PWL18" t="s">
        <v>11664</v>
      </c>
      <c r="PWM18" t="s">
        <v>11665</v>
      </c>
      <c r="PWN18" t="s">
        <v>11666</v>
      </c>
      <c r="PWO18" t="s">
        <v>11667</v>
      </c>
      <c r="PWP18" t="s">
        <v>11668</v>
      </c>
      <c r="PWQ18" t="s">
        <v>11669</v>
      </c>
      <c r="PWR18" t="s">
        <v>11670</v>
      </c>
      <c r="PWS18" t="s">
        <v>11671</v>
      </c>
      <c r="PWT18" t="s">
        <v>11672</v>
      </c>
      <c r="PWU18" t="s">
        <v>11673</v>
      </c>
      <c r="PWV18" t="s">
        <v>11674</v>
      </c>
      <c r="PWW18" t="s">
        <v>11675</v>
      </c>
      <c r="PWX18" t="s">
        <v>11676</v>
      </c>
      <c r="PWY18" t="s">
        <v>11677</v>
      </c>
      <c r="PWZ18" t="s">
        <v>11678</v>
      </c>
      <c r="PXA18" t="s">
        <v>11679</v>
      </c>
      <c r="PXB18" t="s">
        <v>11680</v>
      </c>
      <c r="PXC18" t="s">
        <v>11681</v>
      </c>
      <c r="PXD18" t="s">
        <v>11682</v>
      </c>
      <c r="PXE18" t="s">
        <v>11683</v>
      </c>
      <c r="PXF18" t="s">
        <v>11684</v>
      </c>
      <c r="PXG18" t="s">
        <v>11685</v>
      </c>
      <c r="PXH18" t="s">
        <v>11686</v>
      </c>
      <c r="PXI18" t="s">
        <v>11687</v>
      </c>
      <c r="PXJ18" t="s">
        <v>11688</v>
      </c>
      <c r="PXK18" t="s">
        <v>11689</v>
      </c>
      <c r="PXL18" t="s">
        <v>11690</v>
      </c>
      <c r="PXM18" t="s">
        <v>11691</v>
      </c>
      <c r="PXN18" t="s">
        <v>11692</v>
      </c>
      <c r="PXO18" t="s">
        <v>11693</v>
      </c>
      <c r="PXP18" t="s">
        <v>11694</v>
      </c>
      <c r="PXQ18" t="s">
        <v>11695</v>
      </c>
      <c r="PXR18" t="s">
        <v>11696</v>
      </c>
      <c r="PXS18" t="s">
        <v>11697</v>
      </c>
      <c r="PXT18" t="s">
        <v>11698</v>
      </c>
      <c r="PXU18" t="s">
        <v>11699</v>
      </c>
      <c r="PXV18" t="s">
        <v>11700</v>
      </c>
      <c r="PXW18" t="s">
        <v>11701</v>
      </c>
      <c r="PXX18" t="s">
        <v>11702</v>
      </c>
      <c r="PXY18" t="s">
        <v>11703</v>
      </c>
      <c r="PXZ18" t="s">
        <v>11704</v>
      </c>
      <c r="PYA18" t="s">
        <v>11705</v>
      </c>
      <c r="PYB18" t="s">
        <v>11706</v>
      </c>
      <c r="PYC18" t="s">
        <v>11707</v>
      </c>
      <c r="PYD18" t="s">
        <v>11708</v>
      </c>
      <c r="PYE18" t="s">
        <v>11709</v>
      </c>
      <c r="PYF18" t="s">
        <v>11710</v>
      </c>
      <c r="PYG18" t="s">
        <v>11711</v>
      </c>
      <c r="PYH18" t="s">
        <v>11712</v>
      </c>
      <c r="PYI18" t="s">
        <v>11713</v>
      </c>
      <c r="PYJ18" t="s">
        <v>11714</v>
      </c>
      <c r="PYK18" t="s">
        <v>11715</v>
      </c>
      <c r="PYL18" t="s">
        <v>11716</v>
      </c>
      <c r="PYM18" t="s">
        <v>11717</v>
      </c>
      <c r="PYN18" t="s">
        <v>11718</v>
      </c>
      <c r="PYO18" t="s">
        <v>11719</v>
      </c>
      <c r="PYP18" t="s">
        <v>11720</v>
      </c>
      <c r="PYQ18" t="s">
        <v>11721</v>
      </c>
      <c r="PYR18" t="s">
        <v>11722</v>
      </c>
      <c r="PYS18" t="s">
        <v>11723</v>
      </c>
      <c r="PYT18" t="s">
        <v>11724</v>
      </c>
      <c r="PYU18" t="s">
        <v>11725</v>
      </c>
      <c r="PYV18" t="s">
        <v>11726</v>
      </c>
      <c r="PYW18" t="s">
        <v>11727</v>
      </c>
      <c r="PYX18" t="s">
        <v>11728</v>
      </c>
      <c r="PYY18" t="s">
        <v>11729</v>
      </c>
      <c r="PYZ18" t="s">
        <v>11730</v>
      </c>
      <c r="PZA18" t="s">
        <v>11731</v>
      </c>
      <c r="PZB18" t="s">
        <v>11732</v>
      </c>
      <c r="PZC18" t="s">
        <v>11733</v>
      </c>
      <c r="PZD18" t="s">
        <v>11734</v>
      </c>
      <c r="PZE18" t="s">
        <v>11735</v>
      </c>
      <c r="PZF18" t="s">
        <v>11736</v>
      </c>
      <c r="PZG18" t="s">
        <v>11737</v>
      </c>
      <c r="PZH18" t="s">
        <v>11738</v>
      </c>
      <c r="PZI18" t="s">
        <v>11739</v>
      </c>
      <c r="PZJ18" t="s">
        <v>11740</v>
      </c>
      <c r="PZK18" t="s">
        <v>11741</v>
      </c>
      <c r="PZL18" t="s">
        <v>11742</v>
      </c>
      <c r="PZM18" t="s">
        <v>11743</v>
      </c>
      <c r="PZN18" t="s">
        <v>11744</v>
      </c>
      <c r="PZO18" t="s">
        <v>11745</v>
      </c>
      <c r="PZP18" t="s">
        <v>11746</v>
      </c>
      <c r="PZQ18" t="s">
        <v>11747</v>
      </c>
      <c r="PZR18" t="s">
        <v>11748</v>
      </c>
      <c r="PZS18" t="s">
        <v>11749</v>
      </c>
      <c r="PZT18" t="s">
        <v>11750</v>
      </c>
      <c r="PZU18" t="s">
        <v>11751</v>
      </c>
      <c r="PZV18" t="s">
        <v>11752</v>
      </c>
      <c r="PZW18" t="s">
        <v>11753</v>
      </c>
      <c r="PZX18" t="s">
        <v>11754</v>
      </c>
      <c r="PZY18" t="s">
        <v>11755</v>
      </c>
      <c r="PZZ18" t="s">
        <v>11756</v>
      </c>
      <c r="QAA18" t="s">
        <v>11757</v>
      </c>
      <c r="QAB18" t="s">
        <v>11758</v>
      </c>
      <c r="QAC18" t="s">
        <v>11759</v>
      </c>
      <c r="QAD18" t="s">
        <v>11760</v>
      </c>
      <c r="QAE18" t="s">
        <v>11761</v>
      </c>
      <c r="QAF18" t="s">
        <v>11762</v>
      </c>
      <c r="QAG18" t="s">
        <v>11763</v>
      </c>
      <c r="QAH18" t="s">
        <v>11764</v>
      </c>
      <c r="QAI18" t="s">
        <v>11765</v>
      </c>
      <c r="QAJ18" t="s">
        <v>11766</v>
      </c>
      <c r="QAK18" t="s">
        <v>11767</v>
      </c>
      <c r="QAL18" t="s">
        <v>11768</v>
      </c>
      <c r="QAM18" t="s">
        <v>11769</v>
      </c>
      <c r="QAN18" t="s">
        <v>11770</v>
      </c>
      <c r="QAO18" t="s">
        <v>11771</v>
      </c>
      <c r="QAP18" t="s">
        <v>11772</v>
      </c>
      <c r="QAQ18" t="s">
        <v>11773</v>
      </c>
      <c r="QAR18" t="s">
        <v>11774</v>
      </c>
      <c r="QAS18" t="s">
        <v>11775</v>
      </c>
      <c r="QAT18" t="s">
        <v>11776</v>
      </c>
      <c r="QAU18" t="s">
        <v>11777</v>
      </c>
      <c r="QAV18" t="s">
        <v>11778</v>
      </c>
      <c r="QAW18" t="s">
        <v>11779</v>
      </c>
      <c r="QAX18" t="s">
        <v>11780</v>
      </c>
      <c r="QAY18" t="s">
        <v>11781</v>
      </c>
      <c r="QAZ18" t="s">
        <v>11782</v>
      </c>
      <c r="QBA18" t="s">
        <v>11783</v>
      </c>
      <c r="QBB18" t="s">
        <v>11784</v>
      </c>
      <c r="QBC18" t="s">
        <v>11785</v>
      </c>
      <c r="QBD18" t="s">
        <v>11786</v>
      </c>
      <c r="QBE18" t="s">
        <v>11787</v>
      </c>
      <c r="QBF18" t="s">
        <v>11788</v>
      </c>
      <c r="QBG18" t="s">
        <v>11789</v>
      </c>
      <c r="QBH18" t="s">
        <v>11790</v>
      </c>
      <c r="QBI18" t="s">
        <v>11791</v>
      </c>
      <c r="QBJ18" t="s">
        <v>11792</v>
      </c>
      <c r="QBK18" t="s">
        <v>11793</v>
      </c>
      <c r="QBL18" t="s">
        <v>11794</v>
      </c>
      <c r="QBM18" t="s">
        <v>11795</v>
      </c>
      <c r="QBN18" t="s">
        <v>11796</v>
      </c>
      <c r="QBO18" t="s">
        <v>11797</v>
      </c>
      <c r="QBP18" t="s">
        <v>11798</v>
      </c>
      <c r="QBQ18" t="s">
        <v>11799</v>
      </c>
      <c r="QBR18" t="s">
        <v>11800</v>
      </c>
      <c r="QBS18" t="s">
        <v>11801</v>
      </c>
      <c r="QBT18" t="s">
        <v>11802</v>
      </c>
      <c r="QBU18" t="s">
        <v>11803</v>
      </c>
      <c r="QBV18" t="s">
        <v>11804</v>
      </c>
      <c r="QBW18" t="s">
        <v>11805</v>
      </c>
      <c r="QBX18" t="s">
        <v>11806</v>
      </c>
      <c r="QBY18" t="s">
        <v>11807</v>
      </c>
      <c r="QBZ18" t="s">
        <v>11808</v>
      </c>
      <c r="QCA18" t="s">
        <v>11809</v>
      </c>
      <c r="QCB18" t="s">
        <v>11810</v>
      </c>
      <c r="QCC18" t="s">
        <v>11811</v>
      </c>
      <c r="QCD18" t="s">
        <v>11812</v>
      </c>
      <c r="QCE18" t="s">
        <v>11813</v>
      </c>
      <c r="QCF18" t="s">
        <v>11814</v>
      </c>
      <c r="QCG18" t="s">
        <v>11815</v>
      </c>
      <c r="QCH18" t="s">
        <v>11816</v>
      </c>
      <c r="QCI18" t="s">
        <v>11817</v>
      </c>
      <c r="QCJ18" t="s">
        <v>11818</v>
      </c>
      <c r="QCK18" t="s">
        <v>11819</v>
      </c>
      <c r="QCL18" t="s">
        <v>11820</v>
      </c>
      <c r="QCM18" t="s">
        <v>11821</v>
      </c>
      <c r="QCN18" t="s">
        <v>11822</v>
      </c>
      <c r="QCO18" t="s">
        <v>11823</v>
      </c>
      <c r="QCP18" t="s">
        <v>11824</v>
      </c>
      <c r="QCQ18" t="s">
        <v>11825</v>
      </c>
      <c r="QCR18" t="s">
        <v>11826</v>
      </c>
      <c r="QCS18" t="s">
        <v>11827</v>
      </c>
      <c r="QCT18" t="s">
        <v>11828</v>
      </c>
      <c r="QCU18" t="s">
        <v>11829</v>
      </c>
      <c r="QCV18" t="s">
        <v>11830</v>
      </c>
      <c r="QCW18" t="s">
        <v>11831</v>
      </c>
      <c r="QCX18" t="s">
        <v>11832</v>
      </c>
      <c r="QCY18" t="s">
        <v>11833</v>
      </c>
      <c r="QCZ18" t="s">
        <v>11834</v>
      </c>
      <c r="QDA18" t="s">
        <v>11835</v>
      </c>
      <c r="QDB18" t="s">
        <v>11836</v>
      </c>
      <c r="QDC18" t="s">
        <v>11837</v>
      </c>
      <c r="QDD18" t="s">
        <v>11838</v>
      </c>
      <c r="QDE18" t="s">
        <v>11839</v>
      </c>
      <c r="QDF18" t="s">
        <v>11840</v>
      </c>
      <c r="QDG18" t="s">
        <v>11841</v>
      </c>
      <c r="QDH18" t="s">
        <v>11842</v>
      </c>
      <c r="QDI18" t="s">
        <v>11843</v>
      </c>
      <c r="QDJ18" t="s">
        <v>11844</v>
      </c>
      <c r="QDK18" t="s">
        <v>11845</v>
      </c>
      <c r="QDL18" t="s">
        <v>11846</v>
      </c>
      <c r="QDM18" t="s">
        <v>11847</v>
      </c>
      <c r="QDN18" t="s">
        <v>11848</v>
      </c>
      <c r="QDO18" t="s">
        <v>11849</v>
      </c>
      <c r="QDP18" t="s">
        <v>11850</v>
      </c>
      <c r="QDQ18" t="s">
        <v>11851</v>
      </c>
      <c r="QDR18" t="s">
        <v>11852</v>
      </c>
      <c r="QDS18" t="s">
        <v>11853</v>
      </c>
      <c r="QDT18" t="s">
        <v>11854</v>
      </c>
      <c r="QDU18" t="s">
        <v>11855</v>
      </c>
      <c r="QDV18" t="s">
        <v>11856</v>
      </c>
      <c r="QDW18" t="s">
        <v>11857</v>
      </c>
      <c r="QDX18" t="s">
        <v>11858</v>
      </c>
      <c r="QDY18" t="s">
        <v>11859</v>
      </c>
      <c r="QDZ18" t="s">
        <v>11860</v>
      </c>
      <c r="QEA18" t="s">
        <v>11861</v>
      </c>
      <c r="QEB18" t="s">
        <v>11862</v>
      </c>
      <c r="QEC18" t="s">
        <v>11863</v>
      </c>
      <c r="QED18" t="s">
        <v>11864</v>
      </c>
      <c r="QEE18" t="s">
        <v>11865</v>
      </c>
      <c r="QEF18" t="s">
        <v>11866</v>
      </c>
      <c r="QEG18" t="s">
        <v>11867</v>
      </c>
      <c r="QEH18" t="s">
        <v>11868</v>
      </c>
      <c r="QEI18" t="s">
        <v>11869</v>
      </c>
      <c r="QEJ18" t="s">
        <v>11870</v>
      </c>
      <c r="QEK18" t="s">
        <v>11871</v>
      </c>
      <c r="QEL18" t="s">
        <v>11872</v>
      </c>
      <c r="QEM18" t="s">
        <v>11873</v>
      </c>
      <c r="QEN18" t="s">
        <v>11874</v>
      </c>
      <c r="QEO18" t="s">
        <v>11875</v>
      </c>
      <c r="QEP18" t="s">
        <v>11876</v>
      </c>
      <c r="QEQ18" t="s">
        <v>11877</v>
      </c>
      <c r="QER18" t="s">
        <v>11878</v>
      </c>
      <c r="QES18" t="s">
        <v>11879</v>
      </c>
      <c r="QET18" t="s">
        <v>11880</v>
      </c>
      <c r="QEU18" t="s">
        <v>11881</v>
      </c>
      <c r="QEV18" t="s">
        <v>11882</v>
      </c>
      <c r="QEW18" t="s">
        <v>11883</v>
      </c>
      <c r="QEX18" t="s">
        <v>11884</v>
      </c>
      <c r="QEY18" t="s">
        <v>11885</v>
      </c>
      <c r="QEZ18" t="s">
        <v>11886</v>
      </c>
      <c r="QFA18" t="s">
        <v>11887</v>
      </c>
      <c r="QFB18" t="s">
        <v>11888</v>
      </c>
      <c r="QFC18" t="s">
        <v>11889</v>
      </c>
      <c r="QFD18" t="s">
        <v>11890</v>
      </c>
      <c r="QFE18" t="s">
        <v>11891</v>
      </c>
      <c r="QFF18" t="s">
        <v>11892</v>
      </c>
      <c r="QFG18" t="s">
        <v>11893</v>
      </c>
      <c r="QFH18" t="s">
        <v>11894</v>
      </c>
      <c r="QFI18" t="s">
        <v>11895</v>
      </c>
      <c r="QFJ18" t="s">
        <v>11896</v>
      </c>
      <c r="QFK18" t="s">
        <v>11897</v>
      </c>
      <c r="QFL18" t="s">
        <v>11898</v>
      </c>
      <c r="QFM18" t="s">
        <v>11899</v>
      </c>
      <c r="QFN18" t="s">
        <v>11900</v>
      </c>
      <c r="QFO18" t="s">
        <v>11901</v>
      </c>
      <c r="QFP18" t="s">
        <v>11902</v>
      </c>
      <c r="QFQ18" t="s">
        <v>11903</v>
      </c>
      <c r="QFR18" t="s">
        <v>11904</v>
      </c>
      <c r="QFS18" t="s">
        <v>11905</v>
      </c>
      <c r="QFT18" t="s">
        <v>11906</v>
      </c>
      <c r="QFU18" t="s">
        <v>11907</v>
      </c>
      <c r="QFV18" t="s">
        <v>11908</v>
      </c>
      <c r="QFW18" t="s">
        <v>11909</v>
      </c>
      <c r="QFX18" t="s">
        <v>11910</v>
      </c>
      <c r="QFY18" t="s">
        <v>11911</v>
      </c>
      <c r="QFZ18" t="s">
        <v>11912</v>
      </c>
      <c r="QGA18" t="s">
        <v>11913</v>
      </c>
      <c r="QGB18" t="s">
        <v>11914</v>
      </c>
      <c r="QGC18" t="s">
        <v>11915</v>
      </c>
      <c r="QGD18" t="s">
        <v>11916</v>
      </c>
      <c r="QGE18" t="s">
        <v>11917</v>
      </c>
      <c r="QGF18" t="s">
        <v>11918</v>
      </c>
      <c r="QGG18" t="s">
        <v>11919</v>
      </c>
      <c r="QGH18" t="s">
        <v>11920</v>
      </c>
      <c r="QGI18" t="s">
        <v>11921</v>
      </c>
      <c r="QGJ18" t="s">
        <v>11922</v>
      </c>
      <c r="QGK18" t="s">
        <v>11923</v>
      </c>
      <c r="QGL18" t="s">
        <v>11924</v>
      </c>
      <c r="QGM18" t="s">
        <v>11925</v>
      </c>
      <c r="QGN18" t="s">
        <v>11926</v>
      </c>
      <c r="QGO18" t="s">
        <v>11927</v>
      </c>
      <c r="QGP18" t="s">
        <v>11928</v>
      </c>
      <c r="QGQ18" t="s">
        <v>11929</v>
      </c>
      <c r="QGR18" t="s">
        <v>11930</v>
      </c>
      <c r="QGS18" t="s">
        <v>11931</v>
      </c>
      <c r="QGT18" t="s">
        <v>11932</v>
      </c>
      <c r="QGU18" t="s">
        <v>11933</v>
      </c>
      <c r="QGV18" t="s">
        <v>11934</v>
      </c>
      <c r="QGW18" t="s">
        <v>11935</v>
      </c>
      <c r="QGX18" t="s">
        <v>11936</v>
      </c>
      <c r="QGY18" t="s">
        <v>11937</v>
      </c>
      <c r="QGZ18" t="s">
        <v>11938</v>
      </c>
      <c r="QHA18" t="s">
        <v>11939</v>
      </c>
      <c r="QHB18" t="s">
        <v>11940</v>
      </c>
      <c r="QHC18" t="s">
        <v>11941</v>
      </c>
      <c r="QHD18" t="s">
        <v>11942</v>
      </c>
      <c r="QHE18" t="s">
        <v>11943</v>
      </c>
      <c r="QHF18" t="s">
        <v>11944</v>
      </c>
      <c r="QHG18" t="s">
        <v>11945</v>
      </c>
      <c r="QHH18" t="s">
        <v>11946</v>
      </c>
      <c r="QHI18" t="s">
        <v>11947</v>
      </c>
      <c r="QHJ18" t="s">
        <v>11948</v>
      </c>
      <c r="QHK18" t="s">
        <v>11949</v>
      </c>
      <c r="QHL18" t="s">
        <v>11950</v>
      </c>
      <c r="QHM18" t="s">
        <v>11951</v>
      </c>
      <c r="QHN18" t="s">
        <v>11952</v>
      </c>
      <c r="QHO18" t="s">
        <v>11953</v>
      </c>
      <c r="QHP18" t="s">
        <v>11954</v>
      </c>
      <c r="QHQ18" t="s">
        <v>11955</v>
      </c>
      <c r="QHR18" t="s">
        <v>11956</v>
      </c>
      <c r="QHS18" t="s">
        <v>11957</v>
      </c>
      <c r="QHT18" t="s">
        <v>11958</v>
      </c>
      <c r="QHU18" t="s">
        <v>11959</v>
      </c>
      <c r="QHV18" t="s">
        <v>11960</v>
      </c>
      <c r="QHW18" t="s">
        <v>11961</v>
      </c>
      <c r="QHX18" t="s">
        <v>11962</v>
      </c>
      <c r="QHY18" t="s">
        <v>11963</v>
      </c>
      <c r="QHZ18" t="s">
        <v>11964</v>
      </c>
      <c r="QIA18" t="s">
        <v>11965</v>
      </c>
      <c r="QIB18" t="s">
        <v>11966</v>
      </c>
      <c r="QIC18" t="s">
        <v>11967</v>
      </c>
      <c r="QID18" t="s">
        <v>11968</v>
      </c>
      <c r="QIE18" t="s">
        <v>11969</v>
      </c>
      <c r="QIF18" t="s">
        <v>11970</v>
      </c>
      <c r="QIG18" t="s">
        <v>11971</v>
      </c>
      <c r="QIH18" t="s">
        <v>11972</v>
      </c>
      <c r="QII18" t="s">
        <v>11973</v>
      </c>
      <c r="QIJ18" t="s">
        <v>11974</v>
      </c>
      <c r="QIK18" t="s">
        <v>11975</v>
      </c>
      <c r="QIL18" t="s">
        <v>11976</v>
      </c>
      <c r="QIM18" t="s">
        <v>11977</v>
      </c>
      <c r="QIN18" t="s">
        <v>11978</v>
      </c>
      <c r="QIO18" t="s">
        <v>11979</v>
      </c>
      <c r="QIP18" t="s">
        <v>11980</v>
      </c>
      <c r="QIQ18" t="s">
        <v>11981</v>
      </c>
      <c r="QIR18" t="s">
        <v>11982</v>
      </c>
      <c r="QIS18" t="s">
        <v>11983</v>
      </c>
      <c r="QIT18" t="s">
        <v>11984</v>
      </c>
      <c r="QIU18" t="s">
        <v>11985</v>
      </c>
      <c r="QIV18" t="s">
        <v>11986</v>
      </c>
      <c r="QIW18" t="s">
        <v>11987</v>
      </c>
      <c r="QIX18" t="s">
        <v>11988</v>
      </c>
      <c r="QIY18" t="s">
        <v>11989</v>
      </c>
      <c r="QIZ18" t="s">
        <v>11990</v>
      </c>
      <c r="QJA18" t="s">
        <v>11991</v>
      </c>
      <c r="QJB18" t="s">
        <v>11992</v>
      </c>
      <c r="QJC18" t="s">
        <v>11993</v>
      </c>
      <c r="QJD18" t="s">
        <v>11994</v>
      </c>
      <c r="QJE18" t="s">
        <v>11995</v>
      </c>
      <c r="QJF18" t="s">
        <v>11996</v>
      </c>
      <c r="QJG18" t="s">
        <v>11997</v>
      </c>
      <c r="QJH18" t="s">
        <v>11998</v>
      </c>
      <c r="QJI18" t="s">
        <v>11999</v>
      </c>
      <c r="QJJ18" t="s">
        <v>12000</v>
      </c>
      <c r="QJK18" t="s">
        <v>12001</v>
      </c>
      <c r="QJL18" t="s">
        <v>12002</v>
      </c>
      <c r="QJM18" t="s">
        <v>12003</v>
      </c>
      <c r="QJN18" t="s">
        <v>12004</v>
      </c>
      <c r="QJO18" t="s">
        <v>12005</v>
      </c>
      <c r="QJP18" t="s">
        <v>12006</v>
      </c>
      <c r="QJQ18" t="s">
        <v>12007</v>
      </c>
      <c r="QJR18" t="s">
        <v>12008</v>
      </c>
      <c r="QJS18" t="s">
        <v>12009</v>
      </c>
      <c r="QJT18" t="s">
        <v>12010</v>
      </c>
      <c r="QJU18" t="s">
        <v>12011</v>
      </c>
      <c r="QJV18" t="s">
        <v>12012</v>
      </c>
      <c r="QJW18" t="s">
        <v>12013</v>
      </c>
      <c r="QJX18" t="s">
        <v>12014</v>
      </c>
      <c r="QJY18" t="s">
        <v>12015</v>
      </c>
      <c r="QJZ18" t="s">
        <v>12016</v>
      </c>
      <c r="QKA18" t="s">
        <v>12017</v>
      </c>
      <c r="QKB18" t="s">
        <v>12018</v>
      </c>
      <c r="QKC18" t="s">
        <v>12019</v>
      </c>
      <c r="QKD18" t="s">
        <v>12020</v>
      </c>
      <c r="QKE18" t="s">
        <v>12021</v>
      </c>
      <c r="QKF18" t="s">
        <v>12022</v>
      </c>
      <c r="QKG18" t="s">
        <v>12023</v>
      </c>
      <c r="QKH18" t="s">
        <v>12024</v>
      </c>
      <c r="QKI18" t="s">
        <v>12025</v>
      </c>
      <c r="QKJ18" t="s">
        <v>12026</v>
      </c>
      <c r="QKK18" t="s">
        <v>12027</v>
      </c>
      <c r="QKL18" t="s">
        <v>12028</v>
      </c>
      <c r="QKM18" t="s">
        <v>12029</v>
      </c>
      <c r="QKN18" t="s">
        <v>12030</v>
      </c>
      <c r="QKO18" t="s">
        <v>12031</v>
      </c>
      <c r="QKP18" t="s">
        <v>12032</v>
      </c>
      <c r="QKQ18" t="s">
        <v>12033</v>
      </c>
      <c r="QKR18" t="s">
        <v>12034</v>
      </c>
      <c r="QKS18" t="s">
        <v>12035</v>
      </c>
      <c r="QKT18" t="s">
        <v>12036</v>
      </c>
      <c r="QKU18" t="s">
        <v>12037</v>
      </c>
      <c r="QKV18" t="s">
        <v>12038</v>
      </c>
      <c r="QKW18" t="s">
        <v>12039</v>
      </c>
      <c r="QKX18" t="s">
        <v>12040</v>
      </c>
      <c r="QKY18" t="s">
        <v>12041</v>
      </c>
      <c r="QKZ18" t="s">
        <v>12042</v>
      </c>
      <c r="QLA18" t="s">
        <v>12043</v>
      </c>
      <c r="QLB18" t="s">
        <v>12044</v>
      </c>
      <c r="QLC18" t="s">
        <v>12045</v>
      </c>
      <c r="QLD18" t="s">
        <v>12046</v>
      </c>
      <c r="QLE18" t="s">
        <v>12047</v>
      </c>
      <c r="QLF18" t="s">
        <v>12048</v>
      </c>
      <c r="QLG18" t="s">
        <v>12049</v>
      </c>
      <c r="QLH18" t="s">
        <v>12050</v>
      </c>
      <c r="QLI18" t="s">
        <v>12051</v>
      </c>
      <c r="QLJ18" t="s">
        <v>12052</v>
      </c>
      <c r="QLK18" t="s">
        <v>12053</v>
      </c>
      <c r="QLL18" t="s">
        <v>12054</v>
      </c>
      <c r="QLM18" t="s">
        <v>12055</v>
      </c>
      <c r="QLN18" t="s">
        <v>12056</v>
      </c>
      <c r="QLO18" t="s">
        <v>12057</v>
      </c>
      <c r="QLP18" t="s">
        <v>12058</v>
      </c>
      <c r="QLQ18" t="s">
        <v>12059</v>
      </c>
      <c r="QLR18" t="s">
        <v>12060</v>
      </c>
      <c r="QLS18" t="s">
        <v>12061</v>
      </c>
      <c r="QLT18" t="s">
        <v>12062</v>
      </c>
      <c r="QLU18" t="s">
        <v>12063</v>
      </c>
      <c r="QLV18" t="s">
        <v>12064</v>
      </c>
      <c r="QLW18" t="s">
        <v>12065</v>
      </c>
      <c r="QLX18" t="s">
        <v>12066</v>
      </c>
      <c r="QLY18" t="s">
        <v>12067</v>
      </c>
      <c r="QLZ18" t="s">
        <v>12068</v>
      </c>
      <c r="QMA18" t="s">
        <v>12069</v>
      </c>
      <c r="QMB18" t="s">
        <v>12070</v>
      </c>
      <c r="QMC18" t="s">
        <v>12071</v>
      </c>
      <c r="QMD18" t="s">
        <v>12072</v>
      </c>
      <c r="QME18" t="s">
        <v>12073</v>
      </c>
      <c r="QMF18" t="s">
        <v>12074</v>
      </c>
      <c r="QMG18" t="s">
        <v>12075</v>
      </c>
      <c r="QMH18" t="s">
        <v>12076</v>
      </c>
      <c r="QMI18" t="s">
        <v>12077</v>
      </c>
      <c r="QMJ18" t="s">
        <v>12078</v>
      </c>
      <c r="QMK18" t="s">
        <v>12079</v>
      </c>
      <c r="QML18" t="s">
        <v>12080</v>
      </c>
      <c r="QMM18" t="s">
        <v>12081</v>
      </c>
      <c r="QMN18" t="s">
        <v>12082</v>
      </c>
      <c r="QMO18" t="s">
        <v>12083</v>
      </c>
      <c r="QMP18" t="s">
        <v>12084</v>
      </c>
      <c r="QMQ18" t="s">
        <v>12085</v>
      </c>
      <c r="QMR18" t="s">
        <v>12086</v>
      </c>
      <c r="QMS18" t="s">
        <v>12087</v>
      </c>
      <c r="QMT18" t="s">
        <v>12088</v>
      </c>
      <c r="QMU18" t="s">
        <v>12089</v>
      </c>
      <c r="QMV18" t="s">
        <v>12090</v>
      </c>
      <c r="QMW18" t="s">
        <v>12091</v>
      </c>
      <c r="QMX18" t="s">
        <v>12092</v>
      </c>
      <c r="QMY18" t="s">
        <v>12093</v>
      </c>
      <c r="QMZ18" t="s">
        <v>12094</v>
      </c>
      <c r="QNA18" t="s">
        <v>12095</v>
      </c>
      <c r="QNB18" t="s">
        <v>12096</v>
      </c>
      <c r="QNC18" t="s">
        <v>12097</v>
      </c>
      <c r="QND18" t="s">
        <v>12098</v>
      </c>
      <c r="QNE18" t="s">
        <v>12099</v>
      </c>
      <c r="QNF18" t="s">
        <v>12100</v>
      </c>
      <c r="QNG18" t="s">
        <v>12101</v>
      </c>
      <c r="QNH18" t="s">
        <v>12102</v>
      </c>
      <c r="QNI18" t="s">
        <v>12103</v>
      </c>
      <c r="QNJ18" t="s">
        <v>12104</v>
      </c>
      <c r="QNK18" t="s">
        <v>12105</v>
      </c>
      <c r="QNL18" t="s">
        <v>12106</v>
      </c>
      <c r="QNM18" t="s">
        <v>12107</v>
      </c>
      <c r="QNN18" t="s">
        <v>12108</v>
      </c>
      <c r="QNO18" t="s">
        <v>12109</v>
      </c>
      <c r="QNP18" t="s">
        <v>12110</v>
      </c>
      <c r="QNQ18" t="s">
        <v>12111</v>
      </c>
      <c r="QNR18" t="s">
        <v>12112</v>
      </c>
      <c r="QNS18" t="s">
        <v>12113</v>
      </c>
      <c r="QNT18" t="s">
        <v>12114</v>
      </c>
      <c r="QNU18" t="s">
        <v>12115</v>
      </c>
      <c r="QNV18" t="s">
        <v>12116</v>
      </c>
      <c r="QNW18" t="s">
        <v>12117</v>
      </c>
      <c r="QNX18" t="s">
        <v>12118</v>
      </c>
      <c r="QNY18" t="s">
        <v>12119</v>
      </c>
      <c r="QNZ18" t="s">
        <v>12120</v>
      </c>
      <c r="QOA18" t="s">
        <v>12121</v>
      </c>
      <c r="QOB18" t="s">
        <v>12122</v>
      </c>
      <c r="QOC18" t="s">
        <v>12123</v>
      </c>
      <c r="QOD18" t="s">
        <v>12124</v>
      </c>
      <c r="QOE18" t="s">
        <v>12125</v>
      </c>
      <c r="QOF18" t="s">
        <v>12126</v>
      </c>
      <c r="QOG18" t="s">
        <v>12127</v>
      </c>
      <c r="QOH18" t="s">
        <v>12128</v>
      </c>
      <c r="QOI18" t="s">
        <v>12129</v>
      </c>
      <c r="QOJ18" t="s">
        <v>12130</v>
      </c>
      <c r="QOK18" t="s">
        <v>12131</v>
      </c>
      <c r="QOL18" t="s">
        <v>12132</v>
      </c>
      <c r="QOM18" t="s">
        <v>12133</v>
      </c>
      <c r="QON18" t="s">
        <v>12134</v>
      </c>
      <c r="QOO18" t="s">
        <v>12135</v>
      </c>
      <c r="QOP18" t="s">
        <v>12136</v>
      </c>
      <c r="QOQ18" t="s">
        <v>12137</v>
      </c>
      <c r="QOR18" t="s">
        <v>12138</v>
      </c>
      <c r="QOS18" t="s">
        <v>12139</v>
      </c>
      <c r="QOT18" t="s">
        <v>12140</v>
      </c>
      <c r="QOU18" t="s">
        <v>12141</v>
      </c>
      <c r="QOV18" t="s">
        <v>12142</v>
      </c>
      <c r="QOW18" t="s">
        <v>12143</v>
      </c>
      <c r="QOX18" t="s">
        <v>12144</v>
      </c>
      <c r="QOY18" t="s">
        <v>12145</v>
      </c>
      <c r="QOZ18" t="s">
        <v>12146</v>
      </c>
      <c r="QPA18" t="s">
        <v>12147</v>
      </c>
      <c r="QPB18" t="s">
        <v>12148</v>
      </c>
      <c r="QPC18" t="s">
        <v>12149</v>
      </c>
      <c r="QPD18" t="s">
        <v>12150</v>
      </c>
      <c r="QPE18" t="s">
        <v>12151</v>
      </c>
      <c r="QPF18" t="s">
        <v>12152</v>
      </c>
      <c r="QPG18" t="s">
        <v>12153</v>
      </c>
      <c r="QPH18" t="s">
        <v>12154</v>
      </c>
      <c r="QPI18" t="s">
        <v>12155</v>
      </c>
      <c r="QPJ18" t="s">
        <v>12156</v>
      </c>
      <c r="QPK18" t="s">
        <v>12157</v>
      </c>
      <c r="QPL18" t="s">
        <v>12158</v>
      </c>
      <c r="QPM18" t="s">
        <v>12159</v>
      </c>
      <c r="QPN18" t="s">
        <v>12160</v>
      </c>
      <c r="QPO18" t="s">
        <v>12161</v>
      </c>
      <c r="QPP18" t="s">
        <v>12162</v>
      </c>
      <c r="QPQ18" t="s">
        <v>12163</v>
      </c>
      <c r="QPR18" t="s">
        <v>12164</v>
      </c>
      <c r="QPS18" t="s">
        <v>12165</v>
      </c>
      <c r="QPT18" t="s">
        <v>12166</v>
      </c>
      <c r="QPU18" t="s">
        <v>12167</v>
      </c>
      <c r="QPV18" t="s">
        <v>12168</v>
      </c>
      <c r="QPW18" t="s">
        <v>12169</v>
      </c>
      <c r="QPX18" t="s">
        <v>12170</v>
      </c>
      <c r="QPY18" t="s">
        <v>12171</v>
      </c>
      <c r="QPZ18" t="s">
        <v>12172</v>
      </c>
      <c r="QQA18" t="s">
        <v>12173</v>
      </c>
      <c r="QQB18" t="s">
        <v>12174</v>
      </c>
      <c r="QQC18" t="s">
        <v>12175</v>
      </c>
      <c r="QQD18" t="s">
        <v>12176</v>
      </c>
      <c r="QQE18" t="s">
        <v>12177</v>
      </c>
      <c r="QQF18" t="s">
        <v>12178</v>
      </c>
      <c r="QQG18" t="s">
        <v>12179</v>
      </c>
      <c r="QQH18" t="s">
        <v>12180</v>
      </c>
      <c r="QQI18" t="s">
        <v>12181</v>
      </c>
      <c r="QQJ18" t="s">
        <v>12182</v>
      </c>
      <c r="QQK18" t="s">
        <v>12183</v>
      </c>
      <c r="QQL18" t="s">
        <v>12184</v>
      </c>
      <c r="QQM18" t="s">
        <v>12185</v>
      </c>
      <c r="QQN18" t="s">
        <v>12186</v>
      </c>
      <c r="QQO18" t="s">
        <v>12187</v>
      </c>
      <c r="QQP18" t="s">
        <v>12188</v>
      </c>
      <c r="QQQ18" t="s">
        <v>12189</v>
      </c>
      <c r="QQR18" t="s">
        <v>12190</v>
      </c>
      <c r="QQS18" t="s">
        <v>12191</v>
      </c>
      <c r="QQT18" t="s">
        <v>12192</v>
      </c>
      <c r="QQU18" t="s">
        <v>12193</v>
      </c>
      <c r="QQV18" t="s">
        <v>12194</v>
      </c>
      <c r="QQW18" t="s">
        <v>12195</v>
      </c>
      <c r="QQX18" t="s">
        <v>12196</v>
      </c>
      <c r="QQY18" t="s">
        <v>12197</v>
      </c>
      <c r="QQZ18" t="s">
        <v>12198</v>
      </c>
      <c r="QRA18" t="s">
        <v>12199</v>
      </c>
      <c r="QRB18" t="s">
        <v>12200</v>
      </c>
      <c r="QRC18" t="s">
        <v>12201</v>
      </c>
      <c r="QRD18" t="s">
        <v>12202</v>
      </c>
      <c r="QRE18" t="s">
        <v>12203</v>
      </c>
      <c r="QRF18" t="s">
        <v>12204</v>
      </c>
      <c r="QRG18" t="s">
        <v>12205</v>
      </c>
      <c r="QRH18" t="s">
        <v>12206</v>
      </c>
      <c r="QRI18" t="s">
        <v>12207</v>
      </c>
      <c r="QRJ18" t="s">
        <v>12208</v>
      </c>
      <c r="QRK18" t="s">
        <v>12209</v>
      </c>
      <c r="QRL18" t="s">
        <v>12210</v>
      </c>
      <c r="QRM18" t="s">
        <v>12211</v>
      </c>
      <c r="QRN18" t="s">
        <v>12212</v>
      </c>
      <c r="QRO18" t="s">
        <v>12213</v>
      </c>
      <c r="QRP18" t="s">
        <v>12214</v>
      </c>
      <c r="QRQ18" t="s">
        <v>12215</v>
      </c>
      <c r="QRR18" t="s">
        <v>12216</v>
      </c>
      <c r="QRS18" t="s">
        <v>12217</v>
      </c>
      <c r="QRT18" t="s">
        <v>12218</v>
      </c>
      <c r="QRU18" t="s">
        <v>12219</v>
      </c>
      <c r="QRV18" t="s">
        <v>12220</v>
      </c>
      <c r="QRW18" t="s">
        <v>12221</v>
      </c>
      <c r="QRX18" t="s">
        <v>12222</v>
      </c>
      <c r="QRY18" t="s">
        <v>12223</v>
      </c>
      <c r="QRZ18" t="s">
        <v>12224</v>
      </c>
      <c r="QSA18" t="s">
        <v>12225</v>
      </c>
      <c r="QSB18" t="s">
        <v>12226</v>
      </c>
      <c r="QSC18" t="s">
        <v>12227</v>
      </c>
      <c r="QSD18" t="s">
        <v>12228</v>
      </c>
      <c r="QSE18" t="s">
        <v>12229</v>
      </c>
      <c r="QSF18" t="s">
        <v>12230</v>
      </c>
      <c r="QSG18" t="s">
        <v>12231</v>
      </c>
      <c r="QSH18" t="s">
        <v>12232</v>
      </c>
      <c r="QSI18" t="s">
        <v>12233</v>
      </c>
      <c r="QSJ18" t="s">
        <v>12234</v>
      </c>
      <c r="QSK18" t="s">
        <v>12235</v>
      </c>
      <c r="QSL18" t="s">
        <v>12236</v>
      </c>
      <c r="QSM18" t="s">
        <v>12237</v>
      </c>
      <c r="QSN18" t="s">
        <v>12238</v>
      </c>
      <c r="QSO18" t="s">
        <v>12239</v>
      </c>
      <c r="QSP18" t="s">
        <v>12240</v>
      </c>
      <c r="QSQ18" t="s">
        <v>12241</v>
      </c>
      <c r="QSR18" t="s">
        <v>12242</v>
      </c>
      <c r="QSS18" t="s">
        <v>12243</v>
      </c>
      <c r="QST18" t="s">
        <v>12244</v>
      </c>
      <c r="QSU18" t="s">
        <v>12245</v>
      </c>
      <c r="QSV18" t="s">
        <v>12246</v>
      </c>
      <c r="QSW18" t="s">
        <v>12247</v>
      </c>
      <c r="QSX18" t="s">
        <v>12248</v>
      </c>
      <c r="QSY18" t="s">
        <v>12249</v>
      </c>
      <c r="QSZ18" t="s">
        <v>12250</v>
      </c>
      <c r="QTA18" t="s">
        <v>12251</v>
      </c>
      <c r="QTB18" t="s">
        <v>12252</v>
      </c>
      <c r="QTC18" t="s">
        <v>12253</v>
      </c>
      <c r="QTD18" t="s">
        <v>12254</v>
      </c>
      <c r="QTE18" t="s">
        <v>12255</v>
      </c>
      <c r="QTF18" t="s">
        <v>12256</v>
      </c>
      <c r="QTG18" t="s">
        <v>12257</v>
      </c>
      <c r="QTH18" t="s">
        <v>12258</v>
      </c>
      <c r="QTI18" t="s">
        <v>12259</v>
      </c>
      <c r="QTJ18" t="s">
        <v>12260</v>
      </c>
      <c r="QTK18" t="s">
        <v>12261</v>
      </c>
      <c r="QTL18" t="s">
        <v>12262</v>
      </c>
      <c r="QTM18" t="s">
        <v>12263</v>
      </c>
      <c r="QTN18" t="s">
        <v>12264</v>
      </c>
      <c r="QTO18" t="s">
        <v>12265</v>
      </c>
      <c r="QTP18" t="s">
        <v>12266</v>
      </c>
      <c r="QTQ18" t="s">
        <v>12267</v>
      </c>
      <c r="QTR18" t="s">
        <v>12268</v>
      </c>
      <c r="QTS18" t="s">
        <v>12269</v>
      </c>
      <c r="QTT18" t="s">
        <v>12270</v>
      </c>
      <c r="QTU18" t="s">
        <v>12271</v>
      </c>
      <c r="QTV18" t="s">
        <v>12272</v>
      </c>
      <c r="QTW18" t="s">
        <v>12273</v>
      </c>
      <c r="QTX18" t="s">
        <v>12274</v>
      </c>
      <c r="QTY18" t="s">
        <v>12275</v>
      </c>
      <c r="QTZ18" t="s">
        <v>12276</v>
      </c>
      <c r="QUA18" t="s">
        <v>12277</v>
      </c>
      <c r="QUB18" t="s">
        <v>12278</v>
      </c>
      <c r="QUC18" t="s">
        <v>12279</v>
      </c>
      <c r="QUD18" t="s">
        <v>12280</v>
      </c>
      <c r="QUE18" t="s">
        <v>12281</v>
      </c>
      <c r="QUF18" t="s">
        <v>12282</v>
      </c>
      <c r="QUG18" t="s">
        <v>12283</v>
      </c>
      <c r="QUH18" t="s">
        <v>12284</v>
      </c>
      <c r="QUI18" t="s">
        <v>12285</v>
      </c>
      <c r="QUJ18" t="s">
        <v>12286</v>
      </c>
      <c r="QUK18" t="s">
        <v>12287</v>
      </c>
      <c r="QUL18" t="s">
        <v>12288</v>
      </c>
      <c r="QUM18" t="s">
        <v>12289</v>
      </c>
      <c r="QUN18" t="s">
        <v>12290</v>
      </c>
      <c r="QUO18" t="s">
        <v>12291</v>
      </c>
      <c r="QUP18" t="s">
        <v>12292</v>
      </c>
      <c r="QUQ18" t="s">
        <v>12293</v>
      </c>
      <c r="QUR18" t="s">
        <v>12294</v>
      </c>
      <c r="QUS18" t="s">
        <v>12295</v>
      </c>
      <c r="QUT18" t="s">
        <v>12296</v>
      </c>
      <c r="QUU18" t="s">
        <v>12297</v>
      </c>
      <c r="QUV18" t="s">
        <v>12298</v>
      </c>
      <c r="QUW18" t="s">
        <v>12299</v>
      </c>
      <c r="QUX18" t="s">
        <v>12300</v>
      </c>
      <c r="QUY18" t="s">
        <v>12301</v>
      </c>
      <c r="QUZ18" t="s">
        <v>12302</v>
      </c>
      <c r="QVA18" t="s">
        <v>12303</v>
      </c>
      <c r="QVB18" t="s">
        <v>12304</v>
      </c>
      <c r="QVC18" t="s">
        <v>12305</v>
      </c>
      <c r="QVD18" t="s">
        <v>12306</v>
      </c>
      <c r="QVE18" t="s">
        <v>12307</v>
      </c>
      <c r="QVF18" t="s">
        <v>12308</v>
      </c>
      <c r="QVG18" t="s">
        <v>12309</v>
      </c>
      <c r="QVH18" t="s">
        <v>12310</v>
      </c>
      <c r="QVI18" t="s">
        <v>12311</v>
      </c>
      <c r="QVJ18" t="s">
        <v>12312</v>
      </c>
      <c r="QVK18" t="s">
        <v>12313</v>
      </c>
      <c r="QVL18" t="s">
        <v>12314</v>
      </c>
      <c r="QVM18" t="s">
        <v>12315</v>
      </c>
      <c r="QVN18" t="s">
        <v>12316</v>
      </c>
      <c r="QVO18" t="s">
        <v>12317</v>
      </c>
      <c r="QVP18" t="s">
        <v>12318</v>
      </c>
      <c r="QVQ18" t="s">
        <v>12319</v>
      </c>
      <c r="QVR18" t="s">
        <v>12320</v>
      </c>
      <c r="QVS18" t="s">
        <v>12321</v>
      </c>
      <c r="QVT18" t="s">
        <v>12322</v>
      </c>
      <c r="QVU18" t="s">
        <v>12323</v>
      </c>
      <c r="QVV18" t="s">
        <v>12324</v>
      </c>
      <c r="QVW18" t="s">
        <v>12325</v>
      </c>
      <c r="QVX18" t="s">
        <v>12326</v>
      </c>
      <c r="QVY18" t="s">
        <v>12327</v>
      </c>
      <c r="QVZ18" t="s">
        <v>12328</v>
      </c>
      <c r="QWA18" t="s">
        <v>12329</v>
      </c>
      <c r="QWB18" t="s">
        <v>12330</v>
      </c>
      <c r="QWC18" t="s">
        <v>12331</v>
      </c>
      <c r="QWD18" t="s">
        <v>12332</v>
      </c>
      <c r="QWE18" t="s">
        <v>12333</v>
      </c>
      <c r="QWF18" t="s">
        <v>12334</v>
      </c>
      <c r="QWG18" t="s">
        <v>12335</v>
      </c>
      <c r="QWH18" t="s">
        <v>12336</v>
      </c>
      <c r="QWI18" t="s">
        <v>12337</v>
      </c>
      <c r="QWJ18" t="s">
        <v>12338</v>
      </c>
      <c r="QWK18" t="s">
        <v>12339</v>
      </c>
      <c r="QWL18" t="s">
        <v>12340</v>
      </c>
      <c r="QWM18" t="s">
        <v>12341</v>
      </c>
      <c r="QWN18" t="s">
        <v>12342</v>
      </c>
      <c r="QWO18" t="s">
        <v>12343</v>
      </c>
      <c r="QWP18" t="s">
        <v>12344</v>
      </c>
      <c r="QWQ18" t="s">
        <v>12345</v>
      </c>
      <c r="QWR18" t="s">
        <v>12346</v>
      </c>
      <c r="QWS18" t="s">
        <v>12347</v>
      </c>
      <c r="QWT18" t="s">
        <v>12348</v>
      </c>
      <c r="QWU18" t="s">
        <v>12349</v>
      </c>
      <c r="QWV18" t="s">
        <v>12350</v>
      </c>
      <c r="QWW18" t="s">
        <v>12351</v>
      </c>
      <c r="QWX18" t="s">
        <v>12352</v>
      </c>
      <c r="QWY18" t="s">
        <v>12353</v>
      </c>
      <c r="QWZ18" t="s">
        <v>12354</v>
      </c>
      <c r="QXA18" t="s">
        <v>12355</v>
      </c>
      <c r="QXB18" t="s">
        <v>12356</v>
      </c>
      <c r="QXC18" t="s">
        <v>12357</v>
      </c>
      <c r="QXD18" t="s">
        <v>12358</v>
      </c>
      <c r="QXE18" t="s">
        <v>12359</v>
      </c>
      <c r="QXF18" t="s">
        <v>12360</v>
      </c>
      <c r="QXG18" t="s">
        <v>12361</v>
      </c>
      <c r="QXH18" t="s">
        <v>12362</v>
      </c>
      <c r="QXI18" t="s">
        <v>12363</v>
      </c>
      <c r="QXJ18" t="s">
        <v>12364</v>
      </c>
      <c r="QXK18" t="s">
        <v>12365</v>
      </c>
      <c r="QXL18" t="s">
        <v>12366</v>
      </c>
      <c r="QXM18" t="s">
        <v>12367</v>
      </c>
      <c r="QXN18" t="s">
        <v>12368</v>
      </c>
      <c r="QXO18" t="s">
        <v>12369</v>
      </c>
      <c r="QXP18" t="s">
        <v>12370</v>
      </c>
      <c r="QXQ18" t="s">
        <v>12371</v>
      </c>
      <c r="QXR18" t="s">
        <v>12372</v>
      </c>
      <c r="QXS18" t="s">
        <v>12373</v>
      </c>
      <c r="QXT18" t="s">
        <v>12374</v>
      </c>
      <c r="QXU18" t="s">
        <v>12375</v>
      </c>
      <c r="QXV18" t="s">
        <v>12376</v>
      </c>
      <c r="QXW18" t="s">
        <v>12377</v>
      </c>
      <c r="QXX18" t="s">
        <v>12378</v>
      </c>
      <c r="QXY18" t="s">
        <v>12379</v>
      </c>
      <c r="QXZ18" t="s">
        <v>12380</v>
      </c>
      <c r="QYA18" t="s">
        <v>12381</v>
      </c>
      <c r="QYB18" t="s">
        <v>12382</v>
      </c>
      <c r="QYC18" t="s">
        <v>12383</v>
      </c>
      <c r="QYD18" t="s">
        <v>12384</v>
      </c>
      <c r="QYE18" t="s">
        <v>12385</v>
      </c>
      <c r="QYF18" t="s">
        <v>12386</v>
      </c>
      <c r="QYG18" t="s">
        <v>12387</v>
      </c>
      <c r="QYH18" t="s">
        <v>12388</v>
      </c>
      <c r="QYI18" t="s">
        <v>12389</v>
      </c>
      <c r="QYJ18" t="s">
        <v>12390</v>
      </c>
      <c r="QYK18" t="s">
        <v>12391</v>
      </c>
      <c r="QYL18" t="s">
        <v>12392</v>
      </c>
      <c r="QYM18" t="s">
        <v>12393</v>
      </c>
      <c r="QYN18" t="s">
        <v>12394</v>
      </c>
      <c r="QYO18" t="s">
        <v>12395</v>
      </c>
      <c r="QYP18" t="s">
        <v>12396</v>
      </c>
      <c r="QYQ18" t="s">
        <v>12397</v>
      </c>
      <c r="QYR18" t="s">
        <v>12398</v>
      </c>
      <c r="QYS18" t="s">
        <v>12399</v>
      </c>
      <c r="QYT18" t="s">
        <v>12400</v>
      </c>
      <c r="QYU18" t="s">
        <v>12401</v>
      </c>
      <c r="QYV18" t="s">
        <v>12402</v>
      </c>
      <c r="QYW18" t="s">
        <v>12403</v>
      </c>
      <c r="QYX18" t="s">
        <v>12404</v>
      </c>
      <c r="QYY18" t="s">
        <v>12405</v>
      </c>
      <c r="QYZ18" t="s">
        <v>12406</v>
      </c>
      <c r="QZA18" t="s">
        <v>12407</v>
      </c>
      <c r="QZB18" t="s">
        <v>12408</v>
      </c>
      <c r="QZC18" t="s">
        <v>12409</v>
      </c>
      <c r="QZD18" t="s">
        <v>12410</v>
      </c>
      <c r="QZE18" t="s">
        <v>12411</v>
      </c>
      <c r="QZF18" t="s">
        <v>12412</v>
      </c>
      <c r="QZG18" t="s">
        <v>12413</v>
      </c>
      <c r="QZH18" t="s">
        <v>12414</v>
      </c>
      <c r="QZI18" t="s">
        <v>12415</v>
      </c>
      <c r="QZJ18" t="s">
        <v>12416</v>
      </c>
      <c r="QZK18" t="s">
        <v>12417</v>
      </c>
      <c r="QZL18" t="s">
        <v>12418</v>
      </c>
      <c r="QZM18" t="s">
        <v>12419</v>
      </c>
      <c r="QZN18" t="s">
        <v>12420</v>
      </c>
      <c r="QZO18" t="s">
        <v>12421</v>
      </c>
      <c r="QZP18" t="s">
        <v>12422</v>
      </c>
      <c r="QZQ18" t="s">
        <v>12423</v>
      </c>
      <c r="QZR18" t="s">
        <v>12424</v>
      </c>
      <c r="QZS18" t="s">
        <v>12425</v>
      </c>
      <c r="QZT18" t="s">
        <v>12426</v>
      </c>
      <c r="QZU18" t="s">
        <v>12427</v>
      </c>
      <c r="QZV18" t="s">
        <v>12428</v>
      </c>
      <c r="QZW18" t="s">
        <v>12429</v>
      </c>
      <c r="QZX18" t="s">
        <v>12430</v>
      </c>
      <c r="QZY18" t="s">
        <v>12431</v>
      </c>
      <c r="QZZ18" t="s">
        <v>12432</v>
      </c>
      <c r="RAA18" t="s">
        <v>12433</v>
      </c>
      <c r="RAB18" t="s">
        <v>12434</v>
      </c>
      <c r="RAC18" t="s">
        <v>12435</v>
      </c>
      <c r="RAD18" t="s">
        <v>12436</v>
      </c>
      <c r="RAE18" t="s">
        <v>12437</v>
      </c>
      <c r="RAF18" t="s">
        <v>12438</v>
      </c>
      <c r="RAG18" t="s">
        <v>12439</v>
      </c>
      <c r="RAH18" t="s">
        <v>12440</v>
      </c>
      <c r="RAI18" t="s">
        <v>12441</v>
      </c>
      <c r="RAJ18" t="s">
        <v>12442</v>
      </c>
      <c r="RAK18" t="s">
        <v>12443</v>
      </c>
      <c r="RAL18" t="s">
        <v>12444</v>
      </c>
      <c r="RAM18" t="s">
        <v>12445</v>
      </c>
      <c r="RAN18" t="s">
        <v>12446</v>
      </c>
      <c r="RAO18" t="s">
        <v>12447</v>
      </c>
      <c r="RAP18" t="s">
        <v>12448</v>
      </c>
      <c r="RAQ18" t="s">
        <v>12449</v>
      </c>
      <c r="RAR18" t="s">
        <v>12450</v>
      </c>
      <c r="RAS18" t="s">
        <v>12451</v>
      </c>
      <c r="RAT18" t="s">
        <v>12452</v>
      </c>
      <c r="RAU18" t="s">
        <v>12453</v>
      </c>
      <c r="RAV18" t="s">
        <v>12454</v>
      </c>
      <c r="RAW18" t="s">
        <v>12455</v>
      </c>
      <c r="RAX18" t="s">
        <v>12456</v>
      </c>
      <c r="RAY18" t="s">
        <v>12457</v>
      </c>
      <c r="RAZ18" t="s">
        <v>12458</v>
      </c>
      <c r="RBA18" t="s">
        <v>12459</v>
      </c>
      <c r="RBB18" t="s">
        <v>12460</v>
      </c>
      <c r="RBC18" t="s">
        <v>12461</v>
      </c>
      <c r="RBD18" t="s">
        <v>12462</v>
      </c>
      <c r="RBE18" t="s">
        <v>12463</v>
      </c>
      <c r="RBF18" t="s">
        <v>12464</v>
      </c>
      <c r="RBG18" t="s">
        <v>12465</v>
      </c>
      <c r="RBH18" t="s">
        <v>12466</v>
      </c>
      <c r="RBI18" t="s">
        <v>12467</v>
      </c>
      <c r="RBJ18" t="s">
        <v>12468</v>
      </c>
      <c r="RBK18" t="s">
        <v>12469</v>
      </c>
      <c r="RBL18" t="s">
        <v>12470</v>
      </c>
      <c r="RBM18" t="s">
        <v>12471</v>
      </c>
      <c r="RBN18" t="s">
        <v>12472</v>
      </c>
      <c r="RBO18" t="s">
        <v>12473</v>
      </c>
      <c r="RBP18" t="s">
        <v>12474</v>
      </c>
      <c r="RBQ18" t="s">
        <v>12475</v>
      </c>
      <c r="RBR18" t="s">
        <v>12476</v>
      </c>
      <c r="RBS18" t="s">
        <v>12477</v>
      </c>
      <c r="RBT18" t="s">
        <v>12478</v>
      </c>
      <c r="RBU18" t="s">
        <v>12479</v>
      </c>
      <c r="RBV18" t="s">
        <v>12480</v>
      </c>
      <c r="RBW18" t="s">
        <v>12481</v>
      </c>
      <c r="RBX18" t="s">
        <v>12482</v>
      </c>
      <c r="RBY18" t="s">
        <v>12483</v>
      </c>
      <c r="RBZ18" t="s">
        <v>12484</v>
      </c>
      <c r="RCA18" t="s">
        <v>12485</v>
      </c>
      <c r="RCB18" t="s">
        <v>12486</v>
      </c>
      <c r="RCC18" t="s">
        <v>12487</v>
      </c>
      <c r="RCD18" t="s">
        <v>12488</v>
      </c>
      <c r="RCE18" t="s">
        <v>12489</v>
      </c>
      <c r="RCF18" t="s">
        <v>12490</v>
      </c>
      <c r="RCG18" t="s">
        <v>12491</v>
      </c>
      <c r="RCH18" t="s">
        <v>12492</v>
      </c>
      <c r="RCI18" t="s">
        <v>12493</v>
      </c>
      <c r="RCJ18" t="s">
        <v>12494</v>
      </c>
      <c r="RCK18" t="s">
        <v>12495</v>
      </c>
      <c r="RCL18" t="s">
        <v>12496</v>
      </c>
      <c r="RCM18" t="s">
        <v>12497</v>
      </c>
      <c r="RCN18" t="s">
        <v>12498</v>
      </c>
      <c r="RCO18" t="s">
        <v>12499</v>
      </c>
      <c r="RCP18" t="s">
        <v>12500</v>
      </c>
      <c r="RCQ18" t="s">
        <v>12501</v>
      </c>
      <c r="RCR18" t="s">
        <v>12502</v>
      </c>
      <c r="RCS18" t="s">
        <v>12503</v>
      </c>
      <c r="RCT18" t="s">
        <v>12504</v>
      </c>
      <c r="RCU18" t="s">
        <v>12505</v>
      </c>
      <c r="RCV18" t="s">
        <v>12506</v>
      </c>
      <c r="RCW18" t="s">
        <v>12507</v>
      </c>
      <c r="RCX18" t="s">
        <v>12508</v>
      </c>
      <c r="RCY18" t="s">
        <v>12509</v>
      </c>
      <c r="RCZ18" t="s">
        <v>12510</v>
      </c>
      <c r="RDA18" t="s">
        <v>12511</v>
      </c>
      <c r="RDB18" t="s">
        <v>12512</v>
      </c>
      <c r="RDC18" t="s">
        <v>12513</v>
      </c>
      <c r="RDD18" t="s">
        <v>12514</v>
      </c>
      <c r="RDE18" t="s">
        <v>12515</v>
      </c>
      <c r="RDF18" t="s">
        <v>12516</v>
      </c>
      <c r="RDG18" t="s">
        <v>12517</v>
      </c>
      <c r="RDH18" t="s">
        <v>12518</v>
      </c>
      <c r="RDI18" t="s">
        <v>12519</v>
      </c>
      <c r="RDJ18" t="s">
        <v>12520</v>
      </c>
      <c r="RDK18" t="s">
        <v>12521</v>
      </c>
      <c r="RDL18" t="s">
        <v>12522</v>
      </c>
      <c r="RDM18" t="s">
        <v>12523</v>
      </c>
      <c r="RDN18" t="s">
        <v>12524</v>
      </c>
      <c r="RDO18" t="s">
        <v>12525</v>
      </c>
      <c r="RDP18" t="s">
        <v>12526</v>
      </c>
      <c r="RDQ18" t="s">
        <v>12527</v>
      </c>
      <c r="RDR18" t="s">
        <v>12528</v>
      </c>
      <c r="RDS18" t="s">
        <v>12529</v>
      </c>
      <c r="RDT18" t="s">
        <v>12530</v>
      </c>
      <c r="RDU18" t="s">
        <v>12531</v>
      </c>
      <c r="RDV18" t="s">
        <v>12532</v>
      </c>
      <c r="RDW18" t="s">
        <v>12533</v>
      </c>
      <c r="RDX18" t="s">
        <v>12534</v>
      </c>
      <c r="RDY18" t="s">
        <v>12535</v>
      </c>
      <c r="RDZ18" t="s">
        <v>12536</v>
      </c>
      <c r="REA18" t="s">
        <v>12537</v>
      </c>
      <c r="REB18" t="s">
        <v>12538</v>
      </c>
      <c r="REC18" t="s">
        <v>12539</v>
      </c>
      <c r="RED18" t="s">
        <v>12540</v>
      </c>
      <c r="REE18" t="s">
        <v>12541</v>
      </c>
      <c r="REF18" t="s">
        <v>12542</v>
      </c>
      <c r="REG18" t="s">
        <v>12543</v>
      </c>
      <c r="REH18" t="s">
        <v>12544</v>
      </c>
      <c r="REI18" t="s">
        <v>12545</v>
      </c>
      <c r="REJ18" t="s">
        <v>12546</v>
      </c>
      <c r="REK18" t="s">
        <v>12547</v>
      </c>
      <c r="REL18" t="s">
        <v>12548</v>
      </c>
      <c r="REM18" t="s">
        <v>12549</v>
      </c>
      <c r="REN18" t="s">
        <v>12550</v>
      </c>
      <c r="REO18" t="s">
        <v>12551</v>
      </c>
      <c r="REP18" t="s">
        <v>12552</v>
      </c>
      <c r="REQ18" t="s">
        <v>12553</v>
      </c>
      <c r="RER18" t="s">
        <v>12554</v>
      </c>
      <c r="RES18" t="s">
        <v>12555</v>
      </c>
      <c r="RET18" t="s">
        <v>12556</v>
      </c>
      <c r="REU18" t="s">
        <v>12557</v>
      </c>
      <c r="REV18" t="s">
        <v>12558</v>
      </c>
      <c r="REW18" t="s">
        <v>12559</v>
      </c>
      <c r="REX18" t="s">
        <v>12560</v>
      </c>
      <c r="REY18" t="s">
        <v>12561</v>
      </c>
      <c r="REZ18" t="s">
        <v>12562</v>
      </c>
      <c r="RFA18" t="s">
        <v>12563</v>
      </c>
      <c r="RFB18" t="s">
        <v>12564</v>
      </c>
      <c r="RFC18" t="s">
        <v>12565</v>
      </c>
      <c r="RFD18" t="s">
        <v>12566</v>
      </c>
      <c r="RFE18" t="s">
        <v>12567</v>
      </c>
      <c r="RFF18" t="s">
        <v>12568</v>
      </c>
      <c r="RFG18" t="s">
        <v>12569</v>
      </c>
      <c r="RFH18" t="s">
        <v>12570</v>
      </c>
      <c r="RFI18" t="s">
        <v>12571</v>
      </c>
      <c r="RFJ18" t="s">
        <v>12572</v>
      </c>
      <c r="RFK18" t="s">
        <v>12573</v>
      </c>
      <c r="RFL18" t="s">
        <v>12574</v>
      </c>
      <c r="RFM18" t="s">
        <v>12575</v>
      </c>
      <c r="RFN18" t="s">
        <v>12576</v>
      </c>
      <c r="RFO18" t="s">
        <v>12577</v>
      </c>
      <c r="RFP18" t="s">
        <v>12578</v>
      </c>
      <c r="RFQ18" t="s">
        <v>12579</v>
      </c>
      <c r="RFR18" t="s">
        <v>12580</v>
      </c>
      <c r="RFS18" t="s">
        <v>12581</v>
      </c>
      <c r="RFT18" t="s">
        <v>12582</v>
      </c>
      <c r="RFU18" t="s">
        <v>12583</v>
      </c>
      <c r="RFV18" t="s">
        <v>12584</v>
      </c>
      <c r="RFW18" t="s">
        <v>12585</v>
      </c>
      <c r="RFX18" t="s">
        <v>12586</v>
      </c>
      <c r="RFY18" t="s">
        <v>12587</v>
      </c>
      <c r="RFZ18" t="s">
        <v>12588</v>
      </c>
      <c r="RGA18" t="s">
        <v>12589</v>
      </c>
      <c r="RGB18" t="s">
        <v>12590</v>
      </c>
      <c r="RGC18" t="s">
        <v>12591</v>
      </c>
      <c r="RGD18" t="s">
        <v>12592</v>
      </c>
      <c r="RGE18" t="s">
        <v>12593</v>
      </c>
      <c r="RGF18" t="s">
        <v>12594</v>
      </c>
      <c r="RGG18" t="s">
        <v>12595</v>
      </c>
      <c r="RGH18" t="s">
        <v>12596</v>
      </c>
      <c r="RGI18" t="s">
        <v>12597</v>
      </c>
      <c r="RGJ18" t="s">
        <v>12598</v>
      </c>
      <c r="RGK18" t="s">
        <v>12599</v>
      </c>
      <c r="RGL18" t="s">
        <v>12600</v>
      </c>
      <c r="RGM18" t="s">
        <v>12601</v>
      </c>
      <c r="RGN18" t="s">
        <v>12602</v>
      </c>
      <c r="RGO18" t="s">
        <v>12603</v>
      </c>
      <c r="RGP18" t="s">
        <v>12604</v>
      </c>
      <c r="RGQ18" t="s">
        <v>12605</v>
      </c>
      <c r="RGR18" t="s">
        <v>12606</v>
      </c>
      <c r="RGS18" t="s">
        <v>12607</v>
      </c>
      <c r="RGT18" t="s">
        <v>12608</v>
      </c>
      <c r="RGU18" t="s">
        <v>12609</v>
      </c>
      <c r="RGV18" t="s">
        <v>12610</v>
      </c>
      <c r="RGW18" t="s">
        <v>12611</v>
      </c>
      <c r="RGX18" t="s">
        <v>12612</v>
      </c>
      <c r="RGY18" t="s">
        <v>12613</v>
      </c>
      <c r="RGZ18" t="s">
        <v>12614</v>
      </c>
      <c r="RHA18" t="s">
        <v>12615</v>
      </c>
      <c r="RHB18" t="s">
        <v>12616</v>
      </c>
      <c r="RHC18" t="s">
        <v>12617</v>
      </c>
      <c r="RHD18" t="s">
        <v>12618</v>
      </c>
      <c r="RHE18" t="s">
        <v>12619</v>
      </c>
      <c r="RHF18" t="s">
        <v>12620</v>
      </c>
      <c r="RHG18" t="s">
        <v>12621</v>
      </c>
      <c r="RHH18" t="s">
        <v>12622</v>
      </c>
      <c r="RHI18" t="s">
        <v>12623</v>
      </c>
      <c r="RHJ18" t="s">
        <v>12624</v>
      </c>
      <c r="RHK18" t="s">
        <v>12625</v>
      </c>
      <c r="RHL18" t="s">
        <v>12626</v>
      </c>
      <c r="RHM18" t="s">
        <v>12627</v>
      </c>
      <c r="RHN18" t="s">
        <v>12628</v>
      </c>
      <c r="RHO18" t="s">
        <v>12629</v>
      </c>
      <c r="RHP18" t="s">
        <v>12630</v>
      </c>
      <c r="RHQ18" t="s">
        <v>12631</v>
      </c>
      <c r="RHR18" t="s">
        <v>12632</v>
      </c>
      <c r="RHS18" t="s">
        <v>12633</v>
      </c>
      <c r="RHT18" t="s">
        <v>12634</v>
      </c>
      <c r="RHU18" t="s">
        <v>12635</v>
      </c>
      <c r="RHV18" t="s">
        <v>12636</v>
      </c>
      <c r="RHW18" t="s">
        <v>12637</v>
      </c>
      <c r="RHX18" t="s">
        <v>12638</v>
      </c>
      <c r="RHY18" t="s">
        <v>12639</v>
      </c>
      <c r="RHZ18" t="s">
        <v>12640</v>
      </c>
      <c r="RIA18" t="s">
        <v>12641</v>
      </c>
      <c r="RIB18" t="s">
        <v>12642</v>
      </c>
      <c r="RIC18" t="s">
        <v>12643</v>
      </c>
      <c r="RID18" t="s">
        <v>12644</v>
      </c>
      <c r="RIE18" t="s">
        <v>12645</v>
      </c>
      <c r="RIF18" t="s">
        <v>12646</v>
      </c>
      <c r="RIG18" t="s">
        <v>12647</v>
      </c>
      <c r="RIH18" t="s">
        <v>12648</v>
      </c>
      <c r="RII18" t="s">
        <v>12649</v>
      </c>
      <c r="RIJ18" t="s">
        <v>12650</v>
      </c>
      <c r="RIK18" t="s">
        <v>12651</v>
      </c>
      <c r="RIL18" t="s">
        <v>12652</v>
      </c>
      <c r="RIM18" t="s">
        <v>12653</v>
      </c>
      <c r="RIN18" t="s">
        <v>12654</v>
      </c>
      <c r="RIO18" t="s">
        <v>12655</v>
      </c>
      <c r="RIP18" t="s">
        <v>12656</v>
      </c>
      <c r="RIQ18" t="s">
        <v>12657</v>
      </c>
      <c r="RIR18" t="s">
        <v>12658</v>
      </c>
      <c r="RIS18" t="s">
        <v>12659</v>
      </c>
      <c r="RIT18" t="s">
        <v>12660</v>
      </c>
      <c r="RIU18" t="s">
        <v>12661</v>
      </c>
      <c r="RIV18" t="s">
        <v>12662</v>
      </c>
      <c r="RIW18" t="s">
        <v>12663</v>
      </c>
      <c r="RIX18" t="s">
        <v>12664</v>
      </c>
      <c r="RIY18" t="s">
        <v>12665</v>
      </c>
      <c r="RIZ18" t="s">
        <v>12666</v>
      </c>
      <c r="RJA18" t="s">
        <v>12667</v>
      </c>
      <c r="RJB18" t="s">
        <v>12668</v>
      </c>
      <c r="RJC18" t="s">
        <v>12669</v>
      </c>
      <c r="RJD18" t="s">
        <v>12670</v>
      </c>
      <c r="RJE18" t="s">
        <v>12671</v>
      </c>
      <c r="RJF18" t="s">
        <v>12672</v>
      </c>
      <c r="RJG18" t="s">
        <v>12673</v>
      </c>
      <c r="RJH18" t="s">
        <v>12674</v>
      </c>
      <c r="RJI18" t="s">
        <v>12675</v>
      </c>
      <c r="RJJ18" t="s">
        <v>12676</v>
      </c>
      <c r="RJK18" t="s">
        <v>12677</v>
      </c>
      <c r="RJL18" t="s">
        <v>12678</v>
      </c>
      <c r="RJM18" t="s">
        <v>12679</v>
      </c>
      <c r="RJN18" t="s">
        <v>12680</v>
      </c>
      <c r="RJO18" t="s">
        <v>12681</v>
      </c>
      <c r="RJP18" t="s">
        <v>12682</v>
      </c>
      <c r="RJQ18" t="s">
        <v>12683</v>
      </c>
      <c r="RJR18" t="s">
        <v>12684</v>
      </c>
      <c r="RJS18" t="s">
        <v>12685</v>
      </c>
      <c r="RJT18" t="s">
        <v>12686</v>
      </c>
      <c r="RJU18" t="s">
        <v>12687</v>
      </c>
      <c r="RJV18" t="s">
        <v>12688</v>
      </c>
      <c r="RJW18" t="s">
        <v>12689</v>
      </c>
      <c r="RJX18" t="s">
        <v>12690</v>
      </c>
      <c r="RJY18" t="s">
        <v>12691</v>
      </c>
      <c r="RJZ18" t="s">
        <v>12692</v>
      </c>
      <c r="RKA18" t="s">
        <v>12693</v>
      </c>
      <c r="RKB18" t="s">
        <v>12694</v>
      </c>
      <c r="RKC18" t="s">
        <v>12695</v>
      </c>
      <c r="RKD18" t="s">
        <v>12696</v>
      </c>
      <c r="RKE18" t="s">
        <v>12697</v>
      </c>
      <c r="RKF18" t="s">
        <v>12698</v>
      </c>
      <c r="RKG18" t="s">
        <v>12699</v>
      </c>
      <c r="RKH18" t="s">
        <v>12700</v>
      </c>
      <c r="RKI18" t="s">
        <v>12701</v>
      </c>
      <c r="RKJ18" t="s">
        <v>12702</v>
      </c>
      <c r="RKK18" t="s">
        <v>12703</v>
      </c>
      <c r="RKL18" t="s">
        <v>12704</v>
      </c>
      <c r="RKM18" t="s">
        <v>12705</v>
      </c>
      <c r="RKN18" t="s">
        <v>12706</v>
      </c>
      <c r="RKO18" t="s">
        <v>12707</v>
      </c>
      <c r="RKP18" t="s">
        <v>12708</v>
      </c>
      <c r="RKQ18" t="s">
        <v>12709</v>
      </c>
      <c r="RKR18" t="s">
        <v>12710</v>
      </c>
      <c r="RKS18" t="s">
        <v>12711</v>
      </c>
      <c r="RKT18" t="s">
        <v>12712</v>
      </c>
      <c r="RKU18" t="s">
        <v>12713</v>
      </c>
      <c r="RKV18" t="s">
        <v>12714</v>
      </c>
      <c r="RKW18" t="s">
        <v>12715</v>
      </c>
      <c r="RKX18" t="s">
        <v>12716</v>
      </c>
      <c r="RKY18" t="s">
        <v>12717</v>
      </c>
      <c r="RKZ18" t="s">
        <v>12718</v>
      </c>
      <c r="RLA18" t="s">
        <v>12719</v>
      </c>
      <c r="RLB18" t="s">
        <v>12720</v>
      </c>
      <c r="RLC18" t="s">
        <v>12721</v>
      </c>
      <c r="RLD18" t="s">
        <v>12722</v>
      </c>
      <c r="RLE18" t="s">
        <v>12723</v>
      </c>
      <c r="RLF18" t="s">
        <v>12724</v>
      </c>
      <c r="RLG18" t="s">
        <v>12725</v>
      </c>
      <c r="RLH18" t="s">
        <v>12726</v>
      </c>
      <c r="RLI18" t="s">
        <v>12727</v>
      </c>
      <c r="RLJ18" t="s">
        <v>12728</v>
      </c>
      <c r="RLK18" t="s">
        <v>12729</v>
      </c>
      <c r="RLL18" t="s">
        <v>12730</v>
      </c>
      <c r="RLM18" t="s">
        <v>12731</v>
      </c>
      <c r="RLN18" t="s">
        <v>12732</v>
      </c>
      <c r="RLO18" t="s">
        <v>12733</v>
      </c>
      <c r="RLP18" t="s">
        <v>12734</v>
      </c>
      <c r="RLQ18" t="s">
        <v>12735</v>
      </c>
      <c r="RLR18" t="s">
        <v>12736</v>
      </c>
      <c r="RLS18" t="s">
        <v>12737</v>
      </c>
      <c r="RLT18" t="s">
        <v>12738</v>
      </c>
      <c r="RLU18" t="s">
        <v>12739</v>
      </c>
      <c r="RLV18" t="s">
        <v>12740</v>
      </c>
      <c r="RLW18" t="s">
        <v>12741</v>
      </c>
      <c r="RLX18" t="s">
        <v>12742</v>
      </c>
      <c r="RLY18" t="s">
        <v>12743</v>
      </c>
      <c r="RLZ18" t="s">
        <v>12744</v>
      </c>
      <c r="RMA18" t="s">
        <v>12745</v>
      </c>
      <c r="RMB18" t="s">
        <v>12746</v>
      </c>
      <c r="RMC18" t="s">
        <v>12747</v>
      </c>
      <c r="RMD18" t="s">
        <v>12748</v>
      </c>
      <c r="RME18" t="s">
        <v>12749</v>
      </c>
      <c r="RMF18" t="s">
        <v>12750</v>
      </c>
      <c r="RMG18" t="s">
        <v>12751</v>
      </c>
      <c r="RMH18" t="s">
        <v>12752</v>
      </c>
      <c r="RMI18" t="s">
        <v>12753</v>
      </c>
      <c r="RMJ18" t="s">
        <v>12754</v>
      </c>
      <c r="RMK18" t="s">
        <v>12755</v>
      </c>
      <c r="RML18" t="s">
        <v>12756</v>
      </c>
      <c r="RMM18" t="s">
        <v>12757</v>
      </c>
      <c r="RMN18" t="s">
        <v>12758</v>
      </c>
      <c r="RMO18" t="s">
        <v>12759</v>
      </c>
      <c r="RMP18" t="s">
        <v>12760</v>
      </c>
      <c r="RMQ18" t="s">
        <v>12761</v>
      </c>
      <c r="RMR18" t="s">
        <v>12762</v>
      </c>
      <c r="RMS18" t="s">
        <v>12763</v>
      </c>
      <c r="RMT18" t="s">
        <v>12764</v>
      </c>
      <c r="RMU18" t="s">
        <v>12765</v>
      </c>
      <c r="RMV18" t="s">
        <v>12766</v>
      </c>
      <c r="RMW18" t="s">
        <v>12767</v>
      </c>
      <c r="RMX18" t="s">
        <v>12768</v>
      </c>
      <c r="RMY18" t="s">
        <v>12769</v>
      </c>
      <c r="RMZ18" t="s">
        <v>12770</v>
      </c>
      <c r="RNA18" t="s">
        <v>12771</v>
      </c>
      <c r="RNB18" t="s">
        <v>12772</v>
      </c>
      <c r="RNC18" t="s">
        <v>12773</v>
      </c>
      <c r="RND18" t="s">
        <v>12774</v>
      </c>
      <c r="RNE18" t="s">
        <v>12775</v>
      </c>
      <c r="RNF18" t="s">
        <v>12776</v>
      </c>
      <c r="RNG18" t="s">
        <v>12777</v>
      </c>
      <c r="RNH18" t="s">
        <v>12778</v>
      </c>
      <c r="RNI18" t="s">
        <v>12779</v>
      </c>
      <c r="RNJ18" t="s">
        <v>12780</v>
      </c>
      <c r="RNK18" t="s">
        <v>12781</v>
      </c>
      <c r="RNL18" t="s">
        <v>12782</v>
      </c>
      <c r="RNM18" t="s">
        <v>12783</v>
      </c>
      <c r="RNN18" t="s">
        <v>12784</v>
      </c>
      <c r="RNO18" t="s">
        <v>12785</v>
      </c>
      <c r="RNP18" t="s">
        <v>12786</v>
      </c>
      <c r="RNQ18" t="s">
        <v>12787</v>
      </c>
      <c r="RNR18" t="s">
        <v>12788</v>
      </c>
      <c r="RNS18" t="s">
        <v>12789</v>
      </c>
      <c r="RNT18" t="s">
        <v>12790</v>
      </c>
      <c r="RNU18" t="s">
        <v>12791</v>
      </c>
      <c r="RNV18" t="s">
        <v>12792</v>
      </c>
      <c r="RNW18" t="s">
        <v>12793</v>
      </c>
      <c r="RNX18" t="s">
        <v>12794</v>
      </c>
      <c r="RNY18" t="s">
        <v>12795</v>
      </c>
      <c r="RNZ18" t="s">
        <v>12796</v>
      </c>
      <c r="ROA18" t="s">
        <v>12797</v>
      </c>
      <c r="ROB18" t="s">
        <v>12798</v>
      </c>
      <c r="ROC18" t="s">
        <v>12799</v>
      </c>
      <c r="ROD18" t="s">
        <v>12800</v>
      </c>
      <c r="ROE18" t="s">
        <v>12801</v>
      </c>
      <c r="ROF18" t="s">
        <v>12802</v>
      </c>
      <c r="ROG18" t="s">
        <v>12803</v>
      </c>
      <c r="ROH18" t="s">
        <v>12804</v>
      </c>
      <c r="ROI18" t="s">
        <v>12805</v>
      </c>
      <c r="ROJ18" t="s">
        <v>12806</v>
      </c>
      <c r="ROK18" t="s">
        <v>12807</v>
      </c>
      <c r="ROL18" t="s">
        <v>12808</v>
      </c>
      <c r="ROM18" t="s">
        <v>12809</v>
      </c>
      <c r="RON18" t="s">
        <v>12810</v>
      </c>
      <c r="ROO18" t="s">
        <v>12811</v>
      </c>
      <c r="ROP18" t="s">
        <v>12812</v>
      </c>
      <c r="ROQ18" t="s">
        <v>12813</v>
      </c>
      <c r="ROR18" t="s">
        <v>12814</v>
      </c>
      <c r="ROS18" t="s">
        <v>12815</v>
      </c>
      <c r="ROT18" t="s">
        <v>12816</v>
      </c>
      <c r="ROU18" t="s">
        <v>12817</v>
      </c>
      <c r="ROV18" t="s">
        <v>12818</v>
      </c>
      <c r="ROW18" t="s">
        <v>12819</v>
      </c>
      <c r="ROX18" t="s">
        <v>12820</v>
      </c>
      <c r="ROY18" t="s">
        <v>12821</v>
      </c>
      <c r="ROZ18" t="s">
        <v>12822</v>
      </c>
      <c r="RPA18" t="s">
        <v>12823</v>
      </c>
      <c r="RPB18" t="s">
        <v>12824</v>
      </c>
      <c r="RPC18" t="s">
        <v>12825</v>
      </c>
      <c r="RPD18" t="s">
        <v>12826</v>
      </c>
      <c r="RPE18" t="s">
        <v>12827</v>
      </c>
      <c r="RPF18" t="s">
        <v>12828</v>
      </c>
      <c r="RPG18" t="s">
        <v>12829</v>
      </c>
      <c r="RPH18" t="s">
        <v>12830</v>
      </c>
      <c r="RPI18" t="s">
        <v>12831</v>
      </c>
      <c r="RPJ18" t="s">
        <v>12832</v>
      </c>
      <c r="RPK18" t="s">
        <v>12833</v>
      </c>
      <c r="RPL18" t="s">
        <v>12834</v>
      </c>
      <c r="RPM18" t="s">
        <v>12835</v>
      </c>
      <c r="RPN18" t="s">
        <v>12836</v>
      </c>
      <c r="RPO18" t="s">
        <v>12837</v>
      </c>
      <c r="RPP18" t="s">
        <v>12838</v>
      </c>
      <c r="RPQ18" t="s">
        <v>12839</v>
      </c>
      <c r="RPR18" t="s">
        <v>12840</v>
      </c>
      <c r="RPS18" t="s">
        <v>12841</v>
      </c>
      <c r="RPT18" t="s">
        <v>12842</v>
      </c>
      <c r="RPU18" t="s">
        <v>12843</v>
      </c>
      <c r="RPV18" t="s">
        <v>12844</v>
      </c>
      <c r="RPW18" t="s">
        <v>12845</v>
      </c>
      <c r="RPX18" t="s">
        <v>12846</v>
      </c>
      <c r="RPY18" t="s">
        <v>12847</v>
      </c>
      <c r="RPZ18" t="s">
        <v>12848</v>
      </c>
      <c r="RQA18" t="s">
        <v>12849</v>
      </c>
      <c r="RQB18" t="s">
        <v>12850</v>
      </c>
      <c r="RQC18" t="s">
        <v>12851</v>
      </c>
      <c r="RQD18" t="s">
        <v>12852</v>
      </c>
      <c r="RQE18" t="s">
        <v>12853</v>
      </c>
      <c r="RQF18" t="s">
        <v>12854</v>
      </c>
      <c r="RQG18" t="s">
        <v>12855</v>
      </c>
      <c r="RQH18" t="s">
        <v>12856</v>
      </c>
      <c r="RQI18" t="s">
        <v>12857</v>
      </c>
      <c r="RQJ18" t="s">
        <v>12858</v>
      </c>
      <c r="RQK18" t="s">
        <v>12859</v>
      </c>
      <c r="RQL18" t="s">
        <v>12860</v>
      </c>
      <c r="RQM18" t="s">
        <v>12861</v>
      </c>
      <c r="RQN18" t="s">
        <v>12862</v>
      </c>
      <c r="RQO18" t="s">
        <v>12863</v>
      </c>
      <c r="RQP18" t="s">
        <v>12864</v>
      </c>
      <c r="RQQ18" t="s">
        <v>12865</v>
      </c>
      <c r="RQR18" t="s">
        <v>12866</v>
      </c>
      <c r="RQS18" t="s">
        <v>12867</v>
      </c>
      <c r="RQT18" t="s">
        <v>12868</v>
      </c>
      <c r="RQU18" t="s">
        <v>12869</v>
      </c>
      <c r="RQV18" t="s">
        <v>12870</v>
      </c>
      <c r="RQW18" t="s">
        <v>12871</v>
      </c>
      <c r="RQX18" t="s">
        <v>12872</v>
      </c>
      <c r="RQY18" t="s">
        <v>12873</v>
      </c>
      <c r="RQZ18" t="s">
        <v>12874</v>
      </c>
      <c r="RRA18" t="s">
        <v>12875</v>
      </c>
      <c r="RRB18" t="s">
        <v>12876</v>
      </c>
      <c r="RRC18" t="s">
        <v>12877</v>
      </c>
      <c r="RRD18" t="s">
        <v>12878</v>
      </c>
      <c r="RRE18" t="s">
        <v>12879</v>
      </c>
      <c r="RRF18" t="s">
        <v>12880</v>
      </c>
      <c r="RRG18" t="s">
        <v>12881</v>
      </c>
      <c r="RRH18" t="s">
        <v>12882</v>
      </c>
      <c r="RRI18" t="s">
        <v>12883</v>
      </c>
      <c r="RRJ18" t="s">
        <v>12884</v>
      </c>
      <c r="RRK18" t="s">
        <v>12885</v>
      </c>
      <c r="RRL18" t="s">
        <v>12886</v>
      </c>
      <c r="RRM18" t="s">
        <v>12887</v>
      </c>
      <c r="RRN18" t="s">
        <v>12888</v>
      </c>
      <c r="RRO18" t="s">
        <v>12889</v>
      </c>
      <c r="RRP18" t="s">
        <v>12890</v>
      </c>
      <c r="RRQ18" t="s">
        <v>12891</v>
      </c>
      <c r="RRR18" t="s">
        <v>12892</v>
      </c>
      <c r="RRS18" t="s">
        <v>12893</v>
      </c>
      <c r="RRT18" t="s">
        <v>12894</v>
      </c>
      <c r="RRU18" t="s">
        <v>12895</v>
      </c>
      <c r="RRV18" t="s">
        <v>12896</v>
      </c>
      <c r="RRW18" t="s">
        <v>12897</v>
      </c>
      <c r="RRX18" t="s">
        <v>12898</v>
      </c>
      <c r="RRY18" t="s">
        <v>12899</v>
      </c>
      <c r="RRZ18" t="s">
        <v>12900</v>
      </c>
      <c r="RSA18" t="s">
        <v>12901</v>
      </c>
      <c r="RSB18" t="s">
        <v>12902</v>
      </c>
      <c r="RSC18" t="s">
        <v>12903</v>
      </c>
      <c r="RSD18" t="s">
        <v>12904</v>
      </c>
      <c r="RSE18" t="s">
        <v>12905</v>
      </c>
      <c r="RSF18" t="s">
        <v>12906</v>
      </c>
      <c r="RSG18" t="s">
        <v>12907</v>
      </c>
      <c r="RSH18" t="s">
        <v>12908</v>
      </c>
      <c r="RSI18" t="s">
        <v>12909</v>
      </c>
      <c r="RSJ18" t="s">
        <v>12910</v>
      </c>
      <c r="RSK18" t="s">
        <v>12911</v>
      </c>
      <c r="RSL18" t="s">
        <v>12912</v>
      </c>
      <c r="RSM18" t="s">
        <v>12913</v>
      </c>
      <c r="RSN18" t="s">
        <v>12914</v>
      </c>
      <c r="RSO18" t="s">
        <v>12915</v>
      </c>
      <c r="RSP18" t="s">
        <v>12916</v>
      </c>
      <c r="RSQ18" t="s">
        <v>12917</v>
      </c>
      <c r="RSR18" t="s">
        <v>12918</v>
      </c>
      <c r="RSS18" t="s">
        <v>12919</v>
      </c>
      <c r="RST18" t="s">
        <v>12920</v>
      </c>
      <c r="RSU18" t="s">
        <v>12921</v>
      </c>
      <c r="RSV18" t="s">
        <v>12922</v>
      </c>
      <c r="RSW18" t="s">
        <v>12923</v>
      </c>
      <c r="RSX18" t="s">
        <v>12924</v>
      </c>
      <c r="RSY18" t="s">
        <v>12925</v>
      </c>
      <c r="RSZ18" t="s">
        <v>12926</v>
      </c>
      <c r="RTA18" t="s">
        <v>12927</v>
      </c>
      <c r="RTB18" t="s">
        <v>12928</v>
      </c>
      <c r="RTC18" t="s">
        <v>12929</v>
      </c>
      <c r="RTD18" t="s">
        <v>12930</v>
      </c>
      <c r="RTE18" t="s">
        <v>12931</v>
      </c>
      <c r="RTF18" t="s">
        <v>12932</v>
      </c>
      <c r="RTG18" t="s">
        <v>12933</v>
      </c>
      <c r="RTH18" t="s">
        <v>12934</v>
      </c>
      <c r="RTI18" t="s">
        <v>12935</v>
      </c>
      <c r="RTJ18" t="s">
        <v>12936</v>
      </c>
      <c r="RTK18" t="s">
        <v>12937</v>
      </c>
      <c r="RTL18" t="s">
        <v>12938</v>
      </c>
      <c r="RTM18" t="s">
        <v>12939</v>
      </c>
      <c r="RTN18" t="s">
        <v>12940</v>
      </c>
      <c r="RTO18" t="s">
        <v>12941</v>
      </c>
      <c r="RTP18" t="s">
        <v>12942</v>
      </c>
      <c r="RTQ18" t="s">
        <v>12943</v>
      </c>
      <c r="RTR18" t="s">
        <v>12944</v>
      </c>
      <c r="RTS18" t="s">
        <v>12945</v>
      </c>
      <c r="RTT18" t="s">
        <v>12946</v>
      </c>
      <c r="RTU18" t="s">
        <v>12947</v>
      </c>
      <c r="RTV18" t="s">
        <v>12948</v>
      </c>
      <c r="RTW18" t="s">
        <v>12949</v>
      </c>
      <c r="RTX18" t="s">
        <v>12950</v>
      </c>
      <c r="RTY18" t="s">
        <v>12951</v>
      </c>
      <c r="RTZ18" t="s">
        <v>12952</v>
      </c>
      <c r="RUA18" t="s">
        <v>12953</v>
      </c>
      <c r="RUB18" t="s">
        <v>12954</v>
      </c>
      <c r="RUC18" t="s">
        <v>12955</v>
      </c>
      <c r="RUD18" t="s">
        <v>12956</v>
      </c>
      <c r="RUE18" t="s">
        <v>12957</v>
      </c>
      <c r="RUF18" t="s">
        <v>12958</v>
      </c>
      <c r="RUG18" t="s">
        <v>12959</v>
      </c>
      <c r="RUH18" t="s">
        <v>12960</v>
      </c>
      <c r="RUI18" t="s">
        <v>12961</v>
      </c>
      <c r="RUJ18" t="s">
        <v>12962</v>
      </c>
      <c r="RUK18" t="s">
        <v>12963</v>
      </c>
      <c r="RUL18" t="s">
        <v>12964</v>
      </c>
      <c r="RUM18" t="s">
        <v>12965</v>
      </c>
      <c r="RUN18" t="s">
        <v>12966</v>
      </c>
      <c r="RUO18" t="s">
        <v>12967</v>
      </c>
      <c r="RUP18" t="s">
        <v>12968</v>
      </c>
      <c r="RUQ18" t="s">
        <v>12969</v>
      </c>
      <c r="RUR18" t="s">
        <v>12970</v>
      </c>
      <c r="RUS18" t="s">
        <v>12971</v>
      </c>
      <c r="RUT18" t="s">
        <v>12972</v>
      </c>
      <c r="RUU18" t="s">
        <v>12973</v>
      </c>
      <c r="RUV18" t="s">
        <v>12974</v>
      </c>
      <c r="RUW18" t="s">
        <v>12975</v>
      </c>
      <c r="RUX18" t="s">
        <v>12976</v>
      </c>
      <c r="RUY18" t="s">
        <v>12977</v>
      </c>
      <c r="RUZ18" t="s">
        <v>12978</v>
      </c>
      <c r="RVA18" t="s">
        <v>12979</v>
      </c>
      <c r="RVB18" t="s">
        <v>12980</v>
      </c>
      <c r="RVC18" t="s">
        <v>12981</v>
      </c>
      <c r="RVD18" t="s">
        <v>12982</v>
      </c>
      <c r="RVE18" t="s">
        <v>12983</v>
      </c>
      <c r="RVF18" t="s">
        <v>12984</v>
      </c>
      <c r="RVG18" t="s">
        <v>12985</v>
      </c>
      <c r="RVH18" t="s">
        <v>12986</v>
      </c>
      <c r="RVI18" t="s">
        <v>12987</v>
      </c>
      <c r="RVJ18" t="s">
        <v>12988</v>
      </c>
      <c r="RVK18" t="s">
        <v>12989</v>
      </c>
      <c r="RVL18" t="s">
        <v>12990</v>
      </c>
      <c r="RVM18" t="s">
        <v>12991</v>
      </c>
      <c r="RVN18" t="s">
        <v>12992</v>
      </c>
      <c r="RVO18" t="s">
        <v>12993</v>
      </c>
      <c r="RVP18" t="s">
        <v>12994</v>
      </c>
      <c r="RVQ18" t="s">
        <v>12995</v>
      </c>
      <c r="RVR18" t="s">
        <v>12996</v>
      </c>
      <c r="RVS18" t="s">
        <v>12997</v>
      </c>
      <c r="RVT18" t="s">
        <v>12998</v>
      </c>
      <c r="RVU18" t="s">
        <v>12999</v>
      </c>
      <c r="RVV18" t="s">
        <v>13000</v>
      </c>
      <c r="RVW18" t="s">
        <v>13001</v>
      </c>
      <c r="RVX18" t="s">
        <v>13002</v>
      </c>
      <c r="RVY18" t="s">
        <v>13003</v>
      </c>
      <c r="RVZ18" t="s">
        <v>13004</v>
      </c>
      <c r="RWA18" t="s">
        <v>13005</v>
      </c>
      <c r="RWB18" t="s">
        <v>13006</v>
      </c>
      <c r="RWC18" t="s">
        <v>13007</v>
      </c>
      <c r="RWD18" t="s">
        <v>13008</v>
      </c>
      <c r="RWE18" t="s">
        <v>13009</v>
      </c>
      <c r="RWF18" t="s">
        <v>13010</v>
      </c>
      <c r="RWG18" t="s">
        <v>13011</v>
      </c>
      <c r="RWH18" t="s">
        <v>13012</v>
      </c>
      <c r="RWI18" t="s">
        <v>13013</v>
      </c>
      <c r="RWJ18" t="s">
        <v>13014</v>
      </c>
      <c r="RWK18" t="s">
        <v>13015</v>
      </c>
      <c r="RWL18" t="s">
        <v>13016</v>
      </c>
      <c r="RWM18" t="s">
        <v>13017</v>
      </c>
      <c r="RWN18" t="s">
        <v>13018</v>
      </c>
      <c r="RWO18" t="s">
        <v>13019</v>
      </c>
      <c r="RWP18" t="s">
        <v>13020</v>
      </c>
      <c r="RWQ18" t="s">
        <v>13021</v>
      </c>
      <c r="RWR18" t="s">
        <v>13022</v>
      </c>
      <c r="RWS18" t="s">
        <v>13023</v>
      </c>
      <c r="RWT18" t="s">
        <v>13024</v>
      </c>
      <c r="RWU18" t="s">
        <v>13025</v>
      </c>
      <c r="RWV18" t="s">
        <v>13026</v>
      </c>
      <c r="RWW18" t="s">
        <v>13027</v>
      </c>
      <c r="RWX18" t="s">
        <v>13028</v>
      </c>
      <c r="RWY18" t="s">
        <v>13029</v>
      </c>
      <c r="RWZ18" t="s">
        <v>13030</v>
      </c>
      <c r="RXA18" t="s">
        <v>13031</v>
      </c>
      <c r="RXB18" t="s">
        <v>13032</v>
      </c>
      <c r="RXC18" t="s">
        <v>13033</v>
      </c>
      <c r="RXD18" t="s">
        <v>13034</v>
      </c>
      <c r="RXE18" t="s">
        <v>13035</v>
      </c>
      <c r="RXF18" t="s">
        <v>13036</v>
      </c>
      <c r="RXG18" t="s">
        <v>13037</v>
      </c>
      <c r="RXH18" t="s">
        <v>13038</v>
      </c>
      <c r="RXI18" t="s">
        <v>13039</v>
      </c>
      <c r="RXJ18" t="s">
        <v>13040</v>
      </c>
      <c r="RXK18" t="s">
        <v>13041</v>
      </c>
      <c r="RXL18" t="s">
        <v>13042</v>
      </c>
      <c r="RXM18" t="s">
        <v>13043</v>
      </c>
      <c r="RXN18" t="s">
        <v>13044</v>
      </c>
      <c r="RXO18" t="s">
        <v>13045</v>
      </c>
      <c r="RXP18" t="s">
        <v>13046</v>
      </c>
      <c r="RXQ18" t="s">
        <v>13047</v>
      </c>
      <c r="RXR18" t="s">
        <v>13048</v>
      </c>
      <c r="RXS18" t="s">
        <v>13049</v>
      </c>
      <c r="RXT18" t="s">
        <v>13050</v>
      </c>
      <c r="RXU18" t="s">
        <v>13051</v>
      </c>
      <c r="RXV18" t="s">
        <v>13052</v>
      </c>
      <c r="RXW18" t="s">
        <v>13053</v>
      </c>
      <c r="RXX18" t="s">
        <v>13054</v>
      </c>
      <c r="RXY18" t="s">
        <v>13055</v>
      </c>
      <c r="RXZ18" t="s">
        <v>13056</v>
      </c>
      <c r="RYA18" t="s">
        <v>13057</v>
      </c>
      <c r="RYB18" t="s">
        <v>13058</v>
      </c>
      <c r="RYC18" t="s">
        <v>13059</v>
      </c>
      <c r="RYD18" t="s">
        <v>13060</v>
      </c>
      <c r="RYE18" t="s">
        <v>13061</v>
      </c>
      <c r="RYF18" t="s">
        <v>13062</v>
      </c>
      <c r="RYG18" t="s">
        <v>13063</v>
      </c>
      <c r="RYH18" t="s">
        <v>13064</v>
      </c>
      <c r="RYI18" t="s">
        <v>13065</v>
      </c>
      <c r="RYJ18" t="s">
        <v>13066</v>
      </c>
      <c r="RYK18" t="s">
        <v>13067</v>
      </c>
      <c r="RYL18" t="s">
        <v>13068</v>
      </c>
      <c r="RYM18" t="s">
        <v>13069</v>
      </c>
      <c r="RYN18" t="s">
        <v>13070</v>
      </c>
      <c r="RYO18" t="s">
        <v>13071</v>
      </c>
      <c r="RYP18" t="s">
        <v>13072</v>
      </c>
      <c r="RYQ18" t="s">
        <v>13073</v>
      </c>
      <c r="RYR18" t="s">
        <v>13074</v>
      </c>
      <c r="RYS18" t="s">
        <v>13075</v>
      </c>
      <c r="RYT18" t="s">
        <v>13076</v>
      </c>
      <c r="RYU18" t="s">
        <v>13077</v>
      </c>
      <c r="RYV18" t="s">
        <v>13078</v>
      </c>
      <c r="RYW18" t="s">
        <v>13079</v>
      </c>
      <c r="RYX18" t="s">
        <v>13080</v>
      </c>
      <c r="RYY18" t="s">
        <v>13081</v>
      </c>
      <c r="RYZ18" t="s">
        <v>13082</v>
      </c>
      <c r="RZA18" t="s">
        <v>13083</v>
      </c>
      <c r="RZB18" t="s">
        <v>13084</v>
      </c>
      <c r="RZC18" t="s">
        <v>13085</v>
      </c>
      <c r="RZD18" t="s">
        <v>13086</v>
      </c>
      <c r="RZE18" t="s">
        <v>13087</v>
      </c>
      <c r="RZF18" t="s">
        <v>13088</v>
      </c>
      <c r="RZG18" t="s">
        <v>13089</v>
      </c>
      <c r="RZH18" t="s">
        <v>13090</v>
      </c>
      <c r="RZI18" t="s">
        <v>13091</v>
      </c>
      <c r="RZJ18" t="s">
        <v>13092</v>
      </c>
      <c r="RZK18" t="s">
        <v>13093</v>
      </c>
      <c r="RZL18" t="s">
        <v>13094</v>
      </c>
      <c r="RZM18" t="s">
        <v>13095</v>
      </c>
      <c r="RZN18" t="s">
        <v>13096</v>
      </c>
      <c r="RZO18" t="s">
        <v>13097</v>
      </c>
      <c r="RZP18" t="s">
        <v>13098</v>
      </c>
      <c r="RZQ18" t="s">
        <v>13099</v>
      </c>
      <c r="RZR18" t="s">
        <v>13100</v>
      </c>
      <c r="RZS18" t="s">
        <v>13101</v>
      </c>
      <c r="RZT18" t="s">
        <v>13102</v>
      </c>
      <c r="RZU18" t="s">
        <v>13103</v>
      </c>
      <c r="RZV18" t="s">
        <v>13104</v>
      </c>
      <c r="RZW18" t="s">
        <v>13105</v>
      </c>
      <c r="RZX18" t="s">
        <v>13106</v>
      </c>
      <c r="RZY18" t="s">
        <v>13107</v>
      </c>
      <c r="RZZ18" t="s">
        <v>13108</v>
      </c>
      <c r="SAA18" t="s">
        <v>13109</v>
      </c>
      <c r="SAB18" t="s">
        <v>13110</v>
      </c>
      <c r="SAC18" t="s">
        <v>13111</v>
      </c>
      <c r="SAD18" t="s">
        <v>13112</v>
      </c>
      <c r="SAE18" t="s">
        <v>13113</v>
      </c>
      <c r="SAF18" t="s">
        <v>13114</v>
      </c>
      <c r="SAG18" t="s">
        <v>13115</v>
      </c>
      <c r="SAH18" t="s">
        <v>13116</v>
      </c>
      <c r="SAI18" t="s">
        <v>13117</v>
      </c>
      <c r="SAJ18" t="s">
        <v>13118</v>
      </c>
      <c r="SAK18" t="s">
        <v>13119</v>
      </c>
      <c r="SAL18" t="s">
        <v>13120</v>
      </c>
      <c r="SAM18" t="s">
        <v>13121</v>
      </c>
      <c r="SAN18" t="s">
        <v>13122</v>
      </c>
      <c r="SAO18" t="s">
        <v>13123</v>
      </c>
      <c r="SAP18" t="s">
        <v>13124</v>
      </c>
      <c r="SAQ18" t="s">
        <v>13125</v>
      </c>
      <c r="SAR18" t="s">
        <v>13126</v>
      </c>
      <c r="SAS18" t="s">
        <v>13127</v>
      </c>
      <c r="SAT18" t="s">
        <v>13128</v>
      </c>
      <c r="SAU18" t="s">
        <v>13129</v>
      </c>
      <c r="SAV18" t="s">
        <v>13130</v>
      </c>
      <c r="SAW18" t="s">
        <v>13131</v>
      </c>
      <c r="SAX18" t="s">
        <v>13132</v>
      </c>
      <c r="SAY18" t="s">
        <v>13133</v>
      </c>
      <c r="SAZ18" t="s">
        <v>13134</v>
      </c>
      <c r="SBA18" t="s">
        <v>13135</v>
      </c>
      <c r="SBB18" t="s">
        <v>13136</v>
      </c>
      <c r="SBC18" t="s">
        <v>13137</v>
      </c>
      <c r="SBD18" t="s">
        <v>13138</v>
      </c>
      <c r="SBE18" t="s">
        <v>13139</v>
      </c>
      <c r="SBF18" t="s">
        <v>13140</v>
      </c>
      <c r="SBG18" t="s">
        <v>13141</v>
      </c>
      <c r="SBH18" t="s">
        <v>13142</v>
      </c>
      <c r="SBI18" t="s">
        <v>13143</v>
      </c>
      <c r="SBJ18" t="s">
        <v>13144</v>
      </c>
      <c r="SBK18" t="s">
        <v>13145</v>
      </c>
      <c r="SBL18" t="s">
        <v>13146</v>
      </c>
      <c r="SBM18" t="s">
        <v>13147</v>
      </c>
      <c r="SBN18" t="s">
        <v>13148</v>
      </c>
      <c r="SBO18" t="s">
        <v>13149</v>
      </c>
      <c r="SBP18" t="s">
        <v>13150</v>
      </c>
      <c r="SBQ18" t="s">
        <v>13151</v>
      </c>
      <c r="SBR18" t="s">
        <v>13152</v>
      </c>
      <c r="SBS18" t="s">
        <v>13153</v>
      </c>
      <c r="SBT18" t="s">
        <v>13154</v>
      </c>
      <c r="SBU18" t="s">
        <v>13155</v>
      </c>
      <c r="SBV18" t="s">
        <v>13156</v>
      </c>
      <c r="SBW18" t="s">
        <v>13157</v>
      </c>
      <c r="SBX18" t="s">
        <v>13158</v>
      </c>
      <c r="SBY18" t="s">
        <v>13159</v>
      </c>
      <c r="SBZ18" t="s">
        <v>13160</v>
      </c>
      <c r="SCA18" t="s">
        <v>13161</v>
      </c>
      <c r="SCB18" t="s">
        <v>13162</v>
      </c>
      <c r="SCC18" t="s">
        <v>13163</v>
      </c>
      <c r="SCD18" t="s">
        <v>13164</v>
      </c>
      <c r="SCE18" t="s">
        <v>13165</v>
      </c>
      <c r="SCF18" t="s">
        <v>13166</v>
      </c>
      <c r="SCG18" t="s">
        <v>13167</v>
      </c>
      <c r="SCH18" t="s">
        <v>13168</v>
      </c>
      <c r="SCI18" t="s">
        <v>13169</v>
      </c>
      <c r="SCJ18" t="s">
        <v>13170</v>
      </c>
      <c r="SCK18" t="s">
        <v>13171</v>
      </c>
      <c r="SCL18" t="s">
        <v>13172</v>
      </c>
      <c r="SCM18" t="s">
        <v>13173</v>
      </c>
      <c r="SCN18" t="s">
        <v>13174</v>
      </c>
      <c r="SCO18" t="s">
        <v>13175</v>
      </c>
      <c r="SCP18" t="s">
        <v>13176</v>
      </c>
      <c r="SCQ18" t="s">
        <v>13177</v>
      </c>
      <c r="SCR18" t="s">
        <v>13178</v>
      </c>
      <c r="SCS18" t="s">
        <v>13179</v>
      </c>
      <c r="SCT18" t="s">
        <v>13180</v>
      </c>
      <c r="SCU18" t="s">
        <v>13181</v>
      </c>
      <c r="SCV18" t="s">
        <v>13182</v>
      </c>
      <c r="SCW18" t="s">
        <v>13183</v>
      </c>
      <c r="SCX18" t="s">
        <v>13184</v>
      </c>
      <c r="SCY18" t="s">
        <v>13185</v>
      </c>
      <c r="SCZ18" t="s">
        <v>13186</v>
      </c>
      <c r="SDA18" t="s">
        <v>13187</v>
      </c>
      <c r="SDB18" t="s">
        <v>13188</v>
      </c>
      <c r="SDC18" t="s">
        <v>13189</v>
      </c>
      <c r="SDD18" t="s">
        <v>13190</v>
      </c>
      <c r="SDE18" t="s">
        <v>13191</v>
      </c>
      <c r="SDF18" t="s">
        <v>13192</v>
      </c>
      <c r="SDG18" t="s">
        <v>13193</v>
      </c>
      <c r="SDH18" t="s">
        <v>13194</v>
      </c>
      <c r="SDI18" t="s">
        <v>13195</v>
      </c>
      <c r="SDJ18" t="s">
        <v>13196</v>
      </c>
      <c r="SDK18" t="s">
        <v>13197</v>
      </c>
      <c r="SDL18" t="s">
        <v>13198</v>
      </c>
      <c r="SDM18" t="s">
        <v>13199</v>
      </c>
      <c r="SDN18" t="s">
        <v>13200</v>
      </c>
      <c r="SDO18" t="s">
        <v>13201</v>
      </c>
      <c r="SDP18" t="s">
        <v>13202</v>
      </c>
      <c r="SDQ18" t="s">
        <v>13203</v>
      </c>
      <c r="SDR18" t="s">
        <v>13204</v>
      </c>
      <c r="SDS18" t="s">
        <v>13205</v>
      </c>
      <c r="SDT18" t="s">
        <v>13206</v>
      </c>
      <c r="SDU18" t="s">
        <v>13207</v>
      </c>
      <c r="SDV18" t="s">
        <v>13208</v>
      </c>
      <c r="SDW18" t="s">
        <v>13209</v>
      </c>
      <c r="SDX18" t="s">
        <v>13210</v>
      </c>
      <c r="SDY18" t="s">
        <v>13211</v>
      </c>
      <c r="SDZ18" t="s">
        <v>13212</v>
      </c>
      <c r="SEA18" t="s">
        <v>13213</v>
      </c>
      <c r="SEB18" t="s">
        <v>13214</v>
      </c>
      <c r="SEC18" t="s">
        <v>13215</v>
      </c>
      <c r="SED18" t="s">
        <v>13216</v>
      </c>
      <c r="SEE18" t="s">
        <v>13217</v>
      </c>
      <c r="SEF18" t="s">
        <v>13218</v>
      </c>
      <c r="SEG18" t="s">
        <v>13219</v>
      </c>
      <c r="SEH18" t="s">
        <v>13220</v>
      </c>
      <c r="SEI18" t="s">
        <v>13221</v>
      </c>
      <c r="SEJ18" t="s">
        <v>13222</v>
      </c>
      <c r="SEK18" t="s">
        <v>13223</v>
      </c>
      <c r="SEL18" t="s">
        <v>13224</v>
      </c>
      <c r="SEM18" t="s">
        <v>13225</v>
      </c>
      <c r="SEN18" t="s">
        <v>13226</v>
      </c>
      <c r="SEO18" t="s">
        <v>13227</v>
      </c>
      <c r="SEP18" t="s">
        <v>13228</v>
      </c>
      <c r="SEQ18" t="s">
        <v>13229</v>
      </c>
      <c r="SER18" t="s">
        <v>13230</v>
      </c>
      <c r="SES18" t="s">
        <v>13231</v>
      </c>
      <c r="SET18" t="s">
        <v>13232</v>
      </c>
      <c r="SEU18" t="s">
        <v>13233</v>
      </c>
      <c r="SEV18" t="s">
        <v>13234</v>
      </c>
      <c r="SEW18" t="s">
        <v>13235</v>
      </c>
      <c r="SEX18" t="s">
        <v>13236</v>
      </c>
      <c r="SEY18" t="s">
        <v>13237</v>
      </c>
      <c r="SEZ18" t="s">
        <v>13238</v>
      </c>
      <c r="SFA18" t="s">
        <v>13239</v>
      </c>
      <c r="SFB18" t="s">
        <v>13240</v>
      </c>
      <c r="SFC18" t="s">
        <v>13241</v>
      </c>
      <c r="SFD18" t="s">
        <v>13242</v>
      </c>
      <c r="SFE18" t="s">
        <v>13243</v>
      </c>
      <c r="SFF18" t="s">
        <v>13244</v>
      </c>
      <c r="SFG18" t="s">
        <v>13245</v>
      </c>
      <c r="SFH18" t="s">
        <v>13246</v>
      </c>
      <c r="SFI18" t="s">
        <v>13247</v>
      </c>
      <c r="SFJ18" t="s">
        <v>13248</v>
      </c>
      <c r="SFK18" t="s">
        <v>13249</v>
      </c>
      <c r="SFL18" t="s">
        <v>13250</v>
      </c>
      <c r="SFM18" t="s">
        <v>13251</v>
      </c>
      <c r="SFN18" t="s">
        <v>13252</v>
      </c>
      <c r="SFO18" t="s">
        <v>13253</v>
      </c>
      <c r="SFP18" t="s">
        <v>13254</v>
      </c>
      <c r="SFQ18" t="s">
        <v>13255</v>
      </c>
      <c r="SFR18" t="s">
        <v>13256</v>
      </c>
      <c r="SFS18" t="s">
        <v>13257</v>
      </c>
      <c r="SFT18" t="s">
        <v>13258</v>
      </c>
      <c r="SFU18" t="s">
        <v>13259</v>
      </c>
      <c r="SFV18" t="s">
        <v>13260</v>
      </c>
      <c r="SFW18" t="s">
        <v>13261</v>
      </c>
      <c r="SFX18" t="s">
        <v>13262</v>
      </c>
      <c r="SFY18" t="s">
        <v>13263</v>
      </c>
      <c r="SFZ18" t="s">
        <v>13264</v>
      </c>
      <c r="SGA18" t="s">
        <v>13265</v>
      </c>
      <c r="SGB18" t="s">
        <v>13266</v>
      </c>
      <c r="SGC18" t="s">
        <v>13267</v>
      </c>
      <c r="SGD18" t="s">
        <v>13268</v>
      </c>
      <c r="SGE18" t="s">
        <v>13269</v>
      </c>
      <c r="SGF18" t="s">
        <v>13270</v>
      </c>
      <c r="SGG18" t="s">
        <v>13271</v>
      </c>
      <c r="SGH18" t="s">
        <v>13272</v>
      </c>
      <c r="SGI18" t="s">
        <v>13273</v>
      </c>
      <c r="SGJ18" t="s">
        <v>13274</v>
      </c>
      <c r="SGK18" t="s">
        <v>13275</v>
      </c>
      <c r="SGL18" t="s">
        <v>13276</v>
      </c>
      <c r="SGM18" t="s">
        <v>13277</v>
      </c>
      <c r="SGN18" t="s">
        <v>13278</v>
      </c>
      <c r="SGO18" t="s">
        <v>13279</v>
      </c>
      <c r="SGP18" t="s">
        <v>13280</v>
      </c>
      <c r="SGQ18" t="s">
        <v>13281</v>
      </c>
      <c r="SGR18" t="s">
        <v>13282</v>
      </c>
      <c r="SGS18" t="s">
        <v>13283</v>
      </c>
      <c r="SGT18" t="s">
        <v>13284</v>
      </c>
      <c r="SGU18" t="s">
        <v>13285</v>
      </c>
      <c r="SGV18" t="s">
        <v>13286</v>
      </c>
      <c r="SGW18" t="s">
        <v>13287</v>
      </c>
      <c r="SGX18" t="s">
        <v>13288</v>
      </c>
      <c r="SGY18" t="s">
        <v>13289</v>
      </c>
      <c r="SGZ18" t="s">
        <v>13290</v>
      </c>
      <c r="SHA18" t="s">
        <v>13291</v>
      </c>
      <c r="SHB18" t="s">
        <v>13292</v>
      </c>
      <c r="SHC18" t="s">
        <v>13293</v>
      </c>
      <c r="SHD18" t="s">
        <v>13294</v>
      </c>
      <c r="SHE18" t="s">
        <v>13295</v>
      </c>
      <c r="SHF18" t="s">
        <v>13296</v>
      </c>
      <c r="SHG18" t="s">
        <v>13297</v>
      </c>
      <c r="SHH18" t="s">
        <v>13298</v>
      </c>
      <c r="SHI18" t="s">
        <v>13299</v>
      </c>
      <c r="SHJ18" t="s">
        <v>13300</v>
      </c>
      <c r="SHK18" t="s">
        <v>13301</v>
      </c>
      <c r="SHL18" t="s">
        <v>13302</v>
      </c>
      <c r="SHM18" t="s">
        <v>13303</v>
      </c>
      <c r="SHN18" t="s">
        <v>13304</v>
      </c>
      <c r="SHO18" t="s">
        <v>13305</v>
      </c>
      <c r="SHP18" t="s">
        <v>13306</v>
      </c>
      <c r="SHQ18" t="s">
        <v>13307</v>
      </c>
      <c r="SHR18" t="s">
        <v>13308</v>
      </c>
      <c r="SHS18" t="s">
        <v>13309</v>
      </c>
      <c r="SHT18" t="s">
        <v>13310</v>
      </c>
      <c r="SHU18" t="s">
        <v>13311</v>
      </c>
      <c r="SHV18" t="s">
        <v>13312</v>
      </c>
      <c r="SHW18" t="s">
        <v>13313</v>
      </c>
      <c r="SHX18" t="s">
        <v>13314</v>
      </c>
      <c r="SHY18" t="s">
        <v>13315</v>
      </c>
      <c r="SHZ18" t="s">
        <v>13316</v>
      </c>
      <c r="SIA18" t="s">
        <v>13317</v>
      </c>
      <c r="SIB18" t="s">
        <v>13318</v>
      </c>
      <c r="SIC18" t="s">
        <v>13319</v>
      </c>
      <c r="SID18" t="s">
        <v>13320</v>
      </c>
      <c r="SIE18" t="s">
        <v>13321</v>
      </c>
      <c r="SIF18" t="s">
        <v>13322</v>
      </c>
      <c r="SIG18" t="s">
        <v>13323</v>
      </c>
      <c r="SIH18" t="s">
        <v>13324</v>
      </c>
      <c r="SII18" t="s">
        <v>13325</v>
      </c>
      <c r="SIJ18" t="s">
        <v>13326</v>
      </c>
      <c r="SIK18" t="s">
        <v>13327</v>
      </c>
      <c r="SIL18" t="s">
        <v>13328</v>
      </c>
      <c r="SIM18" t="s">
        <v>13329</v>
      </c>
      <c r="SIN18" t="s">
        <v>13330</v>
      </c>
      <c r="SIO18" t="s">
        <v>13331</v>
      </c>
      <c r="SIP18" t="s">
        <v>13332</v>
      </c>
      <c r="SIQ18" t="s">
        <v>13333</v>
      </c>
      <c r="SIR18" t="s">
        <v>13334</v>
      </c>
      <c r="SIS18" t="s">
        <v>13335</v>
      </c>
      <c r="SIT18" t="s">
        <v>13336</v>
      </c>
      <c r="SIU18" t="s">
        <v>13337</v>
      </c>
      <c r="SIV18" t="s">
        <v>13338</v>
      </c>
      <c r="SIW18" t="s">
        <v>13339</v>
      </c>
      <c r="SIX18" t="s">
        <v>13340</v>
      </c>
      <c r="SIY18" t="s">
        <v>13341</v>
      </c>
      <c r="SIZ18" t="s">
        <v>13342</v>
      </c>
      <c r="SJA18" t="s">
        <v>13343</v>
      </c>
      <c r="SJB18" t="s">
        <v>13344</v>
      </c>
      <c r="SJC18" t="s">
        <v>13345</v>
      </c>
      <c r="SJD18" t="s">
        <v>13346</v>
      </c>
      <c r="SJE18" t="s">
        <v>13347</v>
      </c>
      <c r="SJF18" t="s">
        <v>13348</v>
      </c>
      <c r="SJG18" t="s">
        <v>13349</v>
      </c>
      <c r="SJH18" t="s">
        <v>13350</v>
      </c>
      <c r="SJI18" t="s">
        <v>13351</v>
      </c>
      <c r="SJJ18" t="s">
        <v>13352</v>
      </c>
      <c r="SJK18" t="s">
        <v>13353</v>
      </c>
      <c r="SJL18" t="s">
        <v>13354</v>
      </c>
      <c r="SJM18" t="s">
        <v>13355</v>
      </c>
      <c r="SJN18" t="s">
        <v>13356</v>
      </c>
      <c r="SJO18" t="s">
        <v>13357</v>
      </c>
      <c r="SJP18" t="s">
        <v>13358</v>
      </c>
      <c r="SJQ18" t="s">
        <v>13359</v>
      </c>
      <c r="SJR18" t="s">
        <v>13360</v>
      </c>
      <c r="SJS18" t="s">
        <v>13361</v>
      </c>
      <c r="SJT18" t="s">
        <v>13362</v>
      </c>
      <c r="SJU18" t="s">
        <v>13363</v>
      </c>
      <c r="SJV18" t="s">
        <v>13364</v>
      </c>
      <c r="SJW18" t="s">
        <v>13365</v>
      </c>
      <c r="SJX18" t="s">
        <v>13366</v>
      </c>
      <c r="SJY18" t="s">
        <v>13367</v>
      </c>
      <c r="SJZ18" t="s">
        <v>13368</v>
      </c>
      <c r="SKA18" t="s">
        <v>13369</v>
      </c>
      <c r="SKB18" t="s">
        <v>13370</v>
      </c>
      <c r="SKC18" t="s">
        <v>13371</v>
      </c>
      <c r="SKD18" t="s">
        <v>13372</v>
      </c>
      <c r="SKE18" t="s">
        <v>13373</v>
      </c>
      <c r="SKF18" t="s">
        <v>13374</v>
      </c>
      <c r="SKG18" t="s">
        <v>13375</v>
      </c>
      <c r="SKH18" t="s">
        <v>13376</v>
      </c>
      <c r="SKI18" t="s">
        <v>13377</v>
      </c>
      <c r="SKJ18" t="s">
        <v>13378</v>
      </c>
      <c r="SKK18" t="s">
        <v>13379</v>
      </c>
      <c r="SKL18" t="s">
        <v>13380</v>
      </c>
      <c r="SKM18" t="s">
        <v>13381</v>
      </c>
      <c r="SKN18" t="s">
        <v>13382</v>
      </c>
      <c r="SKO18" t="s">
        <v>13383</v>
      </c>
      <c r="SKP18" t="s">
        <v>13384</v>
      </c>
      <c r="SKQ18" t="s">
        <v>13385</v>
      </c>
      <c r="SKR18" t="s">
        <v>13386</v>
      </c>
      <c r="SKS18" t="s">
        <v>13387</v>
      </c>
      <c r="SKT18" t="s">
        <v>13388</v>
      </c>
      <c r="SKU18" t="s">
        <v>13389</v>
      </c>
      <c r="SKV18" t="s">
        <v>13390</v>
      </c>
      <c r="SKW18" t="s">
        <v>13391</v>
      </c>
      <c r="SKX18" t="s">
        <v>13392</v>
      </c>
      <c r="SKY18" t="s">
        <v>13393</v>
      </c>
      <c r="SKZ18" t="s">
        <v>13394</v>
      </c>
      <c r="SLA18" t="s">
        <v>13395</v>
      </c>
      <c r="SLB18" t="s">
        <v>13396</v>
      </c>
      <c r="SLC18" t="s">
        <v>13397</v>
      </c>
      <c r="SLD18" t="s">
        <v>13398</v>
      </c>
      <c r="SLE18" t="s">
        <v>13399</v>
      </c>
      <c r="SLF18" t="s">
        <v>13400</v>
      </c>
      <c r="SLG18" t="s">
        <v>13401</v>
      </c>
      <c r="SLH18" t="s">
        <v>13402</v>
      </c>
      <c r="SLI18" t="s">
        <v>13403</v>
      </c>
      <c r="SLJ18" t="s">
        <v>13404</v>
      </c>
      <c r="SLK18" t="s">
        <v>13405</v>
      </c>
      <c r="SLL18" t="s">
        <v>13406</v>
      </c>
      <c r="SLM18" t="s">
        <v>13407</v>
      </c>
      <c r="SLN18" t="s">
        <v>13408</v>
      </c>
      <c r="SLO18" t="s">
        <v>13409</v>
      </c>
      <c r="SLP18" t="s">
        <v>13410</v>
      </c>
      <c r="SLQ18" t="s">
        <v>13411</v>
      </c>
      <c r="SLR18" t="s">
        <v>13412</v>
      </c>
      <c r="SLS18" t="s">
        <v>13413</v>
      </c>
      <c r="SLT18" t="s">
        <v>13414</v>
      </c>
      <c r="SLU18" t="s">
        <v>13415</v>
      </c>
      <c r="SLV18" t="s">
        <v>13416</v>
      </c>
      <c r="SLW18" t="s">
        <v>13417</v>
      </c>
      <c r="SLX18" t="s">
        <v>13418</v>
      </c>
      <c r="SLY18" t="s">
        <v>13419</v>
      </c>
      <c r="SLZ18" t="s">
        <v>13420</v>
      </c>
      <c r="SMA18" t="s">
        <v>13421</v>
      </c>
      <c r="SMB18" t="s">
        <v>13422</v>
      </c>
      <c r="SMC18" t="s">
        <v>13423</v>
      </c>
      <c r="SMD18" t="s">
        <v>13424</v>
      </c>
      <c r="SME18" t="s">
        <v>13425</v>
      </c>
      <c r="SMF18" t="s">
        <v>13426</v>
      </c>
      <c r="SMG18" t="s">
        <v>13427</v>
      </c>
      <c r="SMH18" t="s">
        <v>13428</v>
      </c>
      <c r="SMI18" t="s">
        <v>13429</v>
      </c>
      <c r="SMJ18" t="s">
        <v>13430</v>
      </c>
      <c r="SMK18" t="s">
        <v>13431</v>
      </c>
      <c r="SML18" t="s">
        <v>13432</v>
      </c>
      <c r="SMM18" t="s">
        <v>13433</v>
      </c>
      <c r="SMN18" t="s">
        <v>13434</v>
      </c>
      <c r="SMO18" t="s">
        <v>13435</v>
      </c>
      <c r="SMP18" t="s">
        <v>13436</v>
      </c>
      <c r="SMQ18" t="s">
        <v>13437</v>
      </c>
      <c r="SMR18" t="s">
        <v>13438</v>
      </c>
      <c r="SMS18" t="s">
        <v>13439</v>
      </c>
      <c r="SMT18" t="s">
        <v>13440</v>
      </c>
      <c r="SMU18" t="s">
        <v>13441</v>
      </c>
      <c r="SMV18" t="s">
        <v>13442</v>
      </c>
      <c r="SMW18" t="s">
        <v>13443</v>
      </c>
      <c r="SMX18" t="s">
        <v>13444</v>
      </c>
      <c r="SMY18" t="s">
        <v>13445</v>
      </c>
      <c r="SMZ18" t="s">
        <v>13446</v>
      </c>
      <c r="SNA18" t="s">
        <v>13447</v>
      </c>
      <c r="SNB18" t="s">
        <v>13448</v>
      </c>
      <c r="SNC18" t="s">
        <v>13449</v>
      </c>
      <c r="SND18" t="s">
        <v>13450</v>
      </c>
      <c r="SNE18" t="s">
        <v>13451</v>
      </c>
      <c r="SNF18" t="s">
        <v>13452</v>
      </c>
      <c r="SNG18" t="s">
        <v>13453</v>
      </c>
      <c r="SNH18" t="s">
        <v>13454</v>
      </c>
      <c r="SNI18" t="s">
        <v>13455</v>
      </c>
      <c r="SNJ18" t="s">
        <v>13456</v>
      </c>
      <c r="SNK18" t="s">
        <v>13457</v>
      </c>
      <c r="SNL18" t="s">
        <v>13458</v>
      </c>
      <c r="SNM18" t="s">
        <v>13459</v>
      </c>
      <c r="SNN18" t="s">
        <v>13460</v>
      </c>
      <c r="SNO18" t="s">
        <v>13461</v>
      </c>
      <c r="SNP18" t="s">
        <v>13462</v>
      </c>
      <c r="SNQ18" t="s">
        <v>13463</v>
      </c>
      <c r="SNR18" t="s">
        <v>13464</v>
      </c>
      <c r="SNS18" t="s">
        <v>13465</v>
      </c>
      <c r="SNT18" t="s">
        <v>13466</v>
      </c>
      <c r="SNU18" t="s">
        <v>13467</v>
      </c>
      <c r="SNV18" t="s">
        <v>13468</v>
      </c>
      <c r="SNW18" t="s">
        <v>13469</v>
      </c>
      <c r="SNX18" t="s">
        <v>13470</v>
      </c>
      <c r="SNY18" t="s">
        <v>13471</v>
      </c>
      <c r="SNZ18" t="s">
        <v>13472</v>
      </c>
      <c r="SOA18" t="s">
        <v>13473</v>
      </c>
      <c r="SOB18" t="s">
        <v>13474</v>
      </c>
      <c r="SOC18" t="s">
        <v>13475</v>
      </c>
      <c r="SOD18" t="s">
        <v>13476</v>
      </c>
      <c r="SOE18" t="s">
        <v>13477</v>
      </c>
      <c r="SOF18" t="s">
        <v>13478</v>
      </c>
      <c r="SOG18" t="s">
        <v>13479</v>
      </c>
      <c r="SOH18" t="s">
        <v>13480</v>
      </c>
      <c r="SOI18" t="s">
        <v>13481</v>
      </c>
      <c r="SOJ18" t="s">
        <v>13482</v>
      </c>
      <c r="SOK18" t="s">
        <v>13483</v>
      </c>
      <c r="SOL18" t="s">
        <v>13484</v>
      </c>
      <c r="SOM18" t="s">
        <v>13485</v>
      </c>
      <c r="SON18" t="s">
        <v>13486</v>
      </c>
      <c r="SOO18" t="s">
        <v>13487</v>
      </c>
      <c r="SOP18" t="s">
        <v>13488</v>
      </c>
      <c r="SOQ18" t="s">
        <v>13489</v>
      </c>
      <c r="SOR18" t="s">
        <v>13490</v>
      </c>
      <c r="SOS18" t="s">
        <v>13491</v>
      </c>
      <c r="SOT18" t="s">
        <v>13492</v>
      </c>
      <c r="SOU18" t="s">
        <v>13493</v>
      </c>
      <c r="SOV18" t="s">
        <v>13494</v>
      </c>
      <c r="SOW18" t="s">
        <v>13495</v>
      </c>
      <c r="SOX18" t="s">
        <v>13496</v>
      </c>
      <c r="SOY18" t="s">
        <v>13497</v>
      </c>
      <c r="SOZ18" t="s">
        <v>13498</v>
      </c>
      <c r="SPA18" t="s">
        <v>13499</v>
      </c>
      <c r="SPB18" t="s">
        <v>13500</v>
      </c>
      <c r="SPC18" t="s">
        <v>13501</v>
      </c>
      <c r="SPD18" t="s">
        <v>13502</v>
      </c>
      <c r="SPE18" t="s">
        <v>13503</v>
      </c>
      <c r="SPF18" t="s">
        <v>13504</v>
      </c>
      <c r="SPG18" t="s">
        <v>13505</v>
      </c>
      <c r="SPH18" t="s">
        <v>13506</v>
      </c>
      <c r="SPI18" t="s">
        <v>13507</v>
      </c>
      <c r="SPJ18" t="s">
        <v>13508</v>
      </c>
      <c r="SPK18" t="s">
        <v>13509</v>
      </c>
      <c r="SPL18" t="s">
        <v>13510</v>
      </c>
      <c r="SPM18" t="s">
        <v>13511</v>
      </c>
      <c r="SPN18" t="s">
        <v>13512</v>
      </c>
      <c r="SPO18" t="s">
        <v>13513</v>
      </c>
      <c r="SPP18" t="s">
        <v>13514</v>
      </c>
      <c r="SPQ18" t="s">
        <v>13515</v>
      </c>
      <c r="SPR18" t="s">
        <v>13516</v>
      </c>
      <c r="SPS18" t="s">
        <v>13517</v>
      </c>
      <c r="SPT18" t="s">
        <v>13518</v>
      </c>
      <c r="SPU18" t="s">
        <v>13519</v>
      </c>
      <c r="SPV18" t="s">
        <v>13520</v>
      </c>
      <c r="SPW18" t="s">
        <v>13521</v>
      </c>
      <c r="SPX18" t="s">
        <v>13522</v>
      </c>
      <c r="SPY18" t="s">
        <v>13523</v>
      </c>
      <c r="SPZ18" t="s">
        <v>13524</v>
      </c>
      <c r="SQA18" t="s">
        <v>13525</v>
      </c>
      <c r="SQB18" t="s">
        <v>13526</v>
      </c>
      <c r="SQC18" t="s">
        <v>13527</v>
      </c>
      <c r="SQD18" t="s">
        <v>13528</v>
      </c>
      <c r="SQE18" t="s">
        <v>13529</v>
      </c>
      <c r="SQF18" t="s">
        <v>13530</v>
      </c>
      <c r="SQG18" t="s">
        <v>13531</v>
      </c>
      <c r="SQH18" t="s">
        <v>13532</v>
      </c>
      <c r="SQI18" t="s">
        <v>13533</v>
      </c>
      <c r="SQJ18" t="s">
        <v>13534</v>
      </c>
      <c r="SQK18" t="s">
        <v>13535</v>
      </c>
      <c r="SQL18" t="s">
        <v>13536</v>
      </c>
      <c r="SQM18" t="s">
        <v>13537</v>
      </c>
      <c r="SQN18" t="s">
        <v>13538</v>
      </c>
      <c r="SQO18" t="s">
        <v>13539</v>
      </c>
      <c r="SQP18" t="s">
        <v>13540</v>
      </c>
      <c r="SQQ18" t="s">
        <v>13541</v>
      </c>
      <c r="SQR18" t="s">
        <v>13542</v>
      </c>
      <c r="SQS18" t="s">
        <v>13543</v>
      </c>
      <c r="SQT18" t="s">
        <v>13544</v>
      </c>
      <c r="SQU18" t="s">
        <v>13545</v>
      </c>
      <c r="SQV18" t="s">
        <v>13546</v>
      </c>
      <c r="SQW18" t="s">
        <v>13547</v>
      </c>
      <c r="SQX18" t="s">
        <v>13548</v>
      </c>
      <c r="SQY18" t="s">
        <v>13549</v>
      </c>
      <c r="SQZ18" t="s">
        <v>13550</v>
      </c>
      <c r="SRA18" t="s">
        <v>13551</v>
      </c>
      <c r="SRB18" t="s">
        <v>13552</v>
      </c>
      <c r="SRC18" t="s">
        <v>13553</v>
      </c>
      <c r="SRD18" t="s">
        <v>13554</v>
      </c>
      <c r="SRE18" t="s">
        <v>13555</v>
      </c>
      <c r="SRF18" t="s">
        <v>13556</v>
      </c>
      <c r="SRG18" t="s">
        <v>13557</v>
      </c>
      <c r="SRH18" t="s">
        <v>13558</v>
      </c>
      <c r="SRI18" t="s">
        <v>13559</v>
      </c>
      <c r="SRJ18" t="s">
        <v>13560</v>
      </c>
      <c r="SRK18" t="s">
        <v>13561</v>
      </c>
      <c r="SRL18" t="s">
        <v>13562</v>
      </c>
      <c r="SRM18" t="s">
        <v>13563</v>
      </c>
      <c r="SRN18" t="s">
        <v>13564</v>
      </c>
      <c r="SRO18" t="s">
        <v>13565</v>
      </c>
      <c r="SRP18" t="s">
        <v>13566</v>
      </c>
      <c r="SRQ18" t="s">
        <v>13567</v>
      </c>
      <c r="SRR18" t="s">
        <v>13568</v>
      </c>
      <c r="SRS18" t="s">
        <v>13569</v>
      </c>
      <c r="SRT18" t="s">
        <v>13570</v>
      </c>
      <c r="SRU18" t="s">
        <v>13571</v>
      </c>
      <c r="SRV18" t="s">
        <v>13572</v>
      </c>
      <c r="SRW18" t="s">
        <v>13573</v>
      </c>
      <c r="SRX18" t="s">
        <v>13574</v>
      </c>
      <c r="SRY18" t="s">
        <v>13575</v>
      </c>
      <c r="SRZ18" t="s">
        <v>13576</v>
      </c>
      <c r="SSA18" t="s">
        <v>13577</v>
      </c>
      <c r="SSB18" t="s">
        <v>13578</v>
      </c>
      <c r="SSC18" t="s">
        <v>13579</v>
      </c>
      <c r="SSD18" t="s">
        <v>13580</v>
      </c>
      <c r="SSE18" t="s">
        <v>13581</v>
      </c>
      <c r="SSF18" t="s">
        <v>13582</v>
      </c>
      <c r="SSG18" t="s">
        <v>13583</v>
      </c>
      <c r="SSH18" t="s">
        <v>13584</v>
      </c>
      <c r="SSI18" t="s">
        <v>13585</v>
      </c>
      <c r="SSJ18" t="s">
        <v>13586</v>
      </c>
      <c r="SSK18" t="s">
        <v>13587</v>
      </c>
      <c r="SSL18" t="s">
        <v>13588</v>
      </c>
      <c r="SSM18" t="s">
        <v>13589</v>
      </c>
      <c r="SSN18" t="s">
        <v>13590</v>
      </c>
      <c r="SSO18" t="s">
        <v>13591</v>
      </c>
      <c r="SSP18" t="s">
        <v>13592</v>
      </c>
      <c r="SSQ18" t="s">
        <v>13593</v>
      </c>
      <c r="SSR18" t="s">
        <v>13594</v>
      </c>
      <c r="SSS18" t="s">
        <v>13595</v>
      </c>
      <c r="SST18" t="s">
        <v>13596</v>
      </c>
      <c r="SSU18" t="s">
        <v>13597</v>
      </c>
      <c r="SSV18" t="s">
        <v>13598</v>
      </c>
      <c r="SSW18" t="s">
        <v>13599</v>
      </c>
      <c r="SSX18" t="s">
        <v>13600</v>
      </c>
      <c r="SSY18" t="s">
        <v>13601</v>
      </c>
      <c r="SSZ18" t="s">
        <v>13602</v>
      </c>
      <c r="STA18" t="s">
        <v>13603</v>
      </c>
      <c r="STB18" t="s">
        <v>13604</v>
      </c>
      <c r="STC18" t="s">
        <v>13605</v>
      </c>
      <c r="STD18" t="s">
        <v>13606</v>
      </c>
      <c r="STE18" t="s">
        <v>13607</v>
      </c>
      <c r="STF18" t="s">
        <v>13608</v>
      </c>
      <c r="STG18" t="s">
        <v>13609</v>
      </c>
      <c r="STH18" t="s">
        <v>13610</v>
      </c>
      <c r="STI18" t="s">
        <v>13611</v>
      </c>
      <c r="STJ18" t="s">
        <v>13612</v>
      </c>
      <c r="STK18" t="s">
        <v>13613</v>
      </c>
      <c r="STL18" t="s">
        <v>13614</v>
      </c>
      <c r="STM18" t="s">
        <v>13615</v>
      </c>
      <c r="STN18" t="s">
        <v>13616</v>
      </c>
      <c r="STO18" t="s">
        <v>13617</v>
      </c>
      <c r="STP18" t="s">
        <v>13618</v>
      </c>
      <c r="STQ18" t="s">
        <v>13619</v>
      </c>
      <c r="STR18" t="s">
        <v>13620</v>
      </c>
      <c r="STS18" t="s">
        <v>13621</v>
      </c>
      <c r="STT18" t="s">
        <v>13622</v>
      </c>
      <c r="STU18" t="s">
        <v>13623</v>
      </c>
      <c r="STV18" t="s">
        <v>13624</v>
      </c>
      <c r="STW18" t="s">
        <v>13625</v>
      </c>
      <c r="STX18" t="s">
        <v>13626</v>
      </c>
      <c r="STY18" t="s">
        <v>13627</v>
      </c>
      <c r="STZ18" t="s">
        <v>13628</v>
      </c>
      <c r="SUA18" t="s">
        <v>13629</v>
      </c>
      <c r="SUB18" t="s">
        <v>13630</v>
      </c>
      <c r="SUC18" t="s">
        <v>13631</v>
      </c>
      <c r="SUD18" t="s">
        <v>13632</v>
      </c>
      <c r="SUE18" t="s">
        <v>13633</v>
      </c>
      <c r="SUF18" t="s">
        <v>13634</v>
      </c>
      <c r="SUG18" t="s">
        <v>13635</v>
      </c>
      <c r="SUH18" t="s">
        <v>13636</v>
      </c>
      <c r="SUI18" t="s">
        <v>13637</v>
      </c>
      <c r="SUJ18" t="s">
        <v>13638</v>
      </c>
      <c r="SUK18" t="s">
        <v>13639</v>
      </c>
      <c r="SUL18" t="s">
        <v>13640</v>
      </c>
      <c r="SUM18" t="s">
        <v>13641</v>
      </c>
      <c r="SUN18" t="s">
        <v>13642</v>
      </c>
      <c r="SUO18" t="s">
        <v>13643</v>
      </c>
      <c r="SUP18" t="s">
        <v>13644</v>
      </c>
      <c r="SUQ18" t="s">
        <v>13645</v>
      </c>
      <c r="SUR18" t="s">
        <v>13646</v>
      </c>
      <c r="SUS18" t="s">
        <v>13647</v>
      </c>
      <c r="SUT18" t="s">
        <v>13648</v>
      </c>
      <c r="SUU18" t="s">
        <v>13649</v>
      </c>
      <c r="SUV18" t="s">
        <v>13650</v>
      </c>
      <c r="SUW18" t="s">
        <v>13651</v>
      </c>
      <c r="SUX18" t="s">
        <v>13652</v>
      </c>
      <c r="SUY18" t="s">
        <v>13653</v>
      </c>
      <c r="SUZ18" t="s">
        <v>13654</v>
      </c>
      <c r="SVA18" t="s">
        <v>13655</v>
      </c>
      <c r="SVB18" t="s">
        <v>13656</v>
      </c>
      <c r="SVC18" t="s">
        <v>13657</v>
      </c>
      <c r="SVD18" t="s">
        <v>13658</v>
      </c>
      <c r="SVE18" t="s">
        <v>13659</v>
      </c>
      <c r="SVF18" t="s">
        <v>13660</v>
      </c>
      <c r="SVG18" t="s">
        <v>13661</v>
      </c>
      <c r="SVH18" t="s">
        <v>13662</v>
      </c>
      <c r="SVI18" t="s">
        <v>13663</v>
      </c>
      <c r="SVJ18" t="s">
        <v>13664</v>
      </c>
      <c r="SVK18" t="s">
        <v>13665</v>
      </c>
      <c r="SVL18" t="s">
        <v>13666</v>
      </c>
      <c r="SVM18" t="s">
        <v>13667</v>
      </c>
      <c r="SVN18" t="s">
        <v>13668</v>
      </c>
      <c r="SVO18" t="s">
        <v>13669</v>
      </c>
      <c r="SVP18" t="s">
        <v>13670</v>
      </c>
      <c r="SVQ18" t="s">
        <v>13671</v>
      </c>
      <c r="SVR18" t="s">
        <v>13672</v>
      </c>
      <c r="SVS18" t="s">
        <v>13673</v>
      </c>
      <c r="SVT18" t="s">
        <v>13674</v>
      </c>
      <c r="SVU18" t="s">
        <v>13675</v>
      </c>
      <c r="SVV18" t="s">
        <v>13676</v>
      </c>
      <c r="SVW18" t="s">
        <v>13677</v>
      </c>
      <c r="SVX18" t="s">
        <v>13678</v>
      </c>
      <c r="SVY18" t="s">
        <v>13679</v>
      </c>
      <c r="SVZ18" t="s">
        <v>13680</v>
      </c>
      <c r="SWA18" t="s">
        <v>13681</v>
      </c>
      <c r="SWB18" t="s">
        <v>13682</v>
      </c>
      <c r="SWC18" t="s">
        <v>13683</v>
      </c>
      <c r="SWD18" t="s">
        <v>13684</v>
      </c>
      <c r="SWE18" t="s">
        <v>13685</v>
      </c>
      <c r="SWF18" t="s">
        <v>13686</v>
      </c>
      <c r="SWG18" t="s">
        <v>13687</v>
      </c>
      <c r="SWH18" t="s">
        <v>13688</v>
      </c>
      <c r="SWI18" t="s">
        <v>13689</v>
      </c>
      <c r="SWJ18" t="s">
        <v>13690</v>
      </c>
      <c r="SWK18" t="s">
        <v>13691</v>
      </c>
      <c r="SWL18" t="s">
        <v>13692</v>
      </c>
      <c r="SWM18" t="s">
        <v>13693</v>
      </c>
      <c r="SWN18" t="s">
        <v>13694</v>
      </c>
      <c r="SWO18" t="s">
        <v>13695</v>
      </c>
      <c r="SWP18" t="s">
        <v>13696</v>
      </c>
      <c r="SWQ18" t="s">
        <v>13697</v>
      </c>
      <c r="SWR18" t="s">
        <v>13698</v>
      </c>
      <c r="SWS18" t="s">
        <v>13699</v>
      </c>
      <c r="SWT18" t="s">
        <v>13700</v>
      </c>
      <c r="SWU18" t="s">
        <v>13701</v>
      </c>
      <c r="SWV18" t="s">
        <v>13702</v>
      </c>
      <c r="SWW18" t="s">
        <v>13703</v>
      </c>
      <c r="SWX18" t="s">
        <v>13704</v>
      </c>
      <c r="SWY18" t="s">
        <v>13705</v>
      </c>
      <c r="SWZ18" t="s">
        <v>13706</v>
      </c>
      <c r="SXA18" t="s">
        <v>13707</v>
      </c>
      <c r="SXB18" t="s">
        <v>13708</v>
      </c>
      <c r="SXC18" t="s">
        <v>13709</v>
      </c>
      <c r="SXD18" t="s">
        <v>13710</v>
      </c>
      <c r="SXE18" t="s">
        <v>13711</v>
      </c>
      <c r="SXF18" t="s">
        <v>13712</v>
      </c>
      <c r="SXG18" t="s">
        <v>13713</v>
      </c>
      <c r="SXH18" t="s">
        <v>13714</v>
      </c>
      <c r="SXI18" t="s">
        <v>13715</v>
      </c>
      <c r="SXJ18" t="s">
        <v>13716</v>
      </c>
      <c r="SXK18" t="s">
        <v>13717</v>
      </c>
      <c r="SXL18" t="s">
        <v>13718</v>
      </c>
      <c r="SXM18" t="s">
        <v>13719</v>
      </c>
      <c r="SXN18" t="s">
        <v>13720</v>
      </c>
      <c r="SXO18" t="s">
        <v>13721</v>
      </c>
      <c r="SXP18" t="s">
        <v>13722</v>
      </c>
      <c r="SXQ18" t="s">
        <v>13723</v>
      </c>
      <c r="SXR18" t="s">
        <v>13724</v>
      </c>
      <c r="SXS18" t="s">
        <v>13725</v>
      </c>
      <c r="SXT18" t="s">
        <v>13726</v>
      </c>
      <c r="SXU18" t="s">
        <v>13727</v>
      </c>
      <c r="SXV18" t="s">
        <v>13728</v>
      </c>
      <c r="SXW18" t="s">
        <v>13729</v>
      </c>
      <c r="SXX18" t="s">
        <v>13730</v>
      </c>
      <c r="SXY18" t="s">
        <v>13731</v>
      </c>
      <c r="SXZ18" t="s">
        <v>13732</v>
      </c>
      <c r="SYA18" t="s">
        <v>13733</v>
      </c>
      <c r="SYB18" t="s">
        <v>13734</v>
      </c>
      <c r="SYC18" t="s">
        <v>13735</v>
      </c>
      <c r="SYD18" t="s">
        <v>13736</v>
      </c>
      <c r="SYE18" t="s">
        <v>13737</v>
      </c>
      <c r="SYF18" t="s">
        <v>13738</v>
      </c>
      <c r="SYG18" t="s">
        <v>13739</v>
      </c>
      <c r="SYH18" t="s">
        <v>13740</v>
      </c>
      <c r="SYI18" t="s">
        <v>13741</v>
      </c>
      <c r="SYJ18" t="s">
        <v>13742</v>
      </c>
      <c r="SYK18" t="s">
        <v>13743</v>
      </c>
      <c r="SYL18" t="s">
        <v>13744</v>
      </c>
      <c r="SYM18" t="s">
        <v>13745</v>
      </c>
      <c r="SYN18" t="s">
        <v>13746</v>
      </c>
      <c r="SYO18" t="s">
        <v>13747</v>
      </c>
      <c r="SYP18" t="s">
        <v>13748</v>
      </c>
      <c r="SYQ18" t="s">
        <v>13749</v>
      </c>
      <c r="SYR18" t="s">
        <v>13750</v>
      </c>
      <c r="SYS18" t="s">
        <v>13751</v>
      </c>
      <c r="SYT18" t="s">
        <v>13752</v>
      </c>
      <c r="SYU18" t="s">
        <v>13753</v>
      </c>
      <c r="SYV18" t="s">
        <v>13754</v>
      </c>
      <c r="SYW18" t="s">
        <v>13755</v>
      </c>
      <c r="SYX18" t="s">
        <v>13756</v>
      </c>
      <c r="SYY18" t="s">
        <v>13757</v>
      </c>
      <c r="SYZ18" t="s">
        <v>13758</v>
      </c>
      <c r="SZA18" t="s">
        <v>13759</v>
      </c>
      <c r="SZB18" t="s">
        <v>13760</v>
      </c>
      <c r="SZC18" t="s">
        <v>13761</v>
      </c>
      <c r="SZD18" t="s">
        <v>13762</v>
      </c>
      <c r="SZE18" t="s">
        <v>13763</v>
      </c>
      <c r="SZF18" t="s">
        <v>13764</v>
      </c>
      <c r="SZG18" t="s">
        <v>13765</v>
      </c>
      <c r="SZH18" t="s">
        <v>13766</v>
      </c>
      <c r="SZI18" t="s">
        <v>13767</v>
      </c>
      <c r="SZJ18" t="s">
        <v>13768</v>
      </c>
      <c r="SZK18" t="s">
        <v>13769</v>
      </c>
      <c r="SZL18" t="s">
        <v>13770</v>
      </c>
      <c r="SZM18" t="s">
        <v>13771</v>
      </c>
      <c r="SZN18" t="s">
        <v>13772</v>
      </c>
      <c r="SZO18" t="s">
        <v>13773</v>
      </c>
      <c r="SZP18" t="s">
        <v>13774</v>
      </c>
      <c r="SZQ18" t="s">
        <v>13775</v>
      </c>
      <c r="SZR18" t="s">
        <v>13776</v>
      </c>
      <c r="SZS18" t="s">
        <v>13777</v>
      </c>
      <c r="SZT18" t="s">
        <v>13778</v>
      </c>
      <c r="SZU18" t="s">
        <v>13779</v>
      </c>
      <c r="SZV18" t="s">
        <v>13780</v>
      </c>
      <c r="SZW18" t="s">
        <v>13781</v>
      </c>
      <c r="SZX18" t="s">
        <v>13782</v>
      </c>
      <c r="SZY18" t="s">
        <v>13783</v>
      </c>
      <c r="SZZ18" t="s">
        <v>13784</v>
      </c>
      <c r="TAA18" t="s">
        <v>13785</v>
      </c>
      <c r="TAB18" t="s">
        <v>13786</v>
      </c>
      <c r="TAC18" t="s">
        <v>13787</v>
      </c>
      <c r="TAD18" t="s">
        <v>13788</v>
      </c>
      <c r="TAE18" t="s">
        <v>13789</v>
      </c>
      <c r="TAF18" t="s">
        <v>13790</v>
      </c>
      <c r="TAG18" t="s">
        <v>13791</v>
      </c>
      <c r="TAH18" t="s">
        <v>13792</v>
      </c>
      <c r="TAI18" t="s">
        <v>13793</v>
      </c>
      <c r="TAJ18" t="s">
        <v>13794</v>
      </c>
      <c r="TAK18" t="s">
        <v>13795</v>
      </c>
      <c r="TAL18" t="s">
        <v>13796</v>
      </c>
      <c r="TAM18" t="s">
        <v>13797</v>
      </c>
      <c r="TAN18" t="s">
        <v>13798</v>
      </c>
      <c r="TAO18" t="s">
        <v>13799</v>
      </c>
      <c r="TAP18" t="s">
        <v>13800</v>
      </c>
      <c r="TAQ18" t="s">
        <v>13801</v>
      </c>
      <c r="TAR18" t="s">
        <v>13802</v>
      </c>
      <c r="TAS18" t="s">
        <v>13803</v>
      </c>
      <c r="TAT18" t="s">
        <v>13804</v>
      </c>
      <c r="TAU18" t="s">
        <v>13805</v>
      </c>
      <c r="TAV18" t="s">
        <v>13806</v>
      </c>
      <c r="TAW18" t="s">
        <v>13807</v>
      </c>
      <c r="TAX18" t="s">
        <v>13808</v>
      </c>
      <c r="TAY18" t="s">
        <v>13809</v>
      </c>
      <c r="TAZ18" t="s">
        <v>13810</v>
      </c>
      <c r="TBA18" t="s">
        <v>13811</v>
      </c>
      <c r="TBB18" t="s">
        <v>13812</v>
      </c>
      <c r="TBC18" t="s">
        <v>13813</v>
      </c>
      <c r="TBD18" t="s">
        <v>13814</v>
      </c>
      <c r="TBE18" t="s">
        <v>13815</v>
      </c>
      <c r="TBF18" t="s">
        <v>13816</v>
      </c>
      <c r="TBG18" t="s">
        <v>13817</v>
      </c>
      <c r="TBH18" t="s">
        <v>13818</v>
      </c>
      <c r="TBI18" t="s">
        <v>13819</v>
      </c>
      <c r="TBJ18" t="s">
        <v>13820</v>
      </c>
      <c r="TBK18" t="s">
        <v>13821</v>
      </c>
      <c r="TBL18" t="s">
        <v>13822</v>
      </c>
      <c r="TBM18" t="s">
        <v>13823</v>
      </c>
      <c r="TBN18" t="s">
        <v>13824</v>
      </c>
      <c r="TBO18" t="s">
        <v>13825</v>
      </c>
      <c r="TBP18" t="s">
        <v>13826</v>
      </c>
      <c r="TBQ18" t="s">
        <v>13827</v>
      </c>
      <c r="TBR18" t="s">
        <v>13828</v>
      </c>
      <c r="TBS18" t="s">
        <v>13829</v>
      </c>
      <c r="TBT18" t="s">
        <v>13830</v>
      </c>
      <c r="TBU18" t="s">
        <v>13831</v>
      </c>
      <c r="TBV18" t="s">
        <v>13832</v>
      </c>
      <c r="TBW18" t="s">
        <v>13833</v>
      </c>
      <c r="TBX18" t="s">
        <v>13834</v>
      </c>
      <c r="TBY18" t="s">
        <v>13835</v>
      </c>
      <c r="TBZ18" t="s">
        <v>13836</v>
      </c>
      <c r="TCA18" t="s">
        <v>13837</v>
      </c>
      <c r="TCB18" t="s">
        <v>13838</v>
      </c>
      <c r="TCC18" t="s">
        <v>13839</v>
      </c>
      <c r="TCD18" t="s">
        <v>13840</v>
      </c>
      <c r="TCE18" t="s">
        <v>13841</v>
      </c>
      <c r="TCF18" t="s">
        <v>13842</v>
      </c>
      <c r="TCG18" t="s">
        <v>13843</v>
      </c>
      <c r="TCH18" t="s">
        <v>13844</v>
      </c>
      <c r="TCI18" t="s">
        <v>13845</v>
      </c>
      <c r="TCJ18" t="s">
        <v>13846</v>
      </c>
      <c r="TCK18" t="s">
        <v>13847</v>
      </c>
      <c r="TCL18" t="s">
        <v>13848</v>
      </c>
      <c r="TCM18" t="s">
        <v>13849</v>
      </c>
      <c r="TCN18" t="s">
        <v>13850</v>
      </c>
      <c r="TCO18" t="s">
        <v>13851</v>
      </c>
      <c r="TCP18" t="s">
        <v>13852</v>
      </c>
      <c r="TCQ18" t="s">
        <v>13853</v>
      </c>
      <c r="TCR18" t="s">
        <v>13854</v>
      </c>
      <c r="TCS18" t="s">
        <v>13855</v>
      </c>
      <c r="TCT18" t="s">
        <v>13856</v>
      </c>
      <c r="TCU18" t="s">
        <v>13857</v>
      </c>
      <c r="TCV18" t="s">
        <v>13858</v>
      </c>
      <c r="TCW18" t="s">
        <v>13859</v>
      </c>
      <c r="TCX18" t="s">
        <v>13860</v>
      </c>
      <c r="TCY18" t="s">
        <v>13861</v>
      </c>
      <c r="TCZ18" t="s">
        <v>13862</v>
      </c>
      <c r="TDA18" t="s">
        <v>13863</v>
      </c>
      <c r="TDB18" t="s">
        <v>13864</v>
      </c>
      <c r="TDC18" t="s">
        <v>13865</v>
      </c>
      <c r="TDD18" t="s">
        <v>13866</v>
      </c>
      <c r="TDE18" t="s">
        <v>13867</v>
      </c>
      <c r="TDF18" t="s">
        <v>13868</v>
      </c>
      <c r="TDG18" t="s">
        <v>13869</v>
      </c>
      <c r="TDH18" t="s">
        <v>13870</v>
      </c>
      <c r="TDI18" t="s">
        <v>13871</v>
      </c>
      <c r="TDJ18" t="s">
        <v>13872</v>
      </c>
      <c r="TDK18" t="s">
        <v>13873</v>
      </c>
      <c r="TDL18" t="s">
        <v>13874</v>
      </c>
      <c r="TDM18" t="s">
        <v>13875</v>
      </c>
      <c r="TDN18" t="s">
        <v>13876</v>
      </c>
      <c r="TDO18" t="s">
        <v>13877</v>
      </c>
      <c r="TDP18" t="s">
        <v>13878</v>
      </c>
      <c r="TDQ18" t="s">
        <v>13879</v>
      </c>
      <c r="TDR18" t="s">
        <v>13880</v>
      </c>
      <c r="TDS18" t="s">
        <v>13881</v>
      </c>
      <c r="TDT18" t="s">
        <v>13882</v>
      </c>
      <c r="TDU18" t="s">
        <v>13883</v>
      </c>
      <c r="TDV18" t="s">
        <v>13884</v>
      </c>
      <c r="TDW18" t="s">
        <v>13885</v>
      </c>
      <c r="TDX18" t="s">
        <v>13886</v>
      </c>
      <c r="TDY18" t="s">
        <v>13887</v>
      </c>
      <c r="TDZ18" t="s">
        <v>13888</v>
      </c>
      <c r="TEA18" t="s">
        <v>13889</v>
      </c>
      <c r="TEB18" t="s">
        <v>13890</v>
      </c>
      <c r="TEC18" t="s">
        <v>13891</v>
      </c>
      <c r="TED18" t="s">
        <v>13892</v>
      </c>
      <c r="TEE18" t="s">
        <v>13893</v>
      </c>
      <c r="TEF18" t="s">
        <v>13894</v>
      </c>
      <c r="TEG18" t="s">
        <v>13895</v>
      </c>
      <c r="TEH18" t="s">
        <v>13896</v>
      </c>
      <c r="TEI18" t="s">
        <v>13897</v>
      </c>
      <c r="TEJ18" t="s">
        <v>13898</v>
      </c>
      <c r="TEK18" t="s">
        <v>13899</v>
      </c>
      <c r="TEL18" t="s">
        <v>13900</v>
      </c>
      <c r="TEM18" t="s">
        <v>13901</v>
      </c>
      <c r="TEN18" t="s">
        <v>13902</v>
      </c>
      <c r="TEO18" t="s">
        <v>13903</v>
      </c>
      <c r="TEP18" t="s">
        <v>13904</v>
      </c>
      <c r="TEQ18" t="s">
        <v>13905</v>
      </c>
      <c r="TER18" t="s">
        <v>13906</v>
      </c>
      <c r="TES18" t="s">
        <v>13907</v>
      </c>
      <c r="TET18" t="s">
        <v>13908</v>
      </c>
      <c r="TEU18" t="s">
        <v>13909</v>
      </c>
      <c r="TEV18" t="s">
        <v>13910</v>
      </c>
      <c r="TEW18" t="s">
        <v>13911</v>
      </c>
      <c r="TEX18" t="s">
        <v>13912</v>
      </c>
      <c r="TEY18" t="s">
        <v>13913</v>
      </c>
      <c r="TEZ18" t="s">
        <v>13914</v>
      </c>
      <c r="TFA18" t="s">
        <v>13915</v>
      </c>
      <c r="TFB18" t="s">
        <v>13916</v>
      </c>
      <c r="TFC18" t="s">
        <v>13917</v>
      </c>
      <c r="TFD18" t="s">
        <v>13918</v>
      </c>
      <c r="TFE18" t="s">
        <v>13919</v>
      </c>
      <c r="TFF18" t="s">
        <v>13920</v>
      </c>
      <c r="TFG18" t="s">
        <v>13921</v>
      </c>
      <c r="TFH18" t="s">
        <v>13922</v>
      </c>
      <c r="TFI18" t="s">
        <v>13923</v>
      </c>
      <c r="TFJ18" t="s">
        <v>13924</v>
      </c>
      <c r="TFK18" t="s">
        <v>13925</v>
      </c>
      <c r="TFL18" t="s">
        <v>13926</v>
      </c>
      <c r="TFM18" t="s">
        <v>13927</v>
      </c>
      <c r="TFN18" t="s">
        <v>13928</v>
      </c>
      <c r="TFO18" t="s">
        <v>13929</v>
      </c>
      <c r="TFP18" t="s">
        <v>13930</v>
      </c>
      <c r="TFQ18" t="s">
        <v>13931</v>
      </c>
      <c r="TFR18" t="s">
        <v>13932</v>
      </c>
      <c r="TFS18" t="s">
        <v>13933</v>
      </c>
      <c r="TFT18" t="s">
        <v>13934</v>
      </c>
      <c r="TFU18" t="s">
        <v>13935</v>
      </c>
      <c r="TFV18" t="s">
        <v>13936</v>
      </c>
      <c r="TFW18" t="s">
        <v>13937</v>
      </c>
      <c r="TFX18" t="s">
        <v>13938</v>
      </c>
      <c r="TFY18" t="s">
        <v>13939</v>
      </c>
      <c r="TFZ18" t="s">
        <v>13940</v>
      </c>
      <c r="TGA18" t="s">
        <v>13941</v>
      </c>
      <c r="TGB18" t="s">
        <v>13942</v>
      </c>
      <c r="TGC18" t="s">
        <v>13943</v>
      </c>
      <c r="TGD18" t="s">
        <v>13944</v>
      </c>
      <c r="TGE18" t="s">
        <v>13945</v>
      </c>
      <c r="TGF18" t="s">
        <v>13946</v>
      </c>
      <c r="TGG18" t="s">
        <v>13947</v>
      </c>
      <c r="TGH18" t="s">
        <v>13948</v>
      </c>
      <c r="TGI18" t="s">
        <v>13949</v>
      </c>
      <c r="TGJ18" t="s">
        <v>13950</v>
      </c>
      <c r="TGK18" t="s">
        <v>13951</v>
      </c>
      <c r="TGL18" t="s">
        <v>13952</v>
      </c>
      <c r="TGM18" t="s">
        <v>13953</v>
      </c>
      <c r="TGN18" t="s">
        <v>13954</v>
      </c>
      <c r="TGO18" t="s">
        <v>13955</v>
      </c>
      <c r="TGP18" t="s">
        <v>13956</v>
      </c>
      <c r="TGQ18" t="s">
        <v>13957</v>
      </c>
      <c r="TGR18" t="s">
        <v>13958</v>
      </c>
      <c r="TGS18" t="s">
        <v>13959</v>
      </c>
      <c r="TGT18" t="s">
        <v>13960</v>
      </c>
      <c r="TGU18" t="s">
        <v>13961</v>
      </c>
      <c r="TGV18" t="s">
        <v>13962</v>
      </c>
      <c r="TGW18" t="s">
        <v>13963</v>
      </c>
      <c r="TGX18" t="s">
        <v>13964</v>
      </c>
      <c r="TGY18" t="s">
        <v>13965</v>
      </c>
      <c r="TGZ18" t="s">
        <v>13966</v>
      </c>
      <c r="THA18" t="s">
        <v>13967</v>
      </c>
      <c r="THB18" t="s">
        <v>13968</v>
      </c>
      <c r="THC18" t="s">
        <v>13969</v>
      </c>
      <c r="THD18" t="s">
        <v>13970</v>
      </c>
      <c r="THE18" t="s">
        <v>13971</v>
      </c>
      <c r="THF18" t="s">
        <v>13972</v>
      </c>
      <c r="THG18" t="s">
        <v>13973</v>
      </c>
      <c r="THH18" t="s">
        <v>13974</v>
      </c>
      <c r="THI18" t="s">
        <v>13975</v>
      </c>
      <c r="THJ18" t="s">
        <v>13976</v>
      </c>
      <c r="THK18" t="s">
        <v>13977</v>
      </c>
      <c r="THL18" t="s">
        <v>13978</v>
      </c>
      <c r="THM18" t="s">
        <v>13979</v>
      </c>
      <c r="THN18" t="s">
        <v>13980</v>
      </c>
      <c r="THO18" t="s">
        <v>13981</v>
      </c>
      <c r="THP18" t="s">
        <v>13982</v>
      </c>
      <c r="THQ18" t="s">
        <v>13983</v>
      </c>
      <c r="THR18" t="s">
        <v>13984</v>
      </c>
      <c r="THS18" t="s">
        <v>13985</v>
      </c>
      <c r="THT18" t="s">
        <v>13986</v>
      </c>
      <c r="THU18" t="s">
        <v>13987</v>
      </c>
      <c r="THV18" t="s">
        <v>13988</v>
      </c>
      <c r="THW18" t="s">
        <v>13989</v>
      </c>
      <c r="THX18" t="s">
        <v>13990</v>
      </c>
      <c r="THY18" t="s">
        <v>13991</v>
      </c>
      <c r="THZ18" t="s">
        <v>13992</v>
      </c>
      <c r="TIA18" t="s">
        <v>13993</v>
      </c>
      <c r="TIB18" t="s">
        <v>13994</v>
      </c>
      <c r="TIC18" t="s">
        <v>13995</v>
      </c>
      <c r="TID18" t="s">
        <v>13996</v>
      </c>
      <c r="TIE18" t="s">
        <v>13997</v>
      </c>
      <c r="TIF18" t="s">
        <v>13998</v>
      </c>
      <c r="TIG18" t="s">
        <v>13999</v>
      </c>
      <c r="TIH18" t="s">
        <v>14000</v>
      </c>
      <c r="TII18" t="s">
        <v>14001</v>
      </c>
      <c r="TIJ18" t="s">
        <v>14002</v>
      </c>
      <c r="TIK18" t="s">
        <v>14003</v>
      </c>
      <c r="TIL18" t="s">
        <v>14004</v>
      </c>
      <c r="TIM18" t="s">
        <v>14005</v>
      </c>
      <c r="TIN18" t="s">
        <v>14006</v>
      </c>
      <c r="TIO18" t="s">
        <v>14007</v>
      </c>
      <c r="TIP18" t="s">
        <v>14008</v>
      </c>
      <c r="TIQ18" t="s">
        <v>14009</v>
      </c>
      <c r="TIR18" t="s">
        <v>14010</v>
      </c>
      <c r="TIS18" t="s">
        <v>14011</v>
      </c>
      <c r="TIT18" t="s">
        <v>14012</v>
      </c>
      <c r="TIU18" t="s">
        <v>14013</v>
      </c>
      <c r="TIV18" t="s">
        <v>14014</v>
      </c>
      <c r="TIW18" t="s">
        <v>14015</v>
      </c>
      <c r="TIX18" t="s">
        <v>14016</v>
      </c>
      <c r="TIY18" t="s">
        <v>14017</v>
      </c>
      <c r="TIZ18" t="s">
        <v>14018</v>
      </c>
      <c r="TJA18" t="s">
        <v>14019</v>
      </c>
      <c r="TJB18" t="s">
        <v>14020</v>
      </c>
      <c r="TJC18" t="s">
        <v>14021</v>
      </c>
      <c r="TJD18" t="s">
        <v>14022</v>
      </c>
      <c r="TJE18" t="s">
        <v>14023</v>
      </c>
      <c r="TJF18" t="s">
        <v>14024</v>
      </c>
      <c r="TJG18" t="s">
        <v>14025</v>
      </c>
      <c r="TJH18" t="s">
        <v>14026</v>
      </c>
      <c r="TJI18" t="s">
        <v>14027</v>
      </c>
      <c r="TJJ18" t="s">
        <v>14028</v>
      </c>
      <c r="TJK18" t="s">
        <v>14029</v>
      </c>
      <c r="TJL18" t="s">
        <v>14030</v>
      </c>
      <c r="TJM18" t="s">
        <v>14031</v>
      </c>
      <c r="TJN18" t="s">
        <v>14032</v>
      </c>
      <c r="TJO18" t="s">
        <v>14033</v>
      </c>
      <c r="TJP18" t="s">
        <v>14034</v>
      </c>
      <c r="TJQ18" t="s">
        <v>14035</v>
      </c>
      <c r="TJR18" t="s">
        <v>14036</v>
      </c>
      <c r="TJS18" t="s">
        <v>14037</v>
      </c>
      <c r="TJT18" t="s">
        <v>14038</v>
      </c>
      <c r="TJU18" t="s">
        <v>14039</v>
      </c>
      <c r="TJV18" t="s">
        <v>14040</v>
      </c>
      <c r="TJW18" t="s">
        <v>14041</v>
      </c>
      <c r="TJX18" t="s">
        <v>14042</v>
      </c>
      <c r="TJY18" t="s">
        <v>14043</v>
      </c>
      <c r="TJZ18" t="s">
        <v>14044</v>
      </c>
      <c r="TKA18" t="s">
        <v>14045</v>
      </c>
      <c r="TKB18" t="s">
        <v>14046</v>
      </c>
      <c r="TKC18" t="s">
        <v>14047</v>
      </c>
      <c r="TKD18" t="s">
        <v>14048</v>
      </c>
      <c r="TKE18" t="s">
        <v>14049</v>
      </c>
      <c r="TKF18" t="s">
        <v>14050</v>
      </c>
      <c r="TKG18" t="s">
        <v>14051</v>
      </c>
      <c r="TKH18" t="s">
        <v>14052</v>
      </c>
      <c r="TKI18" t="s">
        <v>14053</v>
      </c>
      <c r="TKJ18" t="s">
        <v>14054</v>
      </c>
      <c r="TKK18" t="s">
        <v>14055</v>
      </c>
      <c r="TKL18" t="s">
        <v>14056</v>
      </c>
      <c r="TKM18" t="s">
        <v>14057</v>
      </c>
      <c r="TKN18" t="s">
        <v>14058</v>
      </c>
      <c r="TKO18" t="s">
        <v>14059</v>
      </c>
      <c r="TKP18" t="s">
        <v>14060</v>
      </c>
      <c r="TKQ18" t="s">
        <v>14061</v>
      </c>
      <c r="TKR18" t="s">
        <v>14062</v>
      </c>
      <c r="TKS18" t="s">
        <v>14063</v>
      </c>
      <c r="TKT18" t="s">
        <v>14064</v>
      </c>
      <c r="TKU18" t="s">
        <v>14065</v>
      </c>
      <c r="TKV18" t="s">
        <v>14066</v>
      </c>
      <c r="TKW18" t="s">
        <v>14067</v>
      </c>
      <c r="TKX18" t="s">
        <v>14068</v>
      </c>
      <c r="TKY18" t="s">
        <v>14069</v>
      </c>
      <c r="TKZ18" t="s">
        <v>14070</v>
      </c>
      <c r="TLA18" t="s">
        <v>14071</v>
      </c>
      <c r="TLB18" t="s">
        <v>14072</v>
      </c>
      <c r="TLC18" t="s">
        <v>14073</v>
      </c>
      <c r="TLD18" t="s">
        <v>14074</v>
      </c>
      <c r="TLE18" t="s">
        <v>14075</v>
      </c>
      <c r="TLF18" t="s">
        <v>14076</v>
      </c>
      <c r="TLG18" t="s">
        <v>14077</v>
      </c>
      <c r="TLH18" t="s">
        <v>14078</v>
      </c>
      <c r="TLI18" t="s">
        <v>14079</v>
      </c>
      <c r="TLJ18" t="s">
        <v>14080</v>
      </c>
      <c r="TLK18" t="s">
        <v>14081</v>
      </c>
      <c r="TLL18" t="s">
        <v>14082</v>
      </c>
      <c r="TLM18" t="s">
        <v>14083</v>
      </c>
      <c r="TLN18" t="s">
        <v>14084</v>
      </c>
      <c r="TLO18" t="s">
        <v>14085</v>
      </c>
      <c r="TLP18" t="s">
        <v>14086</v>
      </c>
      <c r="TLQ18" t="s">
        <v>14087</v>
      </c>
      <c r="TLR18" t="s">
        <v>14088</v>
      </c>
      <c r="TLS18" t="s">
        <v>14089</v>
      </c>
      <c r="TLT18" t="s">
        <v>14090</v>
      </c>
      <c r="TLU18" t="s">
        <v>14091</v>
      </c>
      <c r="TLV18" t="s">
        <v>14092</v>
      </c>
      <c r="TLW18" t="s">
        <v>14093</v>
      </c>
      <c r="TLX18" t="s">
        <v>14094</v>
      </c>
      <c r="TLY18" t="s">
        <v>14095</v>
      </c>
      <c r="TLZ18" t="s">
        <v>14096</v>
      </c>
      <c r="TMA18" t="s">
        <v>14097</v>
      </c>
      <c r="TMB18" t="s">
        <v>14098</v>
      </c>
      <c r="TMC18" t="s">
        <v>14099</v>
      </c>
      <c r="TMD18" t="s">
        <v>14100</v>
      </c>
      <c r="TME18" t="s">
        <v>14101</v>
      </c>
      <c r="TMF18" t="s">
        <v>14102</v>
      </c>
      <c r="TMG18" t="s">
        <v>14103</v>
      </c>
      <c r="TMH18" t="s">
        <v>14104</v>
      </c>
      <c r="TMI18" t="s">
        <v>14105</v>
      </c>
      <c r="TMJ18" t="s">
        <v>14106</v>
      </c>
      <c r="TMK18" t="s">
        <v>14107</v>
      </c>
      <c r="TML18" t="s">
        <v>14108</v>
      </c>
      <c r="TMM18" t="s">
        <v>14109</v>
      </c>
      <c r="TMN18" t="s">
        <v>14110</v>
      </c>
      <c r="TMO18" t="s">
        <v>14111</v>
      </c>
      <c r="TMP18" t="s">
        <v>14112</v>
      </c>
      <c r="TMQ18" t="s">
        <v>14113</v>
      </c>
      <c r="TMR18" t="s">
        <v>14114</v>
      </c>
      <c r="TMS18" t="s">
        <v>14115</v>
      </c>
      <c r="TMT18" t="s">
        <v>14116</v>
      </c>
      <c r="TMU18" t="s">
        <v>14117</v>
      </c>
      <c r="TMV18" t="s">
        <v>14118</v>
      </c>
      <c r="TMW18" t="s">
        <v>14119</v>
      </c>
      <c r="TMX18" t="s">
        <v>14120</v>
      </c>
      <c r="TMY18" t="s">
        <v>14121</v>
      </c>
      <c r="TMZ18" t="s">
        <v>14122</v>
      </c>
      <c r="TNA18" t="s">
        <v>14123</v>
      </c>
      <c r="TNB18" t="s">
        <v>14124</v>
      </c>
      <c r="TNC18" t="s">
        <v>14125</v>
      </c>
      <c r="TND18" t="s">
        <v>14126</v>
      </c>
      <c r="TNE18" t="s">
        <v>14127</v>
      </c>
      <c r="TNF18" t="s">
        <v>14128</v>
      </c>
      <c r="TNG18" t="s">
        <v>14129</v>
      </c>
      <c r="TNH18" t="s">
        <v>14130</v>
      </c>
      <c r="TNI18" t="s">
        <v>14131</v>
      </c>
      <c r="TNJ18" t="s">
        <v>14132</v>
      </c>
      <c r="TNK18" t="s">
        <v>14133</v>
      </c>
      <c r="TNL18" t="s">
        <v>14134</v>
      </c>
      <c r="TNM18" t="s">
        <v>14135</v>
      </c>
      <c r="TNN18" t="s">
        <v>14136</v>
      </c>
      <c r="TNO18" t="s">
        <v>14137</v>
      </c>
      <c r="TNP18" t="s">
        <v>14138</v>
      </c>
      <c r="TNQ18" t="s">
        <v>14139</v>
      </c>
      <c r="TNR18" t="s">
        <v>14140</v>
      </c>
      <c r="TNS18" t="s">
        <v>14141</v>
      </c>
      <c r="TNT18" t="s">
        <v>14142</v>
      </c>
      <c r="TNU18" t="s">
        <v>14143</v>
      </c>
      <c r="TNV18" t="s">
        <v>14144</v>
      </c>
      <c r="TNW18" t="s">
        <v>14145</v>
      </c>
      <c r="TNX18" t="s">
        <v>14146</v>
      </c>
      <c r="TNY18" t="s">
        <v>14147</v>
      </c>
      <c r="TNZ18" t="s">
        <v>14148</v>
      </c>
      <c r="TOA18" t="s">
        <v>14149</v>
      </c>
      <c r="TOB18" t="s">
        <v>14150</v>
      </c>
      <c r="TOC18" t="s">
        <v>14151</v>
      </c>
      <c r="TOD18" t="s">
        <v>14152</v>
      </c>
      <c r="TOE18" t="s">
        <v>14153</v>
      </c>
      <c r="TOF18" t="s">
        <v>14154</v>
      </c>
      <c r="TOG18" t="s">
        <v>14155</v>
      </c>
      <c r="TOH18" t="s">
        <v>14156</v>
      </c>
      <c r="TOI18" t="s">
        <v>14157</v>
      </c>
      <c r="TOJ18" t="s">
        <v>14158</v>
      </c>
      <c r="TOK18" t="s">
        <v>14159</v>
      </c>
      <c r="TOL18" t="s">
        <v>14160</v>
      </c>
      <c r="TOM18" t="s">
        <v>14161</v>
      </c>
      <c r="TON18" t="s">
        <v>14162</v>
      </c>
      <c r="TOO18" t="s">
        <v>14163</v>
      </c>
      <c r="TOP18" t="s">
        <v>14164</v>
      </c>
      <c r="TOQ18" t="s">
        <v>14165</v>
      </c>
      <c r="TOR18" t="s">
        <v>14166</v>
      </c>
      <c r="TOS18" t="s">
        <v>14167</v>
      </c>
      <c r="TOT18" t="s">
        <v>14168</v>
      </c>
      <c r="TOU18" t="s">
        <v>14169</v>
      </c>
      <c r="TOV18" t="s">
        <v>14170</v>
      </c>
      <c r="TOW18" t="s">
        <v>14171</v>
      </c>
      <c r="TOX18" t="s">
        <v>14172</v>
      </c>
      <c r="TOY18" t="s">
        <v>14173</v>
      </c>
      <c r="TOZ18" t="s">
        <v>14174</v>
      </c>
      <c r="TPA18" t="s">
        <v>14175</v>
      </c>
      <c r="TPB18" t="s">
        <v>14176</v>
      </c>
      <c r="TPC18" t="s">
        <v>14177</v>
      </c>
      <c r="TPD18" t="s">
        <v>14178</v>
      </c>
      <c r="TPE18" t="s">
        <v>14179</v>
      </c>
      <c r="TPF18" t="s">
        <v>14180</v>
      </c>
      <c r="TPG18" t="s">
        <v>14181</v>
      </c>
      <c r="TPH18" t="s">
        <v>14182</v>
      </c>
      <c r="TPI18" t="s">
        <v>14183</v>
      </c>
      <c r="TPJ18" t="s">
        <v>14184</v>
      </c>
      <c r="TPK18" t="s">
        <v>14185</v>
      </c>
      <c r="TPL18" t="s">
        <v>14186</v>
      </c>
      <c r="TPM18" t="s">
        <v>14187</v>
      </c>
      <c r="TPN18" t="s">
        <v>14188</v>
      </c>
      <c r="TPO18" t="s">
        <v>14189</v>
      </c>
      <c r="TPP18" t="s">
        <v>14190</v>
      </c>
      <c r="TPQ18" t="s">
        <v>14191</v>
      </c>
      <c r="TPR18" t="s">
        <v>14192</v>
      </c>
      <c r="TPS18" t="s">
        <v>14193</v>
      </c>
      <c r="TPT18" t="s">
        <v>14194</v>
      </c>
      <c r="TPU18" t="s">
        <v>14195</v>
      </c>
      <c r="TPV18" t="s">
        <v>14196</v>
      </c>
      <c r="TPW18" t="s">
        <v>14197</v>
      </c>
      <c r="TPX18" t="s">
        <v>14198</v>
      </c>
      <c r="TPY18" t="s">
        <v>14199</v>
      </c>
      <c r="TPZ18" t="s">
        <v>14200</v>
      </c>
      <c r="TQA18" t="s">
        <v>14201</v>
      </c>
      <c r="TQB18" t="s">
        <v>14202</v>
      </c>
      <c r="TQC18" t="s">
        <v>14203</v>
      </c>
      <c r="TQD18" t="s">
        <v>14204</v>
      </c>
      <c r="TQE18" t="s">
        <v>14205</v>
      </c>
      <c r="TQF18" t="s">
        <v>14206</v>
      </c>
      <c r="TQG18" t="s">
        <v>14207</v>
      </c>
      <c r="TQH18" t="s">
        <v>14208</v>
      </c>
      <c r="TQI18" t="s">
        <v>14209</v>
      </c>
      <c r="TQJ18" t="s">
        <v>14210</v>
      </c>
      <c r="TQK18" t="s">
        <v>14211</v>
      </c>
      <c r="TQL18" t="s">
        <v>14212</v>
      </c>
      <c r="TQM18" t="s">
        <v>14213</v>
      </c>
      <c r="TQN18" t="s">
        <v>14214</v>
      </c>
      <c r="TQO18" t="s">
        <v>14215</v>
      </c>
      <c r="TQP18" t="s">
        <v>14216</v>
      </c>
      <c r="TQQ18" t="s">
        <v>14217</v>
      </c>
      <c r="TQR18" t="s">
        <v>14218</v>
      </c>
      <c r="TQS18" t="s">
        <v>14219</v>
      </c>
      <c r="TQT18" t="s">
        <v>14220</v>
      </c>
      <c r="TQU18" t="s">
        <v>14221</v>
      </c>
      <c r="TQV18" t="s">
        <v>14222</v>
      </c>
      <c r="TQW18" t="s">
        <v>14223</v>
      </c>
      <c r="TQX18" t="s">
        <v>14224</v>
      </c>
      <c r="TQY18" t="s">
        <v>14225</v>
      </c>
      <c r="TQZ18" t="s">
        <v>14226</v>
      </c>
      <c r="TRA18" t="s">
        <v>14227</v>
      </c>
      <c r="TRB18" t="s">
        <v>14228</v>
      </c>
      <c r="TRC18" t="s">
        <v>14229</v>
      </c>
      <c r="TRD18" t="s">
        <v>14230</v>
      </c>
      <c r="TRE18" t="s">
        <v>14231</v>
      </c>
      <c r="TRF18" t="s">
        <v>14232</v>
      </c>
      <c r="TRG18" t="s">
        <v>14233</v>
      </c>
      <c r="TRH18" t="s">
        <v>14234</v>
      </c>
      <c r="TRI18" t="s">
        <v>14235</v>
      </c>
      <c r="TRJ18" t="s">
        <v>14236</v>
      </c>
      <c r="TRK18" t="s">
        <v>14237</v>
      </c>
      <c r="TRL18" t="s">
        <v>14238</v>
      </c>
      <c r="TRM18" t="s">
        <v>14239</v>
      </c>
      <c r="TRN18" t="s">
        <v>14240</v>
      </c>
      <c r="TRO18" t="s">
        <v>14241</v>
      </c>
      <c r="TRP18" t="s">
        <v>14242</v>
      </c>
      <c r="TRQ18" t="s">
        <v>14243</v>
      </c>
      <c r="TRR18" t="s">
        <v>14244</v>
      </c>
      <c r="TRS18" t="s">
        <v>14245</v>
      </c>
      <c r="TRT18" t="s">
        <v>14246</v>
      </c>
      <c r="TRU18" t="s">
        <v>14247</v>
      </c>
      <c r="TRV18" t="s">
        <v>14248</v>
      </c>
      <c r="TRW18" t="s">
        <v>14249</v>
      </c>
      <c r="TRX18" t="s">
        <v>14250</v>
      </c>
      <c r="TRY18" t="s">
        <v>14251</v>
      </c>
      <c r="TRZ18" t="s">
        <v>14252</v>
      </c>
      <c r="TSA18" t="s">
        <v>14253</v>
      </c>
      <c r="TSB18" t="s">
        <v>14254</v>
      </c>
      <c r="TSC18" t="s">
        <v>14255</v>
      </c>
      <c r="TSD18" t="s">
        <v>14256</v>
      </c>
      <c r="TSE18" t="s">
        <v>14257</v>
      </c>
      <c r="TSF18" t="s">
        <v>14258</v>
      </c>
      <c r="TSG18" t="s">
        <v>14259</v>
      </c>
      <c r="TSH18" t="s">
        <v>14260</v>
      </c>
      <c r="TSI18" t="s">
        <v>14261</v>
      </c>
      <c r="TSJ18" t="s">
        <v>14262</v>
      </c>
      <c r="TSK18" t="s">
        <v>14263</v>
      </c>
      <c r="TSL18" t="s">
        <v>14264</v>
      </c>
      <c r="TSM18" t="s">
        <v>14265</v>
      </c>
      <c r="TSN18" t="s">
        <v>14266</v>
      </c>
      <c r="TSO18" t="s">
        <v>14267</v>
      </c>
      <c r="TSP18" t="s">
        <v>14268</v>
      </c>
      <c r="TSQ18" t="s">
        <v>14269</v>
      </c>
      <c r="TSR18" t="s">
        <v>14270</v>
      </c>
      <c r="TSS18" t="s">
        <v>14271</v>
      </c>
      <c r="TST18" t="s">
        <v>14272</v>
      </c>
      <c r="TSU18" t="s">
        <v>14273</v>
      </c>
      <c r="TSV18" t="s">
        <v>14274</v>
      </c>
      <c r="TSW18" t="s">
        <v>14275</v>
      </c>
      <c r="TSX18" t="s">
        <v>14276</v>
      </c>
      <c r="TSY18" t="s">
        <v>14277</v>
      </c>
      <c r="TSZ18" t="s">
        <v>14278</v>
      </c>
      <c r="TTA18" t="s">
        <v>14279</v>
      </c>
      <c r="TTB18" t="s">
        <v>14280</v>
      </c>
      <c r="TTC18" t="s">
        <v>14281</v>
      </c>
      <c r="TTD18" t="s">
        <v>14282</v>
      </c>
      <c r="TTE18" t="s">
        <v>14283</v>
      </c>
      <c r="TTF18" t="s">
        <v>14284</v>
      </c>
      <c r="TTG18" t="s">
        <v>14285</v>
      </c>
      <c r="TTH18" t="s">
        <v>14286</v>
      </c>
      <c r="TTI18" t="s">
        <v>14287</v>
      </c>
      <c r="TTJ18" t="s">
        <v>14288</v>
      </c>
      <c r="TTK18" t="s">
        <v>14289</v>
      </c>
      <c r="TTL18" t="s">
        <v>14290</v>
      </c>
      <c r="TTM18" t="s">
        <v>14291</v>
      </c>
      <c r="TTN18" t="s">
        <v>14292</v>
      </c>
      <c r="TTO18" t="s">
        <v>14293</v>
      </c>
      <c r="TTP18" t="s">
        <v>14294</v>
      </c>
      <c r="TTQ18" t="s">
        <v>14295</v>
      </c>
      <c r="TTR18" t="s">
        <v>14296</v>
      </c>
      <c r="TTS18" t="s">
        <v>14297</v>
      </c>
      <c r="TTT18" t="s">
        <v>14298</v>
      </c>
      <c r="TTU18" t="s">
        <v>14299</v>
      </c>
      <c r="TTV18" t="s">
        <v>14300</v>
      </c>
      <c r="TTW18" t="s">
        <v>14301</v>
      </c>
      <c r="TTX18" t="s">
        <v>14302</v>
      </c>
      <c r="TTY18" t="s">
        <v>14303</v>
      </c>
      <c r="TTZ18" t="s">
        <v>14304</v>
      </c>
      <c r="TUA18" t="s">
        <v>14305</v>
      </c>
      <c r="TUB18" t="s">
        <v>14306</v>
      </c>
      <c r="TUC18" t="s">
        <v>14307</v>
      </c>
      <c r="TUD18" t="s">
        <v>14308</v>
      </c>
      <c r="TUE18" t="s">
        <v>14309</v>
      </c>
      <c r="TUF18" t="s">
        <v>14310</v>
      </c>
      <c r="TUG18" t="s">
        <v>14311</v>
      </c>
      <c r="TUH18" t="s">
        <v>14312</v>
      </c>
      <c r="TUI18" t="s">
        <v>14313</v>
      </c>
      <c r="TUJ18" t="s">
        <v>14314</v>
      </c>
      <c r="TUK18" t="s">
        <v>14315</v>
      </c>
      <c r="TUL18" t="s">
        <v>14316</v>
      </c>
      <c r="TUM18" t="s">
        <v>14317</v>
      </c>
      <c r="TUN18" t="s">
        <v>14318</v>
      </c>
      <c r="TUO18" t="s">
        <v>14319</v>
      </c>
      <c r="TUP18" t="s">
        <v>14320</v>
      </c>
      <c r="TUQ18" t="s">
        <v>14321</v>
      </c>
      <c r="TUR18" t="s">
        <v>14322</v>
      </c>
      <c r="TUS18" t="s">
        <v>14323</v>
      </c>
      <c r="TUT18" t="s">
        <v>14324</v>
      </c>
      <c r="TUU18" t="s">
        <v>14325</v>
      </c>
      <c r="TUV18" t="s">
        <v>14326</v>
      </c>
      <c r="TUW18" t="s">
        <v>14327</v>
      </c>
      <c r="TUX18" t="s">
        <v>14328</v>
      </c>
      <c r="TUY18" t="s">
        <v>14329</v>
      </c>
      <c r="TUZ18" t="s">
        <v>14330</v>
      </c>
      <c r="TVA18" t="s">
        <v>14331</v>
      </c>
      <c r="TVB18" t="s">
        <v>14332</v>
      </c>
      <c r="TVC18" t="s">
        <v>14333</v>
      </c>
      <c r="TVD18" t="s">
        <v>14334</v>
      </c>
      <c r="TVE18" t="s">
        <v>14335</v>
      </c>
      <c r="TVF18" t="s">
        <v>14336</v>
      </c>
      <c r="TVG18" t="s">
        <v>14337</v>
      </c>
      <c r="TVH18" t="s">
        <v>14338</v>
      </c>
      <c r="TVI18" t="s">
        <v>14339</v>
      </c>
      <c r="TVJ18" t="s">
        <v>14340</v>
      </c>
      <c r="TVK18" t="s">
        <v>14341</v>
      </c>
      <c r="TVL18" t="s">
        <v>14342</v>
      </c>
      <c r="TVM18" t="s">
        <v>14343</v>
      </c>
      <c r="TVN18" t="s">
        <v>14344</v>
      </c>
      <c r="TVO18" t="s">
        <v>14345</v>
      </c>
      <c r="TVP18" t="s">
        <v>14346</v>
      </c>
      <c r="TVQ18" t="s">
        <v>14347</v>
      </c>
      <c r="TVR18" t="s">
        <v>14348</v>
      </c>
      <c r="TVS18" t="s">
        <v>14349</v>
      </c>
      <c r="TVT18" t="s">
        <v>14350</v>
      </c>
      <c r="TVU18" t="s">
        <v>14351</v>
      </c>
      <c r="TVV18" t="s">
        <v>14352</v>
      </c>
      <c r="TVW18" t="s">
        <v>14353</v>
      </c>
      <c r="TVX18" t="s">
        <v>14354</v>
      </c>
      <c r="TVY18" t="s">
        <v>14355</v>
      </c>
      <c r="TVZ18" t="s">
        <v>14356</v>
      </c>
      <c r="TWA18" t="s">
        <v>14357</v>
      </c>
      <c r="TWB18" t="s">
        <v>14358</v>
      </c>
      <c r="TWC18" t="s">
        <v>14359</v>
      </c>
      <c r="TWD18" t="s">
        <v>14360</v>
      </c>
      <c r="TWE18" t="s">
        <v>14361</v>
      </c>
      <c r="TWF18" t="s">
        <v>14362</v>
      </c>
      <c r="TWG18" t="s">
        <v>14363</v>
      </c>
      <c r="TWH18" t="s">
        <v>14364</v>
      </c>
      <c r="TWI18" t="s">
        <v>14365</v>
      </c>
      <c r="TWJ18" t="s">
        <v>14366</v>
      </c>
      <c r="TWK18" t="s">
        <v>14367</v>
      </c>
      <c r="TWL18" t="s">
        <v>14368</v>
      </c>
      <c r="TWM18" t="s">
        <v>14369</v>
      </c>
      <c r="TWN18" t="s">
        <v>14370</v>
      </c>
      <c r="TWO18" t="s">
        <v>14371</v>
      </c>
      <c r="TWP18" t="s">
        <v>14372</v>
      </c>
      <c r="TWQ18" t="s">
        <v>14373</v>
      </c>
      <c r="TWR18" t="s">
        <v>14374</v>
      </c>
      <c r="TWS18" t="s">
        <v>14375</v>
      </c>
      <c r="TWT18" t="s">
        <v>14376</v>
      </c>
      <c r="TWU18" t="s">
        <v>14377</v>
      </c>
      <c r="TWV18" t="s">
        <v>14378</v>
      </c>
      <c r="TWW18" t="s">
        <v>14379</v>
      </c>
      <c r="TWX18" t="s">
        <v>14380</v>
      </c>
      <c r="TWY18" t="s">
        <v>14381</v>
      </c>
      <c r="TWZ18" t="s">
        <v>14382</v>
      </c>
      <c r="TXA18" t="s">
        <v>14383</v>
      </c>
      <c r="TXB18" t="s">
        <v>14384</v>
      </c>
      <c r="TXC18" t="s">
        <v>14385</v>
      </c>
      <c r="TXD18" t="s">
        <v>14386</v>
      </c>
      <c r="TXE18" t="s">
        <v>14387</v>
      </c>
      <c r="TXF18" t="s">
        <v>14388</v>
      </c>
      <c r="TXG18" t="s">
        <v>14389</v>
      </c>
      <c r="TXH18" t="s">
        <v>14390</v>
      </c>
      <c r="TXI18" t="s">
        <v>14391</v>
      </c>
      <c r="TXJ18" t="s">
        <v>14392</v>
      </c>
      <c r="TXK18" t="s">
        <v>14393</v>
      </c>
      <c r="TXL18" t="s">
        <v>14394</v>
      </c>
      <c r="TXM18" t="s">
        <v>14395</v>
      </c>
      <c r="TXN18" t="s">
        <v>14396</v>
      </c>
      <c r="TXO18" t="s">
        <v>14397</v>
      </c>
      <c r="TXP18" t="s">
        <v>14398</v>
      </c>
      <c r="TXQ18" t="s">
        <v>14399</v>
      </c>
      <c r="TXR18" t="s">
        <v>14400</v>
      </c>
      <c r="TXS18" t="s">
        <v>14401</v>
      </c>
      <c r="TXT18" t="s">
        <v>14402</v>
      </c>
      <c r="TXU18" t="s">
        <v>14403</v>
      </c>
      <c r="TXV18" t="s">
        <v>14404</v>
      </c>
      <c r="TXW18" t="s">
        <v>14405</v>
      </c>
      <c r="TXX18" t="s">
        <v>14406</v>
      </c>
      <c r="TXY18" t="s">
        <v>14407</v>
      </c>
      <c r="TXZ18" t="s">
        <v>14408</v>
      </c>
      <c r="TYA18" t="s">
        <v>14409</v>
      </c>
      <c r="TYB18" t="s">
        <v>14410</v>
      </c>
      <c r="TYC18" t="s">
        <v>14411</v>
      </c>
      <c r="TYD18" t="s">
        <v>14412</v>
      </c>
      <c r="TYE18" t="s">
        <v>14413</v>
      </c>
      <c r="TYF18" t="s">
        <v>14414</v>
      </c>
      <c r="TYG18" t="s">
        <v>14415</v>
      </c>
      <c r="TYH18" t="s">
        <v>14416</v>
      </c>
      <c r="TYI18" t="s">
        <v>14417</v>
      </c>
      <c r="TYJ18" t="s">
        <v>14418</v>
      </c>
      <c r="TYK18" t="s">
        <v>14419</v>
      </c>
      <c r="TYL18" t="s">
        <v>14420</v>
      </c>
      <c r="TYM18" t="s">
        <v>14421</v>
      </c>
      <c r="TYN18" t="s">
        <v>14422</v>
      </c>
      <c r="TYO18" t="s">
        <v>14423</v>
      </c>
      <c r="TYP18" t="s">
        <v>14424</v>
      </c>
      <c r="TYQ18" t="s">
        <v>14425</v>
      </c>
      <c r="TYR18" t="s">
        <v>14426</v>
      </c>
      <c r="TYS18" t="s">
        <v>14427</v>
      </c>
      <c r="TYT18" t="s">
        <v>14428</v>
      </c>
      <c r="TYU18" t="s">
        <v>14429</v>
      </c>
      <c r="TYV18" t="s">
        <v>14430</v>
      </c>
      <c r="TYW18" t="s">
        <v>14431</v>
      </c>
      <c r="TYX18" t="s">
        <v>14432</v>
      </c>
      <c r="TYY18" t="s">
        <v>14433</v>
      </c>
      <c r="TYZ18" t="s">
        <v>14434</v>
      </c>
      <c r="TZA18" t="s">
        <v>14435</v>
      </c>
      <c r="TZB18" t="s">
        <v>14436</v>
      </c>
      <c r="TZC18" t="s">
        <v>14437</v>
      </c>
      <c r="TZD18" t="s">
        <v>14438</v>
      </c>
      <c r="TZE18" t="s">
        <v>14439</v>
      </c>
      <c r="TZF18" t="s">
        <v>14440</v>
      </c>
      <c r="TZG18" t="s">
        <v>14441</v>
      </c>
      <c r="TZH18" t="s">
        <v>14442</v>
      </c>
      <c r="TZI18" t="s">
        <v>14443</v>
      </c>
      <c r="TZJ18" t="s">
        <v>14444</v>
      </c>
      <c r="TZK18" t="s">
        <v>14445</v>
      </c>
      <c r="TZL18" t="s">
        <v>14446</v>
      </c>
      <c r="TZM18" t="s">
        <v>14447</v>
      </c>
      <c r="TZN18" t="s">
        <v>14448</v>
      </c>
      <c r="TZO18" t="s">
        <v>14449</v>
      </c>
      <c r="TZP18" t="s">
        <v>14450</v>
      </c>
      <c r="TZQ18" t="s">
        <v>14451</v>
      </c>
      <c r="TZR18" t="s">
        <v>14452</v>
      </c>
      <c r="TZS18" t="s">
        <v>14453</v>
      </c>
      <c r="TZT18" t="s">
        <v>14454</v>
      </c>
      <c r="TZU18" t="s">
        <v>14455</v>
      </c>
      <c r="TZV18" t="s">
        <v>14456</v>
      </c>
      <c r="TZW18" t="s">
        <v>14457</v>
      </c>
      <c r="TZX18" t="s">
        <v>14458</v>
      </c>
      <c r="TZY18" t="s">
        <v>14459</v>
      </c>
      <c r="TZZ18" t="s">
        <v>14460</v>
      </c>
      <c r="UAA18" t="s">
        <v>14461</v>
      </c>
      <c r="UAB18" t="s">
        <v>14462</v>
      </c>
      <c r="UAC18" t="s">
        <v>14463</v>
      </c>
      <c r="UAD18" t="s">
        <v>14464</v>
      </c>
      <c r="UAE18" t="s">
        <v>14465</v>
      </c>
      <c r="UAF18" t="s">
        <v>14466</v>
      </c>
      <c r="UAG18" t="s">
        <v>14467</v>
      </c>
      <c r="UAH18" t="s">
        <v>14468</v>
      </c>
      <c r="UAI18" t="s">
        <v>14469</v>
      </c>
      <c r="UAJ18" t="s">
        <v>14470</v>
      </c>
      <c r="UAK18" t="s">
        <v>14471</v>
      </c>
      <c r="UAL18" t="s">
        <v>14472</v>
      </c>
      <c r="UAM18" t="s">
        <v>14473</v>
      </c>
      <c r="UAN18" t="s">
        <v>14474</v>
      </c>
      <c r="UAO18" t="s">
        <v>14475</v>
      </c>
      <c r="UAP18" t="s">
        <v>14476</v>
      </c>
      <c r="UAQ18" t="s">
        <v>14477</v>
      </c>
      <c r="UAR18" t="s">
        <v>14478</v>
      </c>
      <c r="UAS18" t="s">
        <v>14479</v>
      </c>
      <c r="UAT18" t="s">
        <v>14480</v>
      </c>
      <c r="UAU18" t="s">
        <v>14481</v>
      </c>
      <c r="UAV18" t="s">
        <v>14482</v>
      </c>
      <c r="UAW18" t="s">
        <v>14483</v>
      </c>
      <c r="UAX18" t="s">
        <v>14484</v>
      </c>
      <c r="UAY18" t="s">
        <v>14485</v>
      </c>
      <c r="UAZ18" t="s">
        <v>14486</v>
      </c>
      <c r="UBA18" t="s">
        <v>14487</v>
      </c>
      <c r="UBB18" t="s">
        <v>14488</v>
      </c>
      <c r="UBC18" t="s">
        <v>14489</v>
      </c>
      <c r="UBD18" t="s">
        <v>14490</v>
      </c>
      <c r="UBE18" t="s">
        <v>14491</v>
      </c>
      <c r="UBF18" t="s">
        <v>14492</v>
      </c>
      <c r="UBG18" t="s">
        <v>14493</v>
      </c>
      <c r="UBH18" t="s">
        <v>14494</v>
      </c>
      <c r="UBI18" t="s">
        <v>14495</v>
      </c>
      <c r="UBJ18" t="s">
        <v>14496</v>
      </c>
      <c r="UBK18" t="s">
        <v>14497</v>
      </c>
      <c r="UBL18" t="s">
        <v>14498</v>
      </c>
      <c r="UBM18" t="s">
        <v>14499</v>
      </c>
      <c r="UBN18" t="s">
        <v>14500</v>
      </c>
      <c r="UBO18" t="s">
        <v>14501</v>
      </c>
      <c r="UBP18" t="s">
        <v>14502</v>
      </c>
      <c r="UBQ18" t="s">
        <v>14503</v>
      </c>
      <c r="UBR18" t="s">
        <v>14504</v>
      </c>
      <c r="UBS18" t="s">
        <v>14505</v>
      </c>
      <c r="UBT18" t="s">
        <v>14506</v>
      </c>
      <c r="UBU18" t="s">
        <v>14507</v>
      </c>
      <c r="UBV18" t="s">
        <v>14508</v>
      </c>
      <c r="UBW18" t="s">
        <v>14509</v>
      </c>
      <c r="UBX18" t="s">
        <v>14510</v>
      </c>
      <c r="UBY18" t="s">
        <v>14511</v>
      </c>
      <c r="UBZ18" t="s">
        <v>14512</v>
      </c>
      <c r="UCA18" t="s">
        <v>14513</v>
      </c>
      <c r="UCB18" t="s">
        <v>14514</v>
      </c>
      <c r="UCC18" t="s">
        <v>14515</v>
      </c>
      <c r="UCD18" t="s">
        <v>14516</v>
      </c>
      <c r="UCE18" t="s">
        <v>14517</v>
      </c>
      <c r="UCF18" t="s">
        <v>14518</v>
      </c>
      <c r="UCG18" t="s">
        <v>14519</v>
      </c>
      <c r="UCH18" t="s">
        <v>14520</v>
      </c>
      <c r="UCI18" t="s">
        <v>14521</v>
      </c>
      <c r="UCJ18" t="s">
        <v>14522</v>
      </c>
      <c r="UCK18" t="s">
        <v>14523</v>
      </c>
      <c r="UCL18" t="s">
        <v>14524</v>
      </c>
      <c r="UCM18" t="s">
        <v>14525</v>
      </c>
      <c r="UCN18" t="s">
        <v>14526</v>
      </c>
      <c r="UCO18" t="s">
        <v>14527</v>
      </c>
      <c r="UCP18" t="s">
        <v>14528</v>
      </c>
      <c r="UCQ18" t="s">
        <v>14529</v>
      </c>
      <c r="UCR18" t="s">
        <v>14530</v>
      </c>
      <c r="UCS18" t="s">
        <v>14531</v>
      </c>
      <c r="UCT18" t="s">
        <v>14532</v>
      </c>
      <c r="UCU18" t="s">
        <v>14533</v>
      </c>
      <c r="UCV18" t="s">
        <v>14534</v>
      </c>
      <c r="UCW18" t="s">
        <v>14535</v>
      </c>
      <c r="UCX18" t="s">
        <v>14536</v>
      </c>
      <c r="UCY18" t="s">
        <v>14537</v>
      </c>
      <c r="UCZ18" t="s">
        <v>14538</v>
      </c>
      <c r="UDA18" t="s">
        <v>14539</v>
      </c>
      <c r="UDB18" t="s">
        <v>14540</v>
      </c>
      <c r="UDC18" t="s">
        <v>14541</v>
      </c>
      <c r="UDD18" t="s">
        <v>14542</v>
      </c>
      <c r="UDE18" t="s">
        <v>14543</v>
      </c>
      <c r="UDF18" t="s">
        <v>14544</v>
      </c>
      <c r="UDG18" t="s">
        <v>14545</v>
      </c>
      <c r="UDH18" t="s">
        <v>14546</v>
      </c>
      <c r="UDI18" t="s">
        <v>14547</v>
      </c>
      <c r="UDJ18" t="s">
        <v>14548</v>
      </c>
      <c r="UDK18" t="s">
        <v>14549</v>
      </c>
      <c r="UDL18" t="s">
        <v>14550</v>
      </c>
      <c r="UDM18" t="s">
        <v>14551</v>
      </c>
      <c r="UDN18" t="s">
        <v>14552</v>
      </c>
      <c r="UDO18" t="s">
        <v>14553</v>
      </c>
      <c r="UDP18" t="s">
        <v>14554</v>
      </c>
      <c r="UDQ18" t="s">
        <v>14555</v>
      </c>
      <c r="UDR18" t="s">
        <v>14556</v>
      </c>
      <c r="UDS18" t="s">
        <v>14557</v>
      </c>
      <c r="UDT18" t="s">
        <v>14558</v>
      </c>
      <c r="UDU18" t="s">
        <v>14559</v>
      </c>
      <c r="UDV18" t="s">
        <v>14560</v>
      </c>
      <c r="UDW18" t="s">
        <v>14561</v>
      </c>
      <c r="UDX18" t="s">
        <v>14562</v>
      </c>
      <c r="UDY18" t="s">
        <v>14563</v>
      </c>
      <c r="UDZ18" t="s">
        <v>14564</v>
      </c>
      <c r="UEA18" t="s">
        <v>14565</v>
      </c>
      <c r="UEB18" t="s">
        <v>14566</v>
      </c>
      <c r="UEC18" t="s">
        <v>14567</v>
      </c>
      <c r="UED18" t="s">
        <v>14568</v>
      </c>
      <c r="UEE18" t="s">
        <v>14569</v>
      </c>
      <c r="UEF18" t="s">
        <v>14570</v>
      </c>
      <c r="UEG18" t="s">
        <v>14571</v>
      </c>
      <c r="UEH18" t="s">
        <v>14572</v>
      </c>
      <c r="UEI18" t="s">
        <v>14573</v>
      </c>
      <c r="UEJ18" t="s">
        <v>14574</v>
      </c>
      <c r="UEK18" t="s">
        <v>14575</v>
      </c>
      <c r="UEL18" t="s">
        <v>14576</v>
      </c>
      <c r="UEM18" t="s">
        <v>14577</v>
      </c>
      <c r="UEN18" t="s">
        <v>14578</v>
      </c>
      <c r="UEO18" t="s">
        <v>14579</v>
      </c>
      <c r="UEP18" t="s">
        <v>14580</v>
      </c>
      <c r="UEQ18" t="s">
        <v>14581</v>
      </c>
      <c r="UER18" t="s">
        <v>14582</v>
      </c>
      <c r="UES18" t="s">
        <v>14583</v>
      </c>
      <c r="UET18" t="s">
        <v>14584</v>
      </c>
      <c r="UEU18" t="s">
        <v>14585</v>
      </c>
      <c r="UEV18" t="s">
        <v>14586</v>
      </c>
      <c r="UEW18" t="s">
        <v>14587</v>
      </c>
      <c r="UEX18" t="s">
        <v>14588</v>
      </c>
      <c r="UEY18" t="s">
        <v>14589</v>
      </c>
      <c r="UEZ18" t="s">
        <v>14590</v>
      </c>
      <c r="UFA18" t="s">
        <v>14591</v>
      </c>
      <c r="UFB18" t="s">
        <v>14592</v>
      </c>
      <c r="UFC18" t="s">
        <v>14593</v>
      </c>
      <c r="UFD18" t="s">
        <v>14594</v>
      </c>
      <c r="UFE18" t="s">
        <v>14595</v>
      </c>
      <c r="UFF18" t="s">
        <v>14596</v>
      </c>
      <c r="UFG18" t="s">
        <v>14597</v>
      </c>
      <c r="UFH18" t="s">
        <v>14598</v>
      </c>
      <c r="UFI18" t="s">
        <v>14599</v>
      </c>
      <c r="UFJ18" t="s">
        <v>14600</v>
      </c>
      <c r="UFK18" t="s">
        <v>14601</v>
      </c>
      <c r="UFL18" t="s">
        <v>14602</v>
      </c>
      <c r="UFM18" t="s">
        <v>14603</v>
      </c>
      <c r="UFN18" t="s">
        <v>14604</v>
      </c>
      <c r="UFO18" t="s">
        <v>14605</v>
      </c>
      <c r="UFP18" t="s">
        <v>14606</v>
      </c>
      <c r="UFQ18" t="s">
        <v>14607</v>
      </c>
      <c r="UFR18" t="s">
        <v>14608</v>
      </c>
      <c r="UFS18" t="s">
        <v>14609</v>
      </c>
      <c r="UFT18" t="s">
        <v>14610</v>
      </c>
      <c r="UFU18" t="s">
        <v>14611</v>
      </c>
      <c r="UFV18" t="s">
        <v>14612</v>
      </c>
      <c r="UFW18" t="s">
        <v>14613</v>
      </c>
      <c r="UFX18" t="s">
        <v>14614</v>
      </c>
      <c r="UFY18" t="s">
        <v>14615</v>
      </c>
      <c r="UFZ18" t="s">
        <v>14616</v>
      </c>
      <c r="UGA18" t="s">
        <v>14617</v>
      </c>
      <c r="UGB18" t="s">
        <v>14618</v>
      </c>
      <c r="UGC18" t="s">
        <v>14619</v>
      </c>
      <c r="UGD18" t="s">
        <v>14620</v>
      </c>
      <c r="UGE18" t="s">
        <v>14621</v>
      </c>
      <c r="UGF18" t="s">
        <v>14622</v>
      </c>
      <c r="UGG18" t="s">
        <v>14623</v>
      </c>
      <c r="UGH18" t="s">
        <v>14624</v>
      </c>
      <c r="UGI18" t="s">
        <v>14625</v>
      </c>
      <c r="UGJ18" t="s">
        <v>14626</v>
      </c>
      <c r="UGK18" t="s">
        <v>14627</v>
      </c>
      <c r="UGL18" t="s">
        <v>14628</v>
      </c>
      <c r="UGM18" t="s">
        <v>14629</v>
      </c>
      <c r="UGN18" t="s">
        <v>14630</v>
      </c>
      <c r="UGO18" t="s">
        <v>14631</v>
      </c>
      <c r="UGP18" t="s">
        <v>14632</v>
      </c>
      <c r="UGQ18" t="s">
        <v>14633</v>
      </c>
      <c r="UGR18" t="s">
        <v>14634</v>
      </c>
      <c r="UGS18" t="s">
        <v>14635</v>
      </c>
      <c r="UGT18" t="s">
        <v>14636</v>
      </c>
      <c r="UGU18" t="s">
        <v>14637</v>
      </c>
      <c r="UGV18" t="s">
        <v>14638</v>
      </c>
      <c r="UGW18" t="s">
        <v>14639</v>
      </c>
      <c r="UGX18" t="s">
        <v>14640</v>
      </c>
      <c r="UGY18" t="s">
        <v>14641</v>
      </c>
      <c r="UGZ18" t="s">
        <v>14642</v>
      </c>
      <c r="UHA18" t="s">
        <v>14643</v>
      </c>
      <c r="UHB18" t="s">
        <v>14644</v>
      </c>
      <c r="UHC18" t="s">
        <v>14645</v>
      </c>
      <c r="UHD18" t="s">
        <v>14646</v>
      </c>
      <c r="UHE18" t="s">
        <v>14647</v>
      </c>
      <c r="UHF18" t="s">
        <v>14648</v>
      </c>
      <c r="UHG18" t="s">
        <v>14649</v>
      </c>
      <c r="UHH18" t="s">
        <v>14650</v>
      </c>
      <c r="UHI18" t="s">
        <v>14651</v>
      </c>
      <c r="UHJ18" t="s">
        <v>14652</v>
      </c>
      <c r="UHK18" t="s">
        <v>14653</v>
      </c>
      <c r="UHL18" t="s">
        <v>14654</v>
      </c>
      <c r="UHM18" t="s">
        <v>14655</v>
      </c>
      <c r="UHN18" t="s">
        <v>14656</v>
      </c>
      <c r="UHO18" t="s">
        <v>14657</v>
      </c>
      <c r="UHP18" t="s">
        <v>14658</v>
      </c>
      <c r="UHQ18" t="s">
        <v>14659</v>
      </c>
      <c r="UHR18" t="s">
        <v>14660</v>
      </c>
      <c r="UHS18" t="s">
        <v>14661</v>
      </c>
      <c r="UHT18" t="s">
        <v>14662</v>
      </c>
      <c r="UHU18" t="s">
        <v>14663</v>
      </c>
      <c r="UHV18" t="s">
        <v>14664</v>
      </c>
      <c r="UHW18" t="s">
        <v>14665</v>
      </c>
      <c r="UHX18" t="s">
        <v>14666</v>
      </c>
      <c r="UHY18" t="s">
        <v>14667</v>
      </c>
      <c r="UHZ18" t="s">
        <v>14668</v>
      </c>
      <c r="UIA18" t="s">
        <v>14669</v>
      </c>
      <c r="UIB18" t="s">
        <v>14670</v>
      </c>
      <c r="UIC18" t="s">
        <v>14671</v>
      </c>
      <c r="UID18" t="s">
        <v>14672</v>
      </c>
      <c r="UIE18" t="s">
        <v>14673</v>
      </c>
      <c r="UIF18" t="s">
        <v>14674</v>
      </c>
      <c r="UIG18" t="s">
        <v>14675</v>
      </c>
      <c r="UIH18" t="s">
        <v>14676</v>
      </c>
      <c r="UII18" t="s">
        <v>14677</v>
      </c>
      <c r="UIJ18" t="s">
        <v>14678</v>
      </c>
      <c r="UIK18" t="s">
        <v>14679</v>
      </c>
      <c r="UIL18" t="s">
        <v>14680</v>
      </c>
      <c r="UIM18" t="s">
        <v>14681</v>
      </c>
      <c r="UIN18" t="s">
        <v>14682</v>
      </c>
      <c r="UIO18" t="s">
        <v>14683</v>
      </c>
      <c r="UIP18" t="s">
        <v>14684</v>
      </c>
      <c r="UIQ18" t="s">
        <v>14685</v>
      </c>
      <c r="UIR18" t="s">
        <v>14686</v>
      </c>
      <c r="UIS18" t="s">
        <v>14687</v>
      </c>
      <c r="UIT18" t="s">
        <v>14688</v>
      </c>
      <c r="UIU18" t="s">
        <v>14689</v>
      </c>
      <c r="UIV18" t="s">
        <v>14690</v>
      </c>
      <c r="UIW18" t="s">
        <v>14691</v>
      </c>
      <c r="UIX18" t="s">
        <v>14692</v>
      </c>
      <c r="UIY18" t="s">
        <v>14693</v>
      </c>
      <c r="UIZ18" t="s">
        <v>14694</v>
      </c>
      <c r="UJA18" t="s">
        <v>14695</v>
      </c>
      <c r="UJB18" t="s">
        <v>14696</v>
      </c>
      <c r="UJC18" t="s">
        <v>14697</v>
      </c>
      <c r="UJD18" t="s">
        <v>14698</v>
      </c>
      <c r="UJE18" t="s">
        <v>14699</v>
      </c>
      <c r="UJF18" t="s">
        <v>14700</v>
      </c>
      <c r="UJG18" t="s">
        <v>14701</v>
      </c>
      <c r="UJH18" t="s">
        <v>14702</v>
      </c>
      <c r="UJI18" t="s">
        <v>14703</v>
      </c>
      <c r="UJJ18" t="s">
        <v>14704</v>
      </c>
      <c r="UJK18" t="s">
        <v>14705</v>
      </c>
      <c r="UJL18" t="s">
        <v>14706</v>
      </c>
      <c r="UJM18" t="s">
        <v>14707</v>
      </c>
      <c r="UJN18" t="s">
        <v>14708</v>
      </c>
      <c r="UJO18" t="s">
        <v>14709</v>
      </c>
      <c r="UJP18" t="s">
        <v>14710</v>
      </c>
      <c r="UJQ18" t="s">
        <v>14711</v>
      </c>
      <c r="UJR18" t="s">
        <v>14712</v>
      </c>
      <c r="UJS18" t="s">
        <v>14713</v>
      </c>
      <c r="UJT18" t="s">
        <v>14714</v>
      </c>
      <c r="UJU18" t="s">
        <v>14715</v>
      </c>
      <c r="UJV18" t="s">
        <v>14716</v>
      </c>
      <c r="UJW18" t="s">
        <v>14717</v>
      </c>
      <c r="UJX18" t="s">
        <v>14718</v>
      </c>
      <c r="UJY18" t="s">
        <v>14719</v>
      </c>
      <c r="UJZ18" t="s">
        <v>14720</v>
      </c>
      <c r="UKA18" t="s">
        <v>14721</v>
      </c>
      <c r="UKB18" t="s">
        <v>14722</v>
      </c>
      <c r="UKC18" t="s">
        <v>14723</v>
      </c>
      <c r="UKD18" t="s">
        <v>14724</v>
      </c>
      <c r="UKE18" t="s">
        <v>14725</v>
      </c>
      <c r="UKF18" t="s">
        <v>14726</v>
      </c>
      <c r="UKG18" t="s">
        <v>14727</v>
      </c>
      <c r="UKH18" t="s">
        <v>14728</v>
      </c>
      <c r="UKI18" t="s">
        <v>14729</v>
      </c>
      <c r="UKJ18" t="s">
        <v>14730</v>
      </c>
      <c r="UKK18" t="s">
        <v>14731</v>
      </c>
      <c r="UKL18" t="s">
        <v>14732</v>
      </c>
      <c r="UKM18" t="s">
        <v>14733</v>
      </c>
      <c r="UKN18" t="s">
        <v>14734</v>
      </c>
      <c r="UKO18" t="s">
        <v>14735</v>
      </c>
      <c r="UKP18" t="s">
        <v>14736</v>
      </c>
      <c r="UKQ18" t="s">
        <v>14737</v>
      </c>
      <c r="UKR18" t="s">
        <v>14738</v>
      </c>
      <c r="UKS18" t="s">
        <v>14739</v>
      </c>
      <c r="UKT18" t="s">
        <v>14740</v>
      </c>
      <c r="UKU18" t="s">
        <v>14741</v>
      </c>
      <c r="UKV18" t="s">
        <v>14742</v>
      </c>
      <c r="UKW18" t="s">
        <v>14743</v>
      </c>
      <c r="UKX18" t="s">
        <v>14744</v>
      </c>
      <c r="UKY18" t="s">
        <v>14745</v>
      </c>
      <c r="UKZ18" t="s">
        <v>14746</v>
      </c>
      <c r="ULA18" t="s">
        <v>14747</v>
      </c>
      <c r="ULB18" t="s">
        <v>14748</v>
      </c>
      <c r="ULC18" t="s">
        <v>14749</v>
      </c>
      <c r="ULD18" t="s">
        <v>14750</v>
      </c>
      <c r="ULE18" t="s">
        <v>14751</v>
      </c>
      <c r="ULF18" t="s">
        <v>14752</v>
      </c>
      <c r="ULG18" t="s">
        <v>14753</v>
      </c>
      <c r="ULH18" t="s">
        <v>14754</v>
      </c>
      <c r="ULI18" t="s">
        <v>14755</v>
      </c>
      <c r="ULJ18" t="s">
        <v>14756</v>
      </c>
      <c r="ULK18" t="s">
        <v>14757</v>
      </c>
      <c r="ULL18" t="s">
        <v>14758</v>
      </c>
      <c r="ULM18" t="s">
        <v>14759</v>
      </c>
      <c r="ULN18" t="s">
        <v>14760</v>
      </c>
      <c r="ULO18" t="s">
        <v>14761</v>
      </c>
      <c r="ULP18" t="s">
        <v>14762</v>
      </c>
      <c r="ULQ18" t="s">
        <v>14763</v>
      </c>
      <c r="ULR18" t="s">
        <v>14764</v>
      </c>
      <c r="ULS18" t="s">
        <v>14765</v>
      </c>
      <c r="ULT18" t="s">
        <v>14766</v>
      </c>
      <c r="ULU18" t="s">
        <v>14767</v>
      </c>
      <c r="ULV18" t="s">
        <v>14768</v>
      </c>
      <c r="ULW18" t="s">
        <v>14769</v>
      </c>
      <c r="ULX18" t="s">
        <v>14770</v>
      </c>
      <c r="ULY18" t="s">
        <v>14771</v>
      </c>
      <c r="ULZ18" t="s">
        <v>14772</v>
      </c>
      <c r="UMA18" t="s">
        <v>14773</v>
      </c>
      <c r="UMB18" t="s">
        <v>14774</v>
      </c>
      <c r="UMC18" t="s">
        <v>14775</v>
      </c>
      <c r="UMD18" t="s">
        <v>14776</v>
      </c>
      <c r="UME18" t="s">
        <v>14777</v>
      </c>
      <c r="UMF18" t="s">
        <v>14778</v>
      </c>
      <c r="UMG18" t="s">
        <v>14779</v>
      </c>
      <c r="UMH18" t="s">
        <v>14780</v>
      </c>
      <c r="UMI18" t="s">
        <v>14781</v>
      </c>
      <c r="UMJ18" t="s">
        <v>14782</v>
      </c>
      <c r="UMK18" t="s">
        <v>14783</v>
      </c>
      <c r="UML18" t="s">
        <v>14784</v>
      </c>
      <c r="UMM18" t="s">
        <v>14785</v>
      </c>
      <c r="UMN18" t="s">
        <v>14786</v>
      </c>
      <c r="UMO18" t="s">
        <v>14787</v>
      </c>
      <c r="UMP18" t="s">
        <v>14788</v>
      </c>
      <c r="UMQ18" t="s">
        <v>14789</v>
      </c>
      <c r="UMR18" t="s">
        <v>14790</v>
      </c>
      <c r="UMS18" t="s">
        <v>14791</v>
      </c>
      <c r="UMT18" t="s">
        <v>14792</v>
      </c>
      <c r="UMU18" t="s">
        <v>14793</v>
      </c>
      <c r="UMV18" t="s">
        <v>14794</v>
      </c>
      <c r="UMW18" t="s">
        <v>14795</v>
      </c>
      <c r="UMX18" t="s">
        <v>14796</v>
      </c>
      <c r="UMY18" t="s">
        <v>14797</v>
      </c>
      <c r="UMZ18" t="s">
        <v>14798</v>
      </c>
      <c r="UNA18" t="s">
        <v>14799</v>
      </c>
      <c r="UNB18" t="s">
        <v>14800</v>
      </c>
      <c r="UNC18" t="s">
        <v>14801</v>
      </c>
      <c r="UND18" t="s">
        <v>14802</v>
      </c>
      <c r="UNE18" t="s">
        <v>14803</v>
      </c>
      <c r="UNF18" t="s">
        <v>14804</v>
      </c>
      <c r="UNG18" t="s">
        <v>14805</v>
      </c>
      <c r="UNH18" t="s">
        <v>14806</v>
      </c>
      <c r="UNI18" t="s">
        <v>14807</v>
      </c>
      <c r="UNJ18" t="s">
        <v>14808</v>
      </c>
      <c r="UNK18" t="s">
        <v>14809</v>
      </c>
      <c r="UNL18" t="s">
        <v>14810</v>
      </c>
      <c r="UNM18" t="s">
        <v>14811</v>
      </c>
      <c r="UNN18" t="s">
        <v>14812</v>
      </c>
      <c r="UNO18" t="s">
        <v>14813</v>
      </c>
      <c r="UNP18" t="s">
        <v>14814</v>
      </c>
      <c r="UNQ18" t="s">
        <v>14815</v>
      </c>
      <c r="UNR18" t="s">
        <v>14816</v>
      </c>
      <c r="UNS18" t="s">
        <v>14817</v>
      </c>
      <c r="UNT18" t="s">
        <v>14818</v>
      </c>
      <c r="UNU18" t="s">
        <v>14819</v>
      </c>
      <c r="UNV18" t="s">
        <v>14820</v>
      </c>
      <c r="UNW18" t="s">
        <v>14821</v>
      </c>
      <c r="UNX18" t="s">
        <v>14822</v>
      </c>
      <c r="UNY18" t="s">
        <v>14823</v>
      </c>
      <c r="UNZ18" t="s">
        <v>14824</v>
      </c>
      <c r="UOA18" t="s">
        <v>14825</v>
      </c>
      <c r="UOB18" t="s">
        <v>14826</v>
      </c>
      <c r="UOC18" t="s">
        <v>14827</v>
      </c>
      <c r="UOD18" t="s">
        <v>14828</v>
      </c>
      <c r="UOE18" t="s">
        <v>14829</v>
      </c>
      <c r="UOF18" t="s">
        <v>14830</v>
      </c>
      <c r="UOG18" t="s">
        <v>14831</v>
      </c>
      <c r="UOH18" t="s">
        <v>14832</v>
      </c>
      <c r="UOI18" t="s">
        <v>14833</v>
      </c>
      <c r="UOJ18" t="s">
        <v>14834</v>
      </c>
      <c r="UOK18" t="s">
        <v>14835</v>
      </c>
      <c r="UOL18" t="s">
        <v>14836</v>
      </c>
      <c r="UOM18" t="s">
        <v>14837</v>
      </c>
      <c r="UON18" t="s">
        <v>14838</v>
      </c>
      <c r="UOO18" t="s">
        <v>14839</v>
      </c>
      <c r="UOP18" t="s">
        <v>14840</v>
      </c>
      <c r="UOQ18" t="s">
        <v>14841</v>
      </c>
      <c r="UOR18" t="s">
        <v>14842</v>
      </c>
      <c r="UOS18" t="s">
        <v>14843</v>
      </c>
      <c r="UOT18" t="s">
        <v>14844</v>
      </c>
      <c r="UOU18" t="s">
        <v>14845</v>
      </c>
      <c r="UOV18" t="s">
        <v>14846</v>
      </c>
      <c r="UOW18" t="s">
        <v>14847</v>
      </c>
      <c r="UOX18" t="s">
        <v>14848</v>
      </c>
      <c r="UOY18" t="s">
        <v>14849</v>
      </c>
      <c r="UOZ18" t="s">
        <v>14850</v>
      </c>
      <c r="UPA18" t="s">
        <v>14851</v>
      </c>
      <c r="UPB18" t="s">
        <v>14852</v>
      </c>
      <c r="UPC18" t="s">
        <v>14853</v>
      </c>
      <c r="UPD18" t="s">
        <v>14854</v>
      </c>
      <c r="UPE18" t="s">
        <v>14855</v>
      </c>
      <c r="UPF18" t="s">
        <v>14856</v>
      </c>
      <c r="UPG18" t="s">
        <v>14857</v>
      </c>
      <c r="UPH18" t="s">
        <v>14858</v>
      </c>
      <c r="UPI18" t="s">
        <v>14859</v>
      </c>
      <c r="UPJ18" t="s">
        <v>14860</v>
      </c>
      <c r="UPK18" t="s">
        <v>14861</v>
      </c>
      <c r="UPL18" t="s">
        <v>14862</v>
      </c>
      <c r="UPM18" t="s">
        <v>14863</v>
      </c>
      <c r="UPN18" t="s">
        <v>14864</v>
      </c>
      <c r="UPO18" t="s">
        <v>14865</v>
      </c>
      <c r="UPP18" t="s">
        <v>14866</v>
      </c>
      <c r="UPQ18" t="s">
        <v>14867</v>
      </c>
      <c r="UPR18" t="s">
        <v>14868</v>
      </c>
      <c r="UPS18" t="s">
        <v>14869</v>
      </c>
      <c r="UPT18" t="s">
        <v>14870</v>
      </c>
      <c r="UPU18" t="s">
        <v>14871</v>
      </c>
      <c r="UPV18" t="s">
        <v>14872</v>
      </c>
      <c r="UPW18" t="s">
        <v>14873</v>
      </c>
      <c r="UPX18" t="s">
        <v>14874</v>
      </c>
      <c r="UPY18" t="s">
        <v>14875</v>
      </c>
      <c r="UPZ18" t="s">
        <v>14876</v>
      </c>
      <c r="UQA18" t="s">
        <v>14877</v>
      </c>
      <c r="UQB18" t="s">
        <v>14878</v>
      </c>
      <c r="UQC18" t="s">
        <v>14879</v>
      </c>
      <c r="UQD18" t="s">
        <v>14880</v>
      </c>
      <c r="UQE18" t="s">
        <v>14881</v>
      </c>
      <c r="UQF18" t="s">
        <v>14882</v>
      </c>
      <c r="UQG18" t="s">
        <v>14883</v>
      </c>
      <c r="UQH18" t="s">
        <v>14884</v>
      </c>
      <c r="UQI18" t="s">
        <v>14885</v>
      </c>
      <c r="UQJ18" t="s">
        <v>14886</v>
      </c>
      <c r="UQK18" t="s">
        <v>14887</v>
      </c>
      <c r="UQL18" t="s">
        <v>14888</v>
      </c>
      <c r="UQM18" t="s">
        <v>14889</v>
      </c>
      <c r="UQN18" t="s">
        <v>14890</v>
      </c>
      <c r="UQO18" t="s">
        <v>14891</v>
      </c>
      <c r="UQP18" t="s">
        <v>14892</v>
      </c>
      <c r="UQQ18" t="s">
        <v>14893</v>
      </c>
      <c r="UQR18" t="s">
        <v>14894</v>
      </c>
      <c r="UQS18" t="s">
        <v>14895</v>
      </c>
      <c r="UQT18" t="s">
        <v>14896</v>
      </c>
      <c r="UQU18" t="s">
        <v>14897</v>
      </c>
      <c r="UQV18" t="s">
        <v>14898</v>
      </c>
      <c r="UQW18" t="s">
        <v>14899</v>
      </c>
      <c r="UQX18" t="s">
        <v>14900</v>
      </c>
      <c r="UQY18" t="s">
        <v>14901</v>
      </c>
      <c r="UQZ18" t="s">
        <v>14902</v>
      </c>
      <c r="URA18" t="s">
        <v>14903</v>
      </c>
      <c r="URB18" t="s">
        <v>14904</v>
      </c>
      <c r="URC18" t="s">
        <v>14905</v>
      </c>
      <c r="URD18" t="s">
        <v>14906</v>
      </c>
      <c r="URE18" t="s">
        <v>14907</v>
      </c>
      <c r="URF18" t="s">
        <v>14908</v>
      </c>
      <c r="URG18" t="s">
        <v>14909</v>
      </c>
      <c r="URH18" t="s">
        <v>14910</v>
      </c>
      <c r="URI18" t="s">
        <v>14911</v>
      </c>
      <c r="URJ18" t="s">
        <v>14912</v>
      </c>
      <c r="URK18" t="s">
        <v>14913</v>
      </c>
      <c r="URL18" t="s">
        <v>14914</v>
      </c>
      <c r="URM18" t="s">
        <v>14915</v>
      </c>
      <c r="URN18" t="s">
        <v>14916</v>
      </c>
      <c r="URO18" t="s">
        <v>14917</v>
      </c>
      <c r="URP18" t="s">
        <v>14918</v>
      </c>
      <c r="URQ18" t="s">
        <v>14919</v>
      </c>
      <c r="URR18" t="s">
        <v>14920</v>
      </c>
      <c r="URS18" t="s">
        <v>14921</v>
      </c>
      <c r="URT18" t="s">
        <v>14922</v>
      </c>
      <c r="URU18" t="s">
        <v>14923</v>
      </c>
      <c r="URV18" t="s">
        <v>14924</v>
      </c>
      <c r="URW18" t="s">
        <v>14925</v>
      </c>
      <c r="URX18" t="s">
        <v>14926</v>
      </c>
      <c r="URY18" t="s">
        <v>14927</v>
      </c>
      <c r="URZ18" t="s">
        <v>14928</v>
      </c>
      <c r="USA18" t="s">
        <v>14929</v>
      </c>
      <c r="USB18" t="s">
        <v>14930</v>
      </c>
      <c r="USC18" t="s">
        <v>14931</v>
      </c>
      <c r="USD18" t="s">
        <v>14932</v>
      </c>
      <c r="USE18" t="s">
        <v>14933</v>
      </c>
      <c r="USF18" t="s">
        <v>14934</v>
      </c>
      <c r="USG18" t="s">
        <v>14935</v>
      </c>
      <c r="USH18" t="s">
        <v>14936</v>
      </c>
      <c r="USI18" t="s">
        <v>14937</v>
      </c>
      <c r="USJ18" t="s">
        <v>14938</v>
      </c>
      <c r="USK18" t="s">
        <v>14939</v>
      </c>
      <c r="USL18" t="s">
        <v>14940</v>
      </c>
      <c r="USM18" t="s">
        <v>14941</v>
      </c>
      <c r="USN18" t="s">
        <v>14942</v>
      </c>
      <c r="USO18" t="s">
        <v>14943</v>
      </c>
      <c r="USP18" t="s">
        <v>14944</v>
      </c>
      <c r="USQ18" t="s">
        <v>14945</v>
      </c>
      <c r="USR18" t="s">
        <v>14946</v>
      </c>
      <c r="USS18" t="s">
        <v>14947</v>
      </c>
      <c r="UST18" t="s">
        <v>14948</v>
      </c>
      <c r="USU18" t="s">
        <v>14949</v>
      </c>
      <c r="USV18" t="s">
        <v>14950</v>
      </c>
      <c r="USW18" t="s">
        <v>14951</v>
      </c>
      <c r="USX18" t="s">
        <v>14952</v>
      </c>
      <c r="USY18" t="s">
        <v>14953</v>
      </c>
      <c r="USZ18" t="s">
        <v>14954</v>
      </c>
      <c r="UTA18" t="s">
        <v>14955</v>
      </c>
      <c r="UTB18" t="s">
        <v>14956</v>
      </c>
      <c r="UTC18" t="s">
        <v>14957</v>
      </c>
      <c r="UTD18" t="s">
        <v>14958</v>
      </c>
      <c r="UTE18" t="s">
        <v>14959</v>
      </c>
      <c r="UTF18" t="s">
        <v>14960</v>
      </c>
      <c r="UTG18" t="s">
        <v>14961</v>
      </c>
      <c r="UTH18" t="s">
        <v>14962</v>
      </c>
      <c r="UTI18" t="s">
        <v>14963</v>
      </c>
      <c r="UTJ18" t="s">
        <v>14964</v>
      </c>
      <c r="UTK18" t="s">
        <v>14965</v>
      </c>
      <c r="UTL18" t="s">
        <v>14966</v>
      </c>
      <c r="UTM18" t="s">
        <v>14967</v>
      </c>
      <c r="UTN18" t="s">
        <v>14968</v>
      </c>
      <c r="UTO18" t="s">
        <v>14969</v>
      </c>
      <c r="UTP18" t="s">
        <v>14970</v>
      </c>
      <c r="UTQ18" t="s">
        <v>14971</v>
      </c>
      <c r="UTR18" t="s">
        <v>14972</v>
      </c>
      <c r="UTS18" t="s">
        <v>14973</v>
      </c>
      <c r="UTT18" t="s">
        <v>14974</v>
      </c>
      <c r="UTU18" t="s">
        <v>14975</v>
      </c>
      <c r="UTV18" t="s">
        <v>14976</v>
      </c>
      <c r="UTW18" t="s">
        <v>14977</v>
      </c>
      <c r="UTX18" t="s">
        <v>14978</v>
      </c>
      <c r="UTY18" t="s">
        <v>14979</v>
      </c>
      <c r="UTZ18" t="s">
        <v>14980</v>
      </c>
      <c r="UUA18" t="s">
        <v>14981</v>
      </c>
      <c r="UUB18" t="s">
        <v>14982</v>
      </c>
      <c r="UUC18" t="s">
        <v>14983</v>
      </c>
      <c r="UUD18" t="s">
        <v>14984</v>
      </c>
      <c r="UUE18" t="s">
        <v>14985</v>
      </c>
      <c r="UUF18" t="s">
        <v>14986</v>
      </c>
      <c r="UUG18" t="s">
        <v>14987</v>
      </c>
      <c r="UUH18" t="s">
        <v>14988</v>
      </c>
      <c r="UUI18" t="s">
        <v>14989</v>
      </c>
      <c r="UUJ18" t="s">
        <v>14990</v>
      </c>
      <c r="UUK18" t="s">
        <v>14991</v>
      </c>
      <c r="UUL18" t="s">
        <v>14992</v>
      </c>
      <c r="UUM18" t="s">
        <v>14993</v>
      </c>
      <c r="UUN18" t="s">
        <v>14994</v>
      </c>
      <c r="UUO18" t="s">
        <v>14995</v>
      </c>
      <c r="UUP18" t="s">
        <v>14996</v>
      </c>
      <c r="UUQ18" t="s">
        <v>14997</v>
      </c>
      <c r="UUR18" t="s">
        <v>14998</v>
      </c>
      <c r="UUS18" t="s">
        <v>14999</v>
      </c>
      <c r="UUT18" t="s">
        <v>15000</v>
      </c>
      <c r="UUU18" t="s">
        <v>15001</v>
      </c>
      <c r="UUV18" t="s">
        <v>15002</v>
      </c>
      <c r="UUW18" t="s">
        <v>15003</v>
      </c>
      <c r="UUX18" t="s">
        <v>15004</v>
      </c>
      <c r="UUY18" t="s">
        <v>15005</v>
      </c>
      <c r="UUZ18" t="s">
        <v>15006</v>
      </c>
      <c r="UVA18" t="s">
        <v>15007</v>
      </c>
      <c r="UVB18" t="s">
        <v>15008</v>
      </c>
      <c r="UVC18" t="s">
        <v>15009</v>
      </c>
      <c r="UVD18" t="s">
        <v>15010</v>
      </c>
      <c r="UVE18" t="s">
        <v>15011</v>
      </c>
      <c r="UVF18" t="s">
        <v>15012</v>
      </c>
      <c r="UVG18" t="s">
        <v>15013</v>
      </c>
      <c r="UVH18" t="s">
        <v>15014</v>
      </c>
      <c r="UVI18" t="s">
        <v>15015</v>
      </c>
      <c r="UVJ18" t="s">
        <v>15016</v>
      </c>
      <c r="UVK18" t="s">
        <v>15017</v>
      </c>
      <c r="UVL18" t="s">
        <v>15018</v>
      </c>
      <c r="UVM18" t="s">
        <v>15019</v>
      </c>
      <c r="UVN18" t="s">
        <v>15020</v>
      </c>
      <c r="UVO18" t="s">
        <v>15021</v>
      </c>
      <c r="UVP18" t="s">
        <v>15022</v>
      </c>
      <c r="UVQ18" t="s">
        <v>15023</v>
      </c>
      <c r="UVR18" t="s">
        <v>15024</v>
      </c>
      <c r="UVS18" t="s">
        <v>15025</v>
      </c>
      <c r="UVT18" t="s">
        <v>15026</v>
      </c>
      <c r="UVU18" t="s">
        <v>15027</v>
      </c>
      <c r="UVV18" t="s">
        <v>15028</v>
      </c>
      <c r="UVW18" t="s">
        <v>15029</v>
      </c>
      <c r="UVX18" t="s">
        <v>15030</v>
      </c>
      <c r="UVY18" t="s">
        <v>15031</v>
      </c>
      <c r="UVZ18" t="s">
        <v>15032</v>
      </c>
      <c r="UWA18" t="s">
        <v>15033</v>
      </c>
      <c r="UWB18" t="s">
        <v>15034</v>
      </c>
      <c r="UWC18" t="s">
        <v>15035</v>
      </c>
      <c r="UWD18" t="s">
        <v>15036</v>
      </c>
      <c r="UWE18" t="s">
        <v>15037</v>
      </c>
      <c r="UWF18" t="s">
        <v>15038</v>
      </c>
      <c r="UWG18" t="s">
        <v>15039</v>
      </c>
      <c r="UWH18" t="s">
        <v>15040</v>
      </c>
      <c r="UWI18" t="s">
        <v>15041</v>
      </c>
      <c r="UWJ18" t="s">
        <v>15042</v>
      </c>
      <c r="UWK18" t="s">
        <v>15043</v>
      </c>
      <c r="UWL18" t="s">
        <v>15044</v>
      </c>
      <c r="UWM18" t="s">
        <v>15045</v>
      </c>
      <c r="UWN18" t="s">
        <v>15046</v>
      </c>
      <c r="UWO18" t="s">
        <v>15047</v>
      </c>
      <c r="UWP18" t="s">
        <v>15048</v>
      </c>
      <c r="UWQ18" t="s">
        <v>15049</v>
      </c>
      <c r="UWR18" t="s">
        <v>15050</v>
      </c>
      <c r="UWS18" t="s">
        <v>15051</v>
      </c>
      <c r="UWT18" t="s">
        <v>15052</v>
      </c>
      <c r="UWU18" t="s">
        <v>15053</v>
      </c>
      <c r="UWV18" t="s">
        <v>15054</v>
      </c>
      <c r="UWW18" t="s">
        <v>15055</v>
      </c>
      <c r="UWX18" t="s">
        <v>15056</v>
      </c>
      <c r="UWY18" t="s">
        <v>15057</v>
      </c>
      <c r="UWZ18" t="s">
        <v>15058</v>
      </c>
      <c r="UXA18" t="s">
        <v>15059</v>
      </c>
      <c r="UXB18" t="s">
        <v>15060</v>
      </c>
      <c r="UXC18" t="s">
        <v>15061</v>
      </c>
      <c r="UXD18" t="s">
        <v>15062</v>
      </c>
      <c r="UXE18" t="s">
        <v>15063</v>
      </c>
      <c r="UXF18" t="s">
        <v>15064</v>
      </c>
      <c r="UXG18" t="s">
        <v>15065</v>
      </c>
      <c r="UXH18" t="s">
        <v>15066</v>
      </c>
      <c r="UXI18" t="s">
        <v>15067</v>
      </c>
      <c r="UXJ18" t="s">
        <v>15068</v>
      </c>
      <c r="UXK18" t="s">
        <v>15069</v>
      </c>
      <c r="UXL18" t="s">
        <v>15070</v>
      </c>
      <c r="UXM18" t="s">
        <v>15071</v>
      </c>
      <c r="UXN18" t="s">
        <v>15072</v>
      </c>
      <c r="UXO18" t="s">
        <v>15073</v>
      </c>
      <c r="UXP18" t="s">
        <v>15074</v>
      </c>
      <c r="UXQ18" t="s">
        <v>15075</v>
      </c>
      <c r="UXR18" t="s">
        <v>15076</v>
      </c>
      <c r="UXS18" t="s">
        <v>15077</v>
      </c>
      <c r="UXT18" t="s">
        <v>15078</v>
      </c>
      <c r="UXU18" t="s">
        <v>15079</v>
      </c>
      <c r="UXV18" t="s">
        <v>15080</v>
      </c>
      <c r="UXW18" t="s">
        <v>15081</v>
      </c>
      <c r="UXX18" t="s">
        <v>15082</v>
      </c>
      <c r="UXY18" t="s">
        <v>15083</v>
      </c>
      <c r="UXZ18" t="s">
        <v>15084</v>
      </c>
      <c r="UYA18" t="s">
        <v>15085</v>
      </c>
      <c r="UYB18" t="s">
        <v>15086</v>
      </c>
      <c r="UYC18" t="s">
        <v>15087</v>
      </c>
      <c r="UYD18" t="s">
        <v>15088</v>
      </c>
      <c r="UYE18" t="s">
        <v>15089</v>
      </c>
      <c r="UYF18" t="s">
        <v>15090</v>
      </c>
      <c r="UYG18" t="s">
        <v>15091</v>
      </c>
      <c r="UYH18" t="s">
        <v>15092</v>
      </c>
      <c r="UYI18" t="s">
        <v>15093</v>
      </c>
      <c r="UYJ18" t="s">
        <v>15094</v>
      </c>
      <c r="UYK18" t="s">
        <v>15095</v>
      </c>
      <c r="UYL18" t="s">
        <v>15096</v>
      </c>
      <c r="UYM18" t="s">
        <v>15097</v>
      </c>
      <c r="UYN18" t="s">
        <v>15098</v>
      </c>
      <c r="UYO18" t="s">
        <v>15099</v>
      </c>
      <c r="UYP18" t="s">
        <v>15100</v>
      </c>
      <c r="UYQ18" t="s">
        <v>15101</v>
      </c>
      <c r="UYR18" t="s">
        <v>15102</v>
      </c>
      <c r="UYS18" t="s">
        <v>15103</v>
      </c>
      <c r="UYT18" t="s">
        <v>15104</v>
      </c>
      <c r="UYU18" t="s">
        <v>15105</v>
      </c>
      <c r="UYV18" t="s">
        <v>15106</v>
      </c>
      <c r="UYW18" t="s">
        <v>15107</v>
      </c>
      <c r="UYX18" t="s">
        <v>15108</v>
      </c>
      <c r="UYY18" t="s">
        <v>15109</v>
      </c>
      <c r="UYZ18" t="s">
        <v>15110</v>
      </c>
      <c r="UZA18" t="s">
        <v>15111</v>
      </c>
      <c r="UZB18" t="s">
        <v>15112</v>
      </c>
      <c r="UZC18" t="s">
        <v>15113</v>
      </c>
      <c r="UZD18" t="s">
        <v>15114</v>
      </c>
      <c r="UZE18" t="s">
        <v>15115</v>
      </c>
      <c r="UZF18" t="s">
        <v>15116</v>
      </c>
      <c r="UZG18" t="s">
        <v>15117</v>
      </c>
      <c r="UZH18" t="s">
        <v>15118</v>
      </c>
      <c r="UZI18" t="s">
        <v>15119</v>
      </c>
      <c r="UZJ18" t="s">
        <v>15120</v>
      </c>
      <c r="UZK18" t="s">
        <v>15121</v>
      </c>
      <c r="UZL18" t="s">
        <v>15122</v>
      </c>
      <c r="UZM18" t="s">
        <v>15123</v>
      </c>
      <c r="UZN18" t="s">
        <v>15124</v>
      </c>
      <c r="UZO18" t="s">
        <v>15125</v>
      </c>
      <c r="UZP18" t="s">
        <v>15126</v>
      </c>
      <c r="UZQ18" t="s">
        <v>15127</v>
      </c>
      <c r="UZR18" t="s">
        <v>15128</v>
      </c>
      <c r="UZS18" t="s">
        <v>15129</v>
      </c>
      <c r="UZT18" t="s">
        <v>15130</v>
      </c>
      <c r="UZU18" t="s">
        <v>15131</v>
      </c>
      <c r="UZV18" t="s">
        <v>15132</v>
      </c>
      <c r="UZW18" t="s">
        <v>15133</v>
      </c>
      <c r="UZX18" t="s">
        <v>15134</v>
      </c>
      <c r="UZY18" t="s">
        <v>15135</v>
      </c>
      <c r="UZZ18" t="s">
        <v>15136</v>
      </c>
      <c r="VAA18" t="s">
        <v>15137</v>
      </c>
      <c r="VAB18" t="s">
        <v>15138</v>
      </c>
      <c r="VAC18" t="s">
        <v>15139</v>
      </c>
      <c r="VAD18" t="s">
        <v>15140</v>
      </c>
      <c r="VAE18" t="s">
        <v>15141</v>
      </c>
      <c r="VAF18" t="s">
        <v>15142</v>
      </c>
      <c r="VAG18" t="s">
        <v>15143</v>
      </c>
      <c r="VAH18" t="s">
        <v>15144</v>
      </c>
      <c r="VAI18" t="s">
        <v>15145</v>
      </c>
      <c r="VAJ18" t="s">
        <v>15146</v>
      </c>
      <c r="VAK18" t="s">
        <v>15147</v>
      </c>
      <c r="VAL18" t="s">
        <v>15148</v>
      </c>
      <c r="VAM18" t="s">
        <v>15149</v>
      </c>
      <c r="VAN18" t="s">
        <v>15150</v>
      </c>
      <c r="VAO18" t="s">
        <v>15151</v>
      </c>
      <c r="VAP18" t="s">
        <v>15152</v>
      </c>
      <c r="VAQ18" t="s">
        <v>15153</v>
      </c>
      <c r="VAR18" t="s">
        <v>15154</v>
      </c>
      <c r="VAS18" t="s">
        <v>15155</v>
      </c>
      <c r="VAT18" t="s">
        <v>15156</v>
      </c>
      <c r="VAU18" t="s">
        <v>15157</v>
      </c>
      <c r="VAV18" t="s">
        <v>15158</v>
      </c>
      <c r="VAW18" t="s">
        <v>15159</v>
      </c>
      <c r="VAX18" t="s">
        <v>15160</v>
      </c>
      <c r="VAY18" t="s">
        <v>15161</v>
      </c>
      <c r="VAZ18" t="s">
        <v>15162</v>
      </c>
      <c r="VBA18" t="s">
        <v>15163</v>
      </c>
      <c r="VBB18" t="s">
        <v>15164</v>
      </c>
      <c r="VBC18" t="s">
        <v>15165</v>
      </c>
      <c r="VBD18" t="s">
        <v>15166</v>
      </c>
      <c r="VBE18" t="s">
        <v>15167</v>
      </c>
      <c r="VBF18" t="s">
        <v>15168</v>
      </c>
      <c r="VBG18" t="s">
        <v>15169</v>
      </c>
      <c r="VBH18" t="s">
        <v>15170</v>
      </c>
      <c r="VBI18" t="s">
        <v>15171</v>
      </c>
      <c r="VBJ18" t="s">
        <v>15172</v>
      </c>
      <c r="VBK18" t="s">
        <v>15173</v>
      </c>
      <c r="VBL18" t="s">
        <v>15174</v>
      </c>
      <c r="VBM18" t="s">
        <v>15175</v>
      </c>
      <c r="VBN18" t="s">
        <v>15176</v>
      </c>
      <c r="VBO18" t="s">
        <v>15177</v>
      </c>
      <c r="VBP18" t="s">
        <v>15178</v>
      </c>
      <c r="VBQ18" t="s">
        <v>15179</v>
      </c>
      <c r="VBR18" t="s">
        <v>15180</v>
      </c>
      <c r="VBS18" t="s">
        <v>15181</v>
      </c>
      <c r="VBT18" t="s">
        <v>15182</v>
      </c>
      <c r="VBU18" t="s">
        <v>15183</v>
      </c>
      <c r="VBV18" t="s">
        <v>15184</v>
      </c>
      <c r="VBW18" t="s">
        <v>15185</v>
      </c>
      <c r="VBX18" t="s">
        <v>15186</v>
      </c>
      <c r="VBY18" t="s">
        <v>15187</v>
      </c>
      <c r="VBZ18" t="s">
        <v>15188</v>
      </c>
      <c r="VCA18" t="s">
        <v>15189</v>
      </c>
      <c r="VCB18" t="s">
        <v>15190</v>
      </c>
      <c r="VCC18" t="s">
        <v>15191</v>
      </c>
      <c r="VCD18" t="s">
        <v>15192</v>
      </c>
      <c r="VCE18" t="s">
        <v>15193</v>
      </c>
      <c r="VCF18" t="s">
        <v>15194</v>
      </c>
      <c r="VCG18" t="s">
        <v>15195</v>
      </c>
      <c r="VCH18" t="s">
        <v>15196</v>
      </c>
      <c r="VCI18" t="s">
        <v>15197</v>
      </c>
      <c r="VCJ18" t="s">
        <v>15198</v>
      </c>
      <c r="VCK18" t="s">
        <v>15199</v>
      </c>
      <c r="VCL18" t="s">
        <v>15200</v>
      </c>
      <c r="VCM18" t="s">
        <v>15201</v>
      </c>
      <c r="VCN18" t="s">
        <v>15202</v>
      </c>
      <c r="VCO18" t="s">
        <v>15203</v>
      </c>
      <c r="VCP18" t="s">
        <v>15204</v>
      </c>
      <c r="VCQ18" t="s">
        <v>15205</v>
      </c>
      <c r="VCR18" t="s">
        <v>15206</v>
      </c>
      <c r="VCS18" t="s">
        <v>15207</v>
      </c>
      <c r="VCT18" t="s">
        <v>15208</v>
      </c>
      <c r="VCU18" t="s">
        <v>15209</v>
      </c>
      <c r="VCV18" t="s">
        <v>15210</v>
      </c>
      <c r="VCW18" t="s">
        <v>15211</v>
      </c>
      <c r="VCX18" t="s">
        <v>15212</v>
      </c>
      <c r="VCY18" t="s">
        <v>15213</v>
      </c>
      <c r="VCZ18" t="s">
        <v>15214</v>
      </c>
      <c r="VDA18" t="s">
        <v>15215</v>
      </c>
      <c r="VDB18" t="s">
        <v>15216</v>
      </c>
      <c r="VDC18" t="s">
        <v>15217</v>
      </c>
      <c r="VDD18" t="s">
        <v>15218</v>
      </c>
      <c r="VDE18" t="s">
        <v>15219</v>
      </c>
      <c r="VDF18" t="s">
        <v>15220</v>
      </c>
      <c r="VDG18" t="s">
        <v>15221</v>
      </c>
      <c r="VDH18" t="s">
        <v>15222</v>
      </c>
      <c r="VDI18" t="s">
        <v>15223</v>
      </c>
      <c r="VDJ18" t="s">
        <v>15224</v>
      </c>
      <c r="VDK18" t="s">
        <v>15225</v>
      </c>
      <c r="VDL18" t="s">
        <v>15226</v>
      </c>
      <c r="VDM18" t="s">
        <v>15227</v>
      </c>
      <c r="VDN18" t="s">
        <v>15228</v>
      </c>
      <c r="VDO18" t="s">
        <v>15229</v>
      </c>
      <c r="VDP18" t="s">
        <v>15230</v>
      </c>
      <c r="VDQ18" t="s">
        <v>15231</v>
      </c>
      <c r="VDR18" t="s">
        <v>15232</v>
      </c>
      <c r="VDS18" t="s">
        <v>15233</v>
      </c>
      <c r="VDT18" t="s">
        <v>15234</v>
      </c>
      <c r="VDU18" t="s">
        <v>15235</v>
      </c>
      <c r="VDV18" t="s">
        <v>15236</v>
      </c>
      <c r="VDW18" t="s">
        <v>15237</v>
      </c>
      <c r="VDX18" t="s">
        <v>15238</v>
      </c>
      <c r="VDY18" t="s">
        <v>15239</v>
      </c>
      <c r="VDZ18" t="s">
        <v>15240</v>
      </c>
      <c r="VEA18" t="s">
        <v>15241</v>
      </c>
      <c r="VEB18" t="s">
        <v>15242</v>
      </c>
      <c r="VEC18" t="s">
        <v>15243</v>
      </c>
      <c r="VED18" t="s">
        <v>15244</v>
      </c>
      <c r="VEE18" t="s">
        <v>15245</v>
      </c>
      <c r="VEF18" t="s">
        <v>15246</v>
      </c>
      <c r="VEG18" t="s">
        <v>15247</v>
      </c>
      <c r="VEH18" t="s">
        <v>15248</v>
      </c>
      <c r="VEI18" t="s">
        <v>15249</v>
      </c>
      <c r="VEJ18" t="s">
        <v>15250</v>
      </c>
      <c r="VEK18" t="s">
        <v>15251</v>
      </c>
      <c r="VEL18" t="s">
        <v>15252</v>
      </c>
      <c r="VEM18" t="s">
        <v>15253</v>
      </c>
      <c r="VEN18" t="s">
        <v>15254</v>
      </c>
      <c r="VEO18" t="s">
        <v>15255</v>
      </c>
      <c r="VEP18" t="s">
        <v>15256</v>
      </c>
      <c r="VEQ18" t="s">
        <v>15257</v>
      </c>
      <c r="VER18" t="s">
        <v>15258</v>
      </c>
      <c r="VES18" t="s">
        <v>15259</v>
      </c>
      <c r="VET18" t="s">
        <v>15260</v>
      </c>
      <c r="VEU18" t="s">
        <v>15261</v>
      </c>
      <c r="VEV18" t="s">
        <v>15262</v>
      </c>
      <c r="VEW18" t="s">
        <v>15263</v>
      </c>
      <c r="VEX18" t="s">
        <v>15264</v>
      </c>
      <c r="VEY18" t="s">
        <v>15265</v>
      </c>
      <c r="VEZ18" t="s">
        <v>15266</v>
      </c>
      <c r="VFA18" t="s">
        <v>15267</v>
      </c>
      <c r="VFB18" t="s">
        <v>15268</v>
      </c>
      <c r="VFC18" t="s">
        <v>15269</v>
      </c>
      <c r="VFD18" t="s">
        <v>15270</v>
      </c>
      <c r="VFE18" t="s">
        <v>15271</v>
      </c>
      <c r="VFF18" t="s">
        <v>15272</v>
      </c>
      <c r="VFG18" t="s">
        <v>15273</v>
      </c>
      <c r="VFH18" t="s">
        <v>15274</v>
      </c>
      <c r="VFI18" t="s">
        <v>15275</v>
      </c>
      <c r="VFJ18" t="s">
        <v>15276</v>
      </c>
      <c r="VFK18" t="s">
        <v>15277</v>
      </c>
      <c r="VFL18" t="s">
        <v>15278</v>
      </c>
      <c r="VFM18" t="s">
        <v>15279</v>
      </c>
      <c r="VFN18" t="s">
        <v>15280</v>
      </c>
      <c r="VFO18" t="s">
        <v>15281</v>
      </c>
      <c r="VFP18" t="s">
        <v>15282</v>
      </c>
      <c r="VFQ18" t="s">
        <v>15283</v>
      </c>
      <c r="VFR18" t="s">
        <v>15284</v>
      </c>
      <c r="VFS18" t="s">
        <v>15285</v>
      </c>
      <c r="VFT18" t="s">
        <v>15286</v>
      </c>
      <c r="VFU18" t="s">
        <v>15287</v>
      </c>
      <c r="VFV18" t="s">
        <v>15288</v>
      </c>
      <c r="VFW18" t="s">
        <v>15289</v>
      </c>
      <c r="VFX18" t="s">
        <v>15290</v>
      </c>
      <c r="VFY18" t="s">
        <v>15291</v>
      </c>
      <c r="VFZ18" t="s">
        <v>15292</v>
      </c>
      <c r="VGA18" t="s">
        <v>15293</v>
      </c>
      <c r="VGB18" t="s">
        <v>15294</v>
      </c>
      <c r="VGC18" t="s">
        <v>15295</v>
      </c>
      <c r="VGD18" t="s">
        <v>15296</v>
      </c>
      <c r="VGE18" t="s">
        <v>15297</v>
      </c>
      <c r="VGF18" t="s">
        <v>15298</v>
      </c>
      <c r="VGG18" t="s">
        <v>15299</v>
      </c>
      <c r="VGH18" t="s">
        <v>15300</v>
      </c>
      <c r="VGI18" t="s">
        <v>15301</v>
      </c>
      <c r="VGJ18" t="s">
        <v>15302</v>
      </c>
      <c r="VGK18" t="s">
        <v>15303</v>
      </c>
      <c r="VGL18" t="s">
        <v>15304</v>
      </c>
      <c r="VGM18" t="s">
        <v>15305</v>
      </c>
      <c r="VGN18" t="s">
        <v>15306</v>
      </c>
      <c r="VGO18" t="s">
        <v>15307</v>
      </c>
      <c r="VGP18" t="s">
        <v>15308</v>
      </c>
      <c r="VGQ18" t="s">
        <v>15309</v>
      </c>
      <c r="VGR18" t="s">
        <v>15310</v>
      </c>
      <c r="VGS18" t="s">
        <v>15311</v>
      </c>
      <c r="VGT18" t="s">
        <v>15312</v>
      </c>
      <c r="VGU18" t="s">
        <v>15313</v>
      </c>
      <c r="VGV18" t="s">
        <v>15314</v>
      </c>
      <c r="VGW18" t="s">
        <v>15315</v>
      </c>
      <c r="VGX18" t="s">
        <v>15316</v>
      </c>
      <c r="VGY18" t="s">
        <v>15317</v>
      </c>
      <c r="VGZ18" t="s">
        <v>15318</v>
      </c>
      <c r="VHA18" t="s">
        <v>15319</v>
      </c>
      <c r="VHB18" t="s">
        <v>15320</v>
      </c>
      <c r="VHC18" t="s">
        <v>15321</v>
      </c>
      <c r="VHD18" t="s">
        <v>15322</v>
      </c>
      <c r="VHE18" t="s">
        <v>15323</v>
      </c>
      <c r="VHF18" t="s">
        <v>15324</v>
      </c>
      <c r="VHG18" t="s">
        <v>15325</v>
      </c>
      <c r="VHH18" t="s">
        <v>15326</v>
      </c>
      <c r="VHI18" t="s">
        <v>15327</v>
      </c>
      <c r="VHJ18" t="s">
        <v>15328</v>
      </c>
      <c r="VHK18" t="s">
        <v>15329</v>
      </c>
      <c r="VHL18" t="s">
        <v>15330</v>
      </c>
      <c r="VHM18" t="s">
        <v>15331</v>
      </c>
      <c r="VHN18" t="s">
        <v>15332</v>
      </c>
      <c r="VHO18" t="s">
        <v>15333</v>
      </c>
      <c r="VHP18" t="s">
        <v>15334</v>
      </c>
      <c r="VHQ18" t="s">
        <v>15335</v>
      </c>
      <c r="VHR18" t="s">
        <v>15336</v>
      </c>
      <c r="VHS18" t="s">
        <v>15337</v>
      </c>
      <c r="VHT18" t="s">
        <v>15338</v>
      </c>
      <c r="VHU18" t="s">
        <v>15339</v>
      </c>
      <c r="VHV18" t="s">
        <v>15340</v>
      </c>
      <c r="VHW18" t="s">
        <v>15341</v>
      </c>
      <c r="VHX18" t="s">
        <v>15342</v>
      </c>
      <c r="VHY18" t="s">
        <v>15343</v>
      </c>
      <c r="VHZ18" t="s">
        <v>15344</v>
      </c>
      <c r="VIA18" t="s">
        <v>15345</v>
      </c>
      <c r="VIB18" t="s">
        <v>15346</v>
      </c>
      <c r="VIC18" t="s">
        <v>15347</v>
      </c>
      <c r="VID18" t="s">
        <v>15348</v>
      </c>
      <c r="VIE18" t="s">
        <v>15349</v>
      </c>
      <c r="VIF18" t="s">
        <v>15350</v>
      </c>
      <c r="VIG18" t="s">
        <v>15351</v>
      </c>
      <c r="VIH18" t="s">
        <v>15352</v>
      </c>
      <c r="VII18" t="s">
        <v>15353</v>
      </c>
      <c r="VIJ18" t="s">
        <v>15354</v>
      </c>
      <c r="VIK18" t="s">
        <v>15355</v>
      </c>
      <c r="VIL18" t="s">
        <v>15356</v>
      </c>
      <c r="VIM18" t="s">
        <v>15357</v>
      </c>
      <c r="VIN18" t="s">
        <v>15358</v>
      </c>
      <c r="VIO18" t="s">
        <v>15359</v>
      </c>
      <c r="VIP18" t="s">
        <v>15360</v>
      </c>
      <c r="VIQ18" t="s">
        <v>15361</v>
      </c>
      <c r="VIR18" t="s">
        <v>15362</v>
      </c>
      <c r="VIS18" t="s">
        <v>15363</v>
      </c>
      <c r="VIT18" t="s">
        <v>15364</v>
      </c>
      <c r="VIU18" t="s">
        <v>15365</v>
      </c>
      <c r="VIV18" t="s">
        <v>15366</v>
      </c>
      <c r="VIW18" t="s">
        <v>15367</v>
      </c>
      <c r="VIX18" t="s">
        <v>15368</v>
      </c>
      <c r="VIY18" t="s">
        <v>15369</v>
      </c>
      <c r="VIZ18" t="s">
        <v>15370</v>
      </c>
      <c r="VJA18" t="s">
        <v>15371</v>
      </c>
      <c r="VJB18" t="s">
        <v>15372</v>
      </c>
      <c r="VJC18" t="s">
        <v>15373</v>
      </c>
      <c r="VJD18" t="s">
        <v>15374</v>
      </c>
      <c r="VJE18" t="s">
        <v>15375</v>
      </c>
      <c r="VJF18" t="s">
        <v>15376</v>
      </c>
      <c r="VJG18" t="s">
        <v>15377</v>
      </c>
      <c r="VJH18" t="s">
        <v>15378</v>
      </c>
      <c r="VJI18" t="s">
        <v>15379</v>
      </c>
      <c r="VJJ18" t="s">
        <v>15380</v>
      </c>
      <c r="VJK18" t="s">
        <v>15381</v>
      </c>
      <c r="VJL18" t="s">
        <v>15382</v>
      </c>
      <c r="VJM18" t="s">
        <v>15383</v>
      </c>
      <c r="VJN18" t="s">
        <v>15384</v>
      </c>
      <c r="VJO18" t="s">
        <v>15385</v>
      </c>
      <c r="VJP18" t="s">
        <v>15386</v>
      </c>
      <c r="VJQ18" t="s">
        <v>15387</v>
      </c>
      <c r="VJR18" t="s">
        <v>15388</v>
      </c>
      <c r="VJS18" t="s">
        <v>15389</v>
      </c>
      <c r="VJT18" t="s">
        <v>15390</v>
      </c>
      <c r="VJU18" t="s">
        <v>15391</v>
      </c>
      <c r="VJV18" t="s">
        <v>15392</v>
      </c>
      <c r="VJW18" t="s">
        <v>15393</v>
      </c>
      <c r="VJX18" t="s">
        <v>15394</v>
      </c>
      <c r="VJY18" t="s">
        <v>15395</v>
      </c>
      <c r="VJZ18" t="s">
        <v>15396</v>
      </c>
      <c r="VKA18" t="s">
        <v>15397</v>
      </c>
      <c r="VKB18" t="s">
        <v>15398</v>
      </c>
      <c r="VKC18" t="s">
        <v>15399</v>
      </c>
      <c r="VKD18" t="s">
        <v>15400</v>
      </c>
      <c r="VKE18" t="s">
        <v>15401</v>
      </c>
      <c r="VKF18" t="s">
        <v>15402</v>
      </c>
      <c r="VKG18" t="s">
        <v>15403</v>
      </c>
      <c r="VKH18" t="s">
        <v>15404</v>
      </c>
      <c r="VKI18" t="s">
        <v>15405</v>
      </c>
      <c r="VKJ18" t="s">
        <v>15406</v>
      </c>
      <c r="VKK18" t="s">
        <v>15407</v>
      </c>
      <c r="VKL18" t="s">
        <v>15408</v>
      </c>
      <c r="VKM18" t="s">
        <v>15409</v>
      </c>
      <c r="VKN18" t="s">
        <v>15410</v>
      </c>
      <c r="VKO18" t="s">
        <v>15411</v>
      </c>
      <c r="VKP18" t="s">
        <v>15412</v>
      </c>
      <c r="VKQ18" t="s">
        <v>15413</v>
      </c>
      <c r="VKR18" t="s">
        <v>15414</v>
      </c>
      <c r="VKS18" t="s">
        <v>15415</v>
      </c>
      <c r="VKT18" t="s">
        <v>15416</v>
      </c>
      <c r="VKU18" t="s">
        <v>15417</v>
      </c>
      <c r="VKV18" t="s">
        <v>15418</v>
      </c>
      <c r="VKW18" t="s">
        <v>15419</v>
      </c>
      <c r="VKX18" t="s">
        <v>15420</v>
      </c>
      <c r="VKY18" t="s">
        <v>15421</v>
      </c>
      <c r="VKZ18" t="s">
        <v>15422</v>
      </c>
      <c r="VLA18" t="s">
        <v>15423</v>
      </c>
      <c r="VLB18" t="s">
        <v>15424</v>
      </c>
      <c r="VLC18" t="s">
        <v>15425</v>
      </c>
      <c r="VLD18" t="s">
        <v>15426</v>
      </c>
      <c r="VLE18" t="s">
        <v>15427</v>
      </c>
      <c r="VLF18" t="s">
        <v>15428</v>
      </c>
      <c r="VLG18" t="s">
        <v>15429</v>
      </c>
      <c r="VLH18" t="s">
        <v>15430</v>
      </c>
      <c r="VLI18" t="s">
        <v>15431</v>
      </c>
      <c r="VLJ18" t="s">
        <v>15432</v>
      </c>
      <c r="VLK18" t="s">
        <v>15433</v>
      </c>
      <c r="VLL18" t="s">
        <v>15434</v>
      </c>
      <c r="VLM18" t="s">
        <v>15435</v>
      </c>
      <c r="VLN18" t="s">
        <v>15436</v>
      </c>
      <c r="VLO18" t="s">
        <v>15437</v>
      </c>
      <c r="VLP18" t="s">
        <v>15438</v>
      </c>
      <c r="VLQ18" t="s">
        <v>15439</v>
      </c>
      <c r="VLR18" t="s">
        <v>15440</v>
      </c>
      <c r="VLS18" t="s">
        <v>15441</v>
      </c>
      <c r="VLT18" t="s">
        <v>15442</v>
      </c>
      <c r="VLU18" t="s">
        <v>15443</v>
      </c>
      <c r="VLV18" t="s">
        <v>15444</v>
      </c>
      <c r="VLW18" t="s">
        <v>15445</v>
      </c>
      <c r="VLX18" t="s">
        <v>15446</v>
      </c>
      <c r="VLY18" t="s">
        <v>15447</v>
      </c>
      <c r="VLZ18" t="s">
        <v>15448</v>
      </c>
      <c r="VMA18" t="s">
        <v>15449</v>
      </c>
      <c r="VMB18" t="s">
        <v>15450</v>
      </c>
      <c r="VMC18" t="s">
        <v>15451</v>
      </c>
      <c r="VMD18" t="s">
        <v>15452</v>
      </c>
      <c r="VME18" t="s">
        <v>15453</v>
      </c>
      <c r="VMF18" t="s">
        <v>15454</v>
      </c>
      <c r="VMG18" t="s">
        <v>15455</v>
      </c>
      <c r="VMH18" t="s">
        <v>15456</v>
      </c>
      <c r="VMI18" t="s">
        <v>15457</v>
      </c>
      <c r="VMJ18" t="s">
        <v>15458</v>
      </c>
      <c r="VMK18" t="s">
        <v>15459</v>
      </c>
      <c r="VML18" t="s">
        <v>15460</v>
      </c>
      <c r="VMM18" t="s">
        <v>15461</v>
      </c>
      <c r="VMN18" t="s">
        <v>15462</v>
      </c>
      <c r="VMO18" t="s">
        <v>15463</v>
      </c>
      <c r="VMP18" t="s">
        <v>15464</v>
      </c>
      <c r="VMQ18" t="s">
        <v>15465</v>
      </c>
      <c r="VMR18" t="s">
        <v>15466</v>
      </c>
      <c r="VMS18" t="s">
        <v>15467</v>
      </c>
      <c r="VMT18" t="s">
        <v>15468</v>
      </c>
      <c r="VMU18" t="s">
        <v>15469</v>
      </c>
      <c r="VMV18" t="s">
        <v>15470</v>
      </c>
      <c r="VMW18" t="s">
        <v>15471</v>
      </c>
      <c r="VMX18" t="s">
        <v>15472</v>
      </c>
      <c r="VMY18" t="s">
        <v>15473</v>
      </c>
      <c r="VMZ18" t="s">
        <v>15474</v>
      </c>
      <c r="VNA18" t="s">
        <v>15475</v>
      </c>
      <c r="VNB18" t="s">
        <v>15476</v>
      </c>
      <c r="VNC18" t="s">
        <v>15477</v>
      </c>
      <c r="VND18" t="s">
        <v>15478</v>
      </c>
      <c r="VNE18" t="s">
        <v>15479</v>
      </c>
      <c r="VNF18" t="s">
        <v>15480</v>
      </c>
      <c r="VNG18" t="s">
        <v>15481</v>
      </c>
      <c r="VNH18" t="s">
        <v>15482</v>
      </c>
      <c r="VNI18" t="s">
        <v>15483</v>
      </c>
      <c r="VNJ18" t="s">
        <v>15484</v>
      </c>
      <c r="VNK18" t="s">
        <v>15485</v>
      </c>
      <c r="VNL18" t="s">
        <v>15486</v>
      </c>
      <c r="VNM18" t="s">
        <v>15487</v>
      </c>
      <c r="VNN18" t="s">
        <v>15488</v>
      </c>
      <c r="VNO18" t="s">
        <v>15489</v>
      </c>
      <c r="VNP18" t="s">
        <v>15490</v>
      </c>
      <c r="VNQ18" t="s">
        <v>15491</v>
      </c>
      <c r="VNR18" t="s">
        <v>15492</v>
      </c>
      <c r="VNS18" t="s">
        <v>15493</v>
      </c>
      <c r="VNT18" t="s">
        <v>15494</v>
      </c>
      <c r="VNU18" t="s">
        <v>15495</v>
      </c>
      <c r="VNV18" t="s">
        <v>15496</v>
      </c>
      <c r="VNW18" t="s">
        <v>15497</v>
      </c>
      <c r="VNX18" t="s">
        <v>15498</v>
      </c>
      <c r="VNY18" t="s">
        <v>15499</v>
      </c>
      <c r="VNZ18" t="s">
        <v>15500</v>
      </c>
      <c r="VOA18" t="s">
        <v>15501</v>
      </c>
      <c r="VOB18" t="s">
        <v>15502</v>
      </c>
      <c r="VOC18" t="s">
        <v>15503</v>
      </c>
      <c r="VOD18" t="s">
        <v>15504</v>
      </c>
      <c r="VOE18" t="s">
        <v>15505</v>
      </c>
      <c r="VOF18" t="s">
        <v>15506</v>
      </c>
      <c r="VOG18" t="s">
        <v>15507</v>
      </c>
      <c r="VOH18" t="s">
        <v>15508</v>
      </c>
      <c r="VOI18" t="s">
        <v>15509</v>
      </c>
      <c r="VOJ18" t="s">
        <v>15510</v>
      </c>
      <c r="VOK18" t="s">
        <v>15511</v>
      </c>
      <c r="VOL18" t="s">
        <v>15512</v>
      </c>
      <c r="VOM18" t="s">
        <v>15513</v>
      </c>
      <c r="VON18" t="s">
        <v>15514</v>
      </c>
      <c r="VOO18" t="s">
        <v>15515</v>
      </c>
      <c r="VOP18" t="s">
        <v>15516</v>
      </c>
      <c r="VOQ18" t="s">
        <v>15517</v>
      </c>
      <c r="VOR18" t="s">
        <v>15518</v>
      </c>
      <c r="VOS18" t="s">
        <v>15519</v>
      </c>
      <c r="VOT18" t="s">
        <v>15520</v>
      </c>
      <c r="VOU18" t="s">
        <v>15521</v>
      </c>
      <c r="VOV18" t="s">
        <v>15522</v>
      </c>
      <c r="VOW18" t="s">
        <v>15523</v>
      </c>
      <c r="VOX18" t="s">
        <v>15524</v>
      </c>
      <c r="VOY18" t="s">
        <v>15525</v>
      </c>
      <c r="VOZ18" t="s">
        <v>15526</v>
      </c>
      <c r="VPA18" t="s">
        <v>15527</v>
      </c>
      <c r="VPB18" t="s">
        <v>15528</v>
      </c>
      <c r="VPC18" t="s">
        <v>15529</v>
      </c>
      <c r="VPD18" t="s">
        <v>15530</v>
      </c>
      <c r="VPE18" t="s">
        <v>15531</v>
      </c>
      <c r="VPF18" t="s">
        <v>15532</v>
      </c>
      <c r="VPG18" t="s">
        <v>15533</v>
      </c>
      <c r="VPH18" t="s">
        <v>15534</v>
      </c>
      <c r="VPI18" t="s">
        <v>15535</v>
      </c>
      <c r="VPJ18" t="s">
        <v>15536</v>
      </c>
      <c r="VPK18" t="s">
        <v>15537</v>
      </c>
      <c r="VPL18" t="s">
        <v>15538</v>
      </c>
      <c r="VPM18" t="s">
        <v>15539</v>
      </c>
      <c r="VPN18" t="s">
        <v>15540</v>
      </c>
      <c r="VPO18" t="s">
        <v>15541</v>
      </c>
      <c r="VPP18" t="s">
        <v>15542</v>
      </c>
      <c r="VPQ18" t="s">
        <v>15543</v>
      </c>
      <c r="VPR18" t="s">
        <v>15544</v>
      </c>
      <c r="VPS18" t="s">
        <v>15545</v>
      </c>
      <c r="VPT18" t="s">
        <v>15546</v>
      </c>
      <c r="VPU18" t="s">
        <v>15547</v>
      </c>
      <c r="VPV18" t="s">
        <v>15548</v>
      </c>
      <c r="VPW18" t="s">
        <v>15549</v>
      </c>
      <c r="VPX18" t="s">
        <v>15550</v>
      </c>
      <c r="VPY18" t="s">
        <v>15551</v>
      </c>
      <c r="VPZ18" t="s">
        <v>15552</v>
      </c>
      <c r="VQA18" t="s">
        <v>15553</v>
      </c>
      <c r="VQB18" t="s">
        <v>15554</v>
      </c>
      <c r="VQC18" t="s">
        <v>15555</v>
      </c>
      <c r="VQD18" t="s">
        <v>15556</v>
      </c>
      <c r="VQE18" t="s">
        <v>15557</v>
      </c>
      <c r="VQF18" t="s">
        <v>15558</v>
      </c>
      <c r="VQG18" t="s">
        <v>15559</v>
      </c>
      <c r="VQH18" t="s">
        <v>15560</v>
      </c>
      <c r="VQI18" t="s">
        <v>15561</v>
      </c>
      <c r="VQJ18" t="s">
        <v>15562</v>
      </c>
      <c r="VQK18" t="s">
        <v>15563</v>
      </c>
      <c r="VQL18" t="s">
        <v>15564</v>
      </c>
      <c r="VQM18" t="s">
        <v>15565</v>
      </c>
      <c r="VQN18" t="s">
        <v>15566</v>
      </c>
      <c r="VQO18" t="s">
        <v>15567</v>
      </c>
      <c r="VQP18" t="s">
        <v>15568</v>
      </c>
      <c r="VQQ18" t="s">
        <v>15569</v>
      </c>
      <c r="VQR18" t="s">
        <v>15570</v>
      </c>
      <c r="VQS18" t="s">
        <v>15571</v>
      </c>
      <c r="VQT18" t="s">
        <v>15572</v>
      </c>
      <c r="VQU18" t="s">
        <v>15573</v>
      </c>
      <c r="VQV18" t="s">
        <v>15574</v>
      </c>
      <c r="VQW18" t="s">
        <v>15575</v>
      </c>
      <c r="VQX18" t="s">
        <v>15576</v>
      </c>
      <c r="VQY18" t="s">
        <v>15577</v>
      </c>
      <c r="VQZ18" t="s">
        <v>15578</v>
      </c>
      <c r="VRA18" t="s">
        <v>15579</v>
      </c>
      <c r="VRB18" t="s">
        <v>15580</v>
      </c>
      <c r="VRC18" t="s">
        <v>15581</v>
      </c>
      <c r="VRD18" t="s">
        <v>15582</v>
      </c>
      <c r="VRE18" t="s">
        <v>15583</v>
      </c>
      <c r="VRF18" t="s">
        <v>15584</v>
      </c>
      <c r="VRG18" t="s">
        <v>15585</v>
      </c>
      <c r="VRH18" t="s">
        <v>15586</v>
      </c>
      <c r="VRI18" t="s">
        <v>15587</v>
      </c>
      <c r="VRJ18" t="s">
        <v>15588</v>
      </c>
      <c r="VRK18" t="s">
        <v>15589</v>
      </c>
      <c r="VRL18" t="s">
        <v>15590</v>
      </c>
      <c r="VRM18" t="s">
        <v>15591</v>
      </c>
      <c r="VRN18" t="s">
        <v>15592</v>
      </c>
      <c r="VRO18" t="s">
        <v>15593</v>
      </c>
      <c r="VRP18" t="s">
        <v>15594</v>
      </c>
      <c r="VRQ18" t="s">
        <v>15595</v>
      </c>
      <c r="VRR18" t="s">
        <v>15596</v>
      </c>
      <c r="VRS18" t="s">
        <v>15597</v>
      </c>
      <c r="VRT18" t="s">
        <v>15598</v>
      </c>
      <c r="VRU18" t="s">
        <v>15599</v>
      </c>
      <c r="VRV18" t="s">
        <v>15600</v>
      </c>
      <c r="VRW18" t="s">
        <v>15601</v>
      </c>
      <c r="VRX18" t="s">
        <v>15602</v>
      </c>
      <c r="VRY18" t="s">
        <v>15603</v>
      </c>
      <c r="VRZ18" t="s">
        <v>15604</v>
      </c>
      <c r="VSA18" t="s">
        <v>15605</v>
      </c>
      <c r="VSB18" t="s">
        <v>15606</v>
      </c>
      <c r="VSC18" t="s">
        <v>15607</v>
      </c>
      <c r="VSD18" t="s">
        <v>15608</v>
      </c>
      <c r="VSE18" t="s">
        <v>15609</v>
      </c>
      <c r="VSF18" t="s">
        <v>15610</v>
      </c>
      <c r="VSG18" t="s">
        <v>15611</v>
      </c>
      <c r="VSH18" t="s">
        <v>15612</v>
      </c>
      <c r="VSI18" t="s">
        <v>15613</v>
      </c>
      <c r="VSJ18" t="s">
        <v>15614</v>
      </c>
      <c r="VSK18" t="s">
        <v>15615</v>
      </c>
      <c r="VSL18" t="s">
        <v>15616</v>
      </c>
      <c r="VSM18" t="s">
        <v>15617</v>
      </c>
      <c r="VSN18" t="s">
        <v>15618</v>
      </c>
      <c r="VSO18" t="s">
        <v>15619</v>
      </c>
      <c r="VSP18" t="s">
        <v>15620</v>
      </c>
      <c r="VSQ18" t="s">
        <v>15621</v>
      </c>
      <c r="VSR18" t="s">
        <v>15622</v>
      </c>
      <c r="VSS18" t="s">
        <v>15623</v>
      </c>
      <c r="VST18" t="s">
        <v>15624</v>
      </c>
      <c r="VSU18" t="s">
        <v>15625</v>
      </c>
      <c r="VSV18" t="s">
        <v>15626</v>
      </c>
      <c r="VSW18" t="s">
        <v>15627</v>
      </c>
      <c r="VSX18" t="s">
        <v>15628</v>
      </c>
      <c r="VSY18" t="s">
        <v>15629</v>
      </c>
      <c r="VSZ18" t="s">
        <v>15630</v>
      </c>
      <c r="VTA18" t="s">
        <v>15631</v>
      </c>
      <c r="VTB18" t="s">
        <v>15632</v>
      </c>
      <c r="VTC18" t="s">
        <v>15633</v>
      </c>
      <c r="VTD18" t="s">
        <v>15634</v>
      </c>
      <c r="VTE18" t="s">
        <v>15635</v>
      </c>
      <c r="VTF18" t="s">
        <v>15636</v>
      </c>
      <c r="VTG18" t="s">
        <v>15637</v>
      </c>
      <c r="VTH18" t="s">
        <v>15638</v>
      </c>
      <c r="VTI18" t="s">
        <v>15639</v>
      </c>
      <c r="VTJ18" t="s">
        <v>15640</v>
      </c>
      <c r="VTK18" t="s">
        <v>15641</v>
      </c>
      <c r="VTL18" t="s">
        <v>15642</v>
      </c>
      <c r="VTM18" t="s">
        <v>15643</v>
      </c>
      <c r="VTN18" t="s">
        <v>15644</v>
      </c>
      <c r="VTO18" t="s">
        <v>15645</v>
      </c>
      <c r="VTP18" t="s">
        <v>15646</v>
      </c>
      <c r="VTQ18" t="s">
        <v>15647</v>
      </c>
      <c r="VTR18" t="s">
        <v>15648</v>
      </c>
      <c r="VTS18" t="s">
        <v>15649</v>
      </c>
      <c r="VTT18" t="s">
        <v>15650</v>
      </c>
      <c r="VTU18" t="s">
        <v>15651</v>
      </c>
      <c r="VTV18" t="s">
        <v>15652</v>
      </c>
      <c r="VTW18" t="s">
        <v>15653</v>
      </c>
      <c r="VTX18" t="s">
        <v>15654</v>
      </c>
      <c r="VTY18" t="s">
        <v>15655</v>
      </c>
      <c r="VTZ18" t="s">
        <v>15656</v>
      </c>
      <c r="VUA18" t="s">
        <v>15657</v>
      </c>
      <c r="VUB18" t="s">
        <v>15658</v>
      </c>
      <c r="VUC18" t="s">
        <v>15659</v>
      </c>
      <c r="VUD18" t="s">
        <v>15660</v>
      </c>
      <c r="VUE18" t="s">
        <v>15661</v>
      </c>
      <c r="VUF18" t="s">
        <v>15662</v>
      </c>
      <c r="VUG18" t="s">
        <v>15663</v>
      </c>
      <c r="VUH18" t="s">
        <v>15664</v>
      </c>
      <c r="VUI18" t="s">
        <v>15665</v>
      </c>
      <c r="VUJ18" t="s">
        <v>15666</v>
      </c>
      <c r="VUK18" t="s">
        <v>15667</v>
      </c>
      <c r="VUL18" t="s">
        <v>15668</v>
      </c>
      <c r="VUM18" t="s">
        <v>15669</v>
      </c>
      <c r="VUN18" t="s">
        <v>15670</v>
      </c>
      <c r="VUO18" t="s">
        <v>15671</v>
      </c>
      <c r="VUP18" t="s">
        <v>15672</v>
      </c>
      <c r="VUQ18" t="s">
        <v>15673</v>
      </c>
      <c r="VUR18" t="s">
        <v>15674</v>
      </c>
      <c r="VUS18" t="s">
        <v>15675</v>
      </c>
      <c r="VUT18" t="s">
        <v>15676</v>
      </c>
      <c r="VUU18" t="s">
        <v>15677</v>
      </c>
      <c r="VUV18" t="s">
        <v>15678</v>
      </c>
      <c r="VUW18" t="s">
        <v>15679</v>
      </c>
      <c r="VUX18" t="s">
        <v>15680</v>
      </c>
      <c r="VUY18" t="s">
        <v>15681</v>
      </c>
      <c r="VUZ18" t="s">
        <v>15682</v>
      </c>
      <c r="VVA18" t="s">
        <v>15683</v>
      </c>
      <c r="VVB18" t="s">
        <v>15684</v>
      </c>
      <c r="VVC18" t="s">
        <v>15685</v>
      </c>
      <c r="VVD18" t="s">
        <v>15686</v>
      </c>
      <c r="VVE18" t="s">
        <v>15687</v>
      </c>
      <c r="VVF18" t="s">
        <v>15688</v>
      </c>
      <c r="VVG18" t="s">
        <v>15689</v>
      </c>
      <c r="VVH18" t="s">
        <v>15690</v>
      </c>
      <c r="VVI18" t="s">
        <v>15691</v>
      </c>
      <c r="VVJ18" t="s">
        <v>15692</v>
      </c>
      <c r="VVK18" t="s">
        <v>15693</v>
      </c>
      <c r="VVL18" t="s">
        <v>15694</v>
      </c>
      <c r="VVM18" t="s">
        <v>15695</v>
      </c>
      <c r="VVN18" t="s">
        <v>15696</v>
      </c>
      <c r="VVO18" t="s">
        <v>15697</v>
      </c>
      <c r="VVP18" t="s">
        <v>15698</v>
      </c>
      <c r="VVQ18" t="s">
        <v>15699</v>
      </c>
      <c r="VVR18" t="s">
        <v>15700</v>
      </c>
      <c r="VVS18" t="s">
        <v>15701</v>
      </c>
      <c r="VVT18" t="s">
        <v>15702</v>
      </c>
      <c r="VVU18" t="s">
        <v>15703</v>
      </c>
      <c r="VVV18" t="s">
        <v>15704</v>
      </c>
      <c r="VVW18" t="s">
        <v>15705</v>
      </c>
      <c r="VVX18" t="s">
        <v>15706</v>
      </c>
      <c r="VVY18" t="s">
        <v>15707</v>
      </c>
      <c r="VVZ18" t="s">
        <v>15708</v>
      </c>
      <c r="VWA18" t="s">
        <v>15709</v>
      </c>
      <c r="VWB18" t="s">
        <v>15710</v>
      </c>
      <c r="VWC18" t="s">
        <v>15711</v>
      </c>
      <c r="VWD18" t="s">
        <v>15712</v>
      </c>
      <c r="VWE18" t="s">
        <v>15713</v>
      </c>
      <c r="VWF18" t="s">
        <v>15714</v>
      </c>
      <c r="VWG18" t="s">
        <v>15715</v>
      </c>
      <c r="VWH18" t="s">
        <v>15716</v>
      </c>
      <c r="VWI18" t="s">
        <v>15717</v>
      </c>
      <c r="VWJ18" t="s">
        <v>15718</v>
      </c>
      <c r="VWK18" t="s">
        <v>15719</v>
      </c>
      <c r="VWL18" t="s">
        <v>15720</v>
      </c>
      <c r="VWM18" t="s">
        <v>15721</v>
      </c>
      <c r="VWN18" t="s">
        <v>15722</v>
      </c>
      <c r="VWO18" t="s">
        <v>15723</v>
      </c>
      <c r="VWP18" t="s">
        <v>15724</v>
      </c>
      <c r="VWQ18" t="s">
        <v>15725</v>
      </c>
      <c r="VWR18" t="s">
        <v>15726</v>
      </c>
      <c r="VWS18" t="s">
        <v>15727</v>
      </c>
      <c r="VWT18" t="s">
        <v>15728</v>
      </c>
      <c r="VWU18" t="s">
        <v>15729</v>
      </c>
      <c r="VWV18" t="s">
        <v>15730</v>
      </c>
      <c r="VWW18" t="s">
        <v>15731</v>
      </c>
      <c r="VWX18" t="s">
        <v>15732</v>
      </c>
      <c r="VWY18" t="s">
        <v>15733</v>
      </c>
      <c r="VWZ18" t="s">
        <v>15734</v>
      </c>
      <c r="VXA18" t="s">
        <v>15735</v>
      </c>
      <c r="VXB18" t="s">
        <v>15736</v>
      </c>
      <c r="VXC18" t="s">
        <v>15737</v>
      </c>
      <c r="VXD18" t="s">
        <v>15738</v>
      </c>
      <c r="VXE18" t="s">
        <v>15739</v>
      </c>
      <c r="VXF18" t="s">
        <v>15740</v>
      </c>
      <c r="VXG18" t="s">
        <v>15741</v>
      </c>
      <c r="VXH18" t="s">
        <v>15742</v>
      </c>
      <c r="VXI18" t="s">
        <v>15743</v>
      </c>
      <c r="VXJ18" t="s">
        <v>15744</v>
      </c>
      <c r="VXK18" t="s">
        <v>15745</v>
      </c>
      <c r="VXL18" t="s">
        <v>15746</v>
      </c>
      <c r="VXM18" t="s">
        <v>15747</v>
      </c>
      <c r="VXN18" t="s">
        <v>15748</v>
      </c>
      <c r="VXO18" t="s">
        <v>15749</v>
      </c>
      <c r="VXP18" t="s">
        <v>15750</v>
      </c>
      <c r="VXQ18" t="s">
        <v>15751</v>
      </c>
      <c r="VXR18" t="s">
        <v>15752</v>
      </c>
      <c r="VXS18" t="s">
        <v>15753</v>
      </c>
      <c r="VXT18" t="s">
        <v>15754</v>
      </c>
      <c r="VXU18" t="s">
        <v>15755</v>
      </c>
      <c r="VXV18" t="s">
        <v>15756</v>
      </c>
      <c r="VXW18" t="s">
        <v>15757</v>
      </c>
      <c r="VXX18" t="s">
        <v>15758</v>
      </c>
      <c r="VXY18" t="s">
        <v>15759</v>
      </c>
      <c r="VXZ18" t="s">
        <v>15760</v>
      </c>
      <c r="VYA18" t="s">
        <v>15761</v>
      </c>
      <c r="VYB18" t="s">
        <v>15762</v>
      </c>
      <c r="VYC18" t="s">
        <v>15763</v>
      </c>
      <c r="VYD18" t="s">
        <v>15764</v>
      </c>
      <c r="VYE18" t="s">
        <v>15765</v>
      </c>
      <c r="VYF18" t="s">
        <v>15766</v>
      </c>
      <c r="VYG18" t="s">
        <v>15767</v>
      </c>
      <c r="VYH18" t="s">
        <v>15768</v>
      </c>
      <c r="VYI18" t="s">
        <v>15769</v>
      </c>
      <c r="VYJ18" t="s">
        <v>15770</v>
      </c>
      <c r="VYK18" t="s">
        <v>15771</v>
      </c>
      <c r="VYL18" t="s">
        <v>15772</v>
      </c>
      <c r="VYM18" t="s">
        <v>15773</v>
      </c>
      <c r="VYN18" t="s">
        <v>15774</v>
      </c>
      <c r="VYO18" t="s">
        <v>15775</v>
      </c>
      <c r="VYP18" t="s">
        <v>15776</v>
      </c>
      <c r="VYQ18" t="s">
        <v>15777</v>
      </c>
      <c r="VYR18" t="s">
        <v>15778</v>
      </c>
      <c r="VYS18" t="s">
        <v>15779</v>
      </c>
      <c r="VYT18" t="s">
        <v>15780</v>
      </c>
      <c r="VYU18" t="s">
        <v>15781</v>
      </c>
      <c r="VYV18" t="s">
        <v>15782</v>
      </c>
      <c r="VYW18" t="s">
        <v>15783</v>
      </c>
      <c r="VYX18" t="s">
        <v>15784</v>
      </c>
      <c r="VYY18" t="s">
        <v>15785</v>
      </c>
      <c r="VYZ18" t="s">
        <v>15786</v>
      </c>
      <c r="VZA18" t="s">
        <v>15787</v>
      </c>
      <c r="VZB18" t="s">
        <v>15788</v>
      </c>
      <c r="VZC18" t="s">
        <v>15789</v>
      </c>
      <c r="VZD18" t="s">
        <v>15790</v>
      </c>
      <c r="VZE18" t="s">
        <v>15791</v>
      </c>
      <c r="VZF18" t="s">
        <v>15792</v>
      </c>
      <c r="VZG18" t="s">
        <v>15793</v>
      </c>
      <c r="VZH18" t="s">
        <v>15794</v>
      </c>
      <c r="VZI18" t="s">
        <v>15795</v>
      </c>
      <c r="VZJ18" t="s">
        <v>15796</v>
      </c>
      <c r="VZK18" t="s">
        <v>15797</v>
      </c>
      <c r="VZL18" t="s">
        <v>15798</v>
      </c>
      <c r="VZM18" t="s">
        <v>15799</v>
      </c>
      <c r="VZN18" t="s">
        <v>15800</v>
      </c>
      <c r="VZO18" t="s">
        <v>15801</v>
      </c>
      <c r="VZP18" t="s">
        <v>15802</v>
      </c>
      <c r="VZQ18" t="s">
        <v>15803</v>
      </c>
      <c r="VZR18" t="s">
        <v>15804</v>
      </c>
      <c r="VZS18" t="s">
        <v>15805</v>
      </c>
      <c r="VZT18" t="s">
        <v>15806</v>
      </c>
      <c r="VZU18" t="s">
        <v>15807</v>
      </c>
      <c r="VZV18" t="s">
        <v>15808</v>
      </c>
      <c r="VZW18" t="s">
        <v>15809</v>
      </c>
      <c r="VZX18" t="s">
        <v>15810</v>
      </c>
      <c r="VZY18" t="s">
        <v>15811</v>
      </c>
      <c r="VZZ18" t="s">
        <v>15812</v>
      </c>
      <c r="WAA18" t="s">
        <v>15813</v>
      </c>
      <c r="WAB18" t="s">
        <v>15814</v>
      </c>
      <c r="WAC18" t="s">
        <v>15815</v>
      </c>
      <c r="WAD18" t="s">
        <v>15816</v>
      </c>
      <c r="WAE18" t="s">
        <v>15817</v>
      </c>
      <c r="WAF18" t="s">
        <v>15818</v>
      </c>
      <c r="WAG18" t="s">
        <v>15819</v>
      </c>
      <c r="WAH18" t="s">
        <v>15820</v>
      </c>
      <c r="WAI18" t="s">
        <v>15821</v>
      </c>
      <c r="WAJ18" t="s">
        <v>15822</v>
      </c>
      <c r="WAK18" t="s">
        <v>15823</v>
      </c>
      <c r="WAL18" t="s">
        <v>15824</v>
      </c>
      <c r="WAM18" t="s">
        <v>15825</v>
      </c>
      <c r="WAN18" t="s">
        <v>15826</v>
      </c>
      <c r="WAO18" t="s">
        <v>15827</v>
      </c>
      <c r="WAP18" t="s">
        <v>15828</v>
      </c>
      <c r="WAQ18" t="s">
        <v>15829</v>
      </c>
      <c r="WAR18" t="s">
        <v>15830</v>
      </c>
      <c r="WAS18" t="s">
        <v>15831</v>
      </c>
      <c r="WAT18" t="s">
        <v>15832</v>
      </c>
      <c r="WAU18" t="s">
        <v>15833</v>
      </c>
      <c r="WAV18" t="s">
        <v>15834</v>
      </c>
      <c r="WAW18" t="s">
        <v>15835</v>
      </c>
      <c r="WAX18" t="s">
        <v>15836</v>
      </c>
      <c r="WAY18" t="s">
        <v>15837</v>
      </c>
      <c r="WAZ18" t="s">
        <v>15838</v>
      </c>
      <c r="WBA18" t="s">
        <v>15839</v>
      </c>
      <c r="WBB18" t="s">
        <v>15840</v>
      </c>
      <c r="WBC18" t="s">
        <v>15841</v>
      </c>
      <c r="WBD18" t="s">
        <v>15842</v>
      </c>
      <c r="WBE18" t="s">
        <v>15843</v>
      </c>
      <c r="WBF18" t="s">
        <v>15844</v>
      </c>
      <c r="WBG18" t="s">
        <v>15845</v>
      </c>
      <c r="WBH18" t="s">
        <v>15846</v>
      </c>
      <c r="WBI18" t="s">
        <v>15847</v>
      </c>
      <c r="WBJ18" t="s">
        <v>15848</v>
      </c>
      <c r="WBK18" t="s">
        <v>15849</v>
      </c>
      <c r="WBL18" t="s">
        <v>15850</v>
      </c>
      <c r="WBM18" t="s">
        <v>15851</v>
      </c>
      <c r="WBN18" t="s">
        <v>15852</v>
      </c>
      <c r="WBO18" t="s">
        <v>15853</v>
      </c>
      <c r="WBP18" t="s">
        <v>15854</v>
      </c>
      <c r="WBQ18" t="s">
        <v>15855</v>
      </c>
      <c r="WBR18" t="s">
        <v>15856</v>
      </c>
      <c r="WBS18" t="s">
        <v>15857</v>
      </c>
      <c r="WBT18" t="s">
        <v>15858</v>
      </c>
      <c r="WBU18" t="s">
        <v>15859</v>
      </c>
      <c r="WBV18" t="s">
        <v>15860</v>
      </c>
      <c r="WBW18" t="s">
        <v>15861</v>
      </c>
      <c r="WBX18" t="s">
        <v>15862</v>
      </c>
      <c r="WBY18" t="s">
        <v>15863</v>
      </c>
      <c r="WBZ18" t="s">
        <v>15864</v>
      </c>
      <c r="WCA18" t="s">
        <v>15865</v>
      </c>
      <c r="WCB18" t="s">
        <v>15866</v>
      </c>
      <c r="WCC18" t="s">
        <v>15867</v>
      </c>
      <c r="WCD18" t="s">
        <v>15868</v>
      </c>
      <c r="WCE18" t="s">
        <v>15869</v>
      </c>
      <c r="WCF18" t="s">
        <v>15870</v>
      </c>
      <c r="WCG18" t="s">
        <v>15871</v>
      </c>
      <c r="WCH18" t="s">
        <v>15872</v>
      </c>
      <c r="WCI18" t="s">
        <v>15873</v>
      </c>
      <c r="WCJ18" t="s">
        <v>15874</v>
      </c>
      <c r="WCK18" t="s">
        <v>15875</v>
      </c>
      <c r="WCL18" t="s">
        <v>15876</v>
      </c>
      <c r="WCM18" t="s">
        <v>15877</v>
      </c>
      <c r="WCN18" t="s">
        <v>15878</v>
      </c>
      <c r="WCO18" t="s">
        <v>15879</v>
      </c>
      <c r="WCP18" t="s">
        <v>15880</v>
      </c>
      <c r="WCQ18" t="s">
        <v>15881</v>
      </c>
      <c r="WCR18" t="s">
        <v>15882</v>
      </c>
      <c r="WCS18" t="s">
        <v>15883</v>
      </c>
      <c r="WCT18" t="s">
        <v>15884</v>
      </c>
      <c r="WCU18" t="s">
        <v>15885</v>
      </c>
      <c r="WCV18" t="s">
        <v>15886</v>
      </c>
      <c r="WCW18" t="s">
        <v>15887</v>
      </c>
      <c r="WCX18" t="s">
        <v>15888</v>
      </c>
      <c r="WCY18" t="s">
        <v>15889</v>
      </c>
      <c r="WCZ18" t="s">
        <v>15890</v>
      </c>
      <c r="WDA18" t="s">
        <v>15891</v>
      </c>
      <c r="WDB18" t="s">
        <v>15892</v>
      </c>
      <c r="WDC18" t="s">
        <v>15893</v>
      </c>
      <c r="WDD18" t="s">
        <v>15894</v>
      </c>
      <c r="WDE18" t="s">
        <v>15895</v>
      </c>
      <c r="WDF18" t="s">
        <v>15896</v>
      </c>
      <c r="WDG18" t="s">
        <v>15897</v>
      </c>
      <c r="WDH18" t="s">
        <v>15898</v>
      </c>
      <c r="WDI18" t="s">
        <v>15899</v>
      </c>
      <c r="WDJ18" t="s">
        <v>15900</v>
      </c>
      <c r="WDK18" t="s">
        <v>15901</v>
      </c>
      <c r="WDL18" t="s">
        <v>15902</v>
      </c>
      <c r="WDM18" t="s">
        <v>15903</v>
      </c>
      <c r="WDN18" t="s">
        <v>15904</v>
      </c>
      <c r="WDO18" t="s">
        <v>15905</v>
      </c>
      <c r="WDP18" t="s">
        <v>15906</v>
      </c>
      <c r="WDQ18" t="s">
        <v>15907</v>
      </c>
      <c r="WDR18" t="s">
        <v>15908</v>
      </c>
      <c r="WDS18" t="s">
        <v>15909</v>
      </c>
      <c r="WDT18" t="s">
        <v>15910</v>
      </c>
      <c r="WDU18" t="s">
        <v>15911</v>
      </c>
      <c r="WDV18" t="s">
        <v>15912</v>
      </c>
      <c r="WDW18" t="s">
        <v>15913</v>
      </c>
      <c r="WDX18" t="s">
        <v>15914</v>
      </c>
      <c r="WDY18" t="s">
        <v>15915</v>
      </c>
      <c r="WDZ18" t="s">
        <v>15916</v>
      </c>
      <c r="WEA18" t="s">
        <v>15917</v>
      </c>
      <c r="WEB18" t="s">
        <v>15918</v>
      </c>
      <c r="WEC18" t="s">
        <v>15919</v>
      </c>
      <c r="WED18" t="s">
        <v>15920</v>
      </c>
      <c r="WEE18" t="s">
        <v>15921</v>
      </c>
      <c r="WEF18" t="s">
        <v>15922</v>
      </c>
      <c r="WEG18" t="s">
        <v>15923</v>
      </c>
      <c r="WEH18" t="s">
        <v>15924</v>
      </c>
      <c r="WEI18" t="s">
        <v>15925</v>
      </c>
      <c r="WEJ18" t="s">
        <v>15926</v>
      </c>
      <c r="WEK18" t="s">
        <v>15927</v>
      </c>
      <c r="WEL18" t="s">
        <v>15928</v>
      </c>
      <c r="WEM18" t="s">
        <v>15929</v>
      </c>
      <c r="WEN18" t="s">
        <v>15930</v>
      </c>
      <c r="WEO18" t="s">
        <v>15931</v>
      </c>
      <c r="WEP18" t="s">
        <v>15932</v>
      </c>
      <c r="WEQ18" t="s">
        <v>15933</v>
      </c>
      <c r="WER18" t="s">
        <v>15934</v>
      </c>
      <c r="WES18" t="s">
        <v>15935</v>
      </c>
      <c r="WET18" t="s">
        <v>15936</v>
      </c>
      <c r="WEU18" t="s">
        <v>15937</v>
      </c>
      <c r="WEV18" t="s">
        <v>15938</v>
      </c>
      <c r="WEW18" t="s">
        <v>15939</v>
      </c>
      <c r="WEX18" t="s">
        <v>15940</v>
      </c>
      <c r="WEY18" t="s">
        <v>15941</v>
      </c>
      <c r="WEZ18" t="s">
        <v>15942</v>
      </c>
      <c r="WFA18" t="s">
        <v>15943</v>
      </c>
      <c r="WFB18" t="s">
        <v>15944</v>
      </c>
      <c r="WFC18" t="s">
        <v>15945</v>
      </c>
      <c r="WFD18" t="s">
        <v>15946</v>
      </c>
      <c r="WFE18" t="s">
        <v>15947</v>
      </c>
      <c r="WFF18" t="s">
        <v>15948</v>
      </c>
      <c r="WFG18" t="s">
        <v>15949</v>
      </c>
      <c r="WFH18" t="s">
        <v>15950</v>
      </c>
      <c r="WFI18" t="s">
        <v>15951</v>
      </c>
      <c r="WFJ18" t="s">
        <v>15952</v>
      </c>
      <c r="WFK18" t="s">
        <v>15953</v>
      </c>
      <c r="WFL18" t="s">
        <v>15954</v>
      </c>
      <c r="WFM18" t="s">
        <v>15955</v>
      </c>
      <c r="WFN18" t="s">
        <v>15956</v>
      </c>
      <c r="WFO18" t="s">
        <v>15957</v>
      </c>
      <c r="WFP18" t="s">
        <v>15958</v>
      </c>
      <c r="WFQ18" t="s">
        <v>15959</v>
      </c>
      <c r="WFR18" t="s">
        <v>15960</v>
      </c>
      <c r="WFS18" t="s">
        <v>15961</v>
      </c>
      <c r="WFT18" t="s">
        <v>15962</v>
      </c>
      <c r="WFU18" t="s">
        <v>15963</v>
      </c>
      <c r="WFV18" t="s">
        <v>15964</v>
      </c>
      <c r="WFW18" t="s">
        <v>15965</v>
      </c>
      <c r="WFX18" t="s">
        <v>15966</v>
      </c>
      <c r="WFY18" t="s">
        <v>15967</v>
      </c>
      <c r="WFZ18" t="s">
        <v>15968</v>
      </c>
      <c r="WGA18" t="s">
        <v>15969</v>
      </c>
      <c r="WGB18" t="s">
        <v>15970</v>
      </c>
      <c r="WGC18" t="s">
        <v>15971</v>
      </c>
      <c r="WGD18" t="s">
        <v>15972</v>
      </c>
      <c r="WGE18" t="s">
        <v>15973</v>
      </c>
      <c r="WGF18" t="s">
        <v>15974</v>
      </c>
      <c r="WGG18" t="s">
        <v>15975</v>
      </c>
      <c r="WGH18" t="s">
        <v>15976</v>
      </c>
      <c r="WGI18" t="s">
        <v>15977</v>
      </c>
      <c r="WGJ18" t="s">
        <v>15978</v>
      </c>
      <c r="WGK18" t="s">
        <v>15979</v>
      </c>
      <c r="WGL18" t="s">
        <v>15980</v>
      </c>
      <c r="WGM18" t="s">
        <v>15981</v>
      </c>
      <c r="WGN18" t="s">
        <v>15982</v>
      </c>
      <c r="WGO18" t="s">
        <v>15983</v>
      </c>
      <c r="WGP18" t="s">
        <v>15984</v>
      </c>
      <c r="WGQ18" t="s">
        <v>15985</v>
      </c>
      <c r="WGR18" t="s">
        <v>15986</v>
      </c>
      <c r="WGS18" t="s">
        <v>15987</v>
      </c>
      <c r="WGT18" t="s">
        <v>15988</v>
      </c>
      <c r="WGU18" t="s">
        <v>15989</v>
      </c>
      <c r="WGV18" t="s">
        <v>15990</v>
      </c>
      <c r="WGW18" t="s">
        <v>15991</v>
      </c>
      <c r="WGX18" t="s">
        <v>15992</v>
      </c>
      <c r="WGY18" t="s">
        <v>15993</v>
      </c>
      <c r="WGZ18" t="s">
        <v>15994</v>
      </c>
      <c r="WHA18" t="s">
        <v>15995</v>
      </c>
      <c r="WHB18" t="s">
        <v>15996</v>
      </c>
      <c r="WHC18" t="s">
        <v>15997</v>
      </c>
      <c r="WHD18" t="s">
        <v>15998</v>
      </c>
      <c r="WHE18" t="s">
        <v>15999</v>
      </c>
      <c r="WHF18" t="s">
        <v>16000</v>
      </c>
      <c r="WHG18" t="s">
        <v>16001</v>
      </c>
      <c r="WHH18" t="s">
        <v>16002</v>
      </c>
      <c r="WHI18" t="s">
        <v>16003</v>
      </c>
      <c r="WHJ18" t="s">
        <v>16004</v>
      </c>
      <c r="WHK18" t="s">
        <v>16005</v>
      </c>
      <c r="WHL18" t="s">
        <v>16006</v>
      </c>
      <c r="WHM18" t="s">
        <v>16007</v>
      </c>
      <c r="WHN18" t="s">
        <v>16008</v>
      </c>
      <c r="WHO18" t="s">
        <v>16009</v>
      </c>
      <c r="WHP18" t="s">
        <v>16010</v>
      </c>
      <c r="WHQ18" t="s">
        <v>16011</v>
      </c>
      <c r="WHR18" t="s">
        <v>16012</v>
      </c>
      <c r="WHS18" t="s">
        <v>16013</v>
      </c>
      <c r="WHT18" t="s">
        <v>16014</v>
      </c>
      <c r="WHU18" t="s">
        <v>16015</v>
      </c>
      <c r="WHV18" t="s">
        <v>16016</v>
      </c>
      <c r="WHW18" t="s">
        <v>16017</v>
      </c>
      <c r="WHX18" t="s">
        <v>16018</v>
      </c>
      <c r="WHY18" t="s">
        <v>16019</v>
      </c>
      <c r="WHZ18" t="s">
        <v>16020</v>
      </c>
      <c r="WIA18" t="s">
        <v>16021</v>
      </c>
      <c r="WIB18" t="s">
        <v>16022</v>
      </c>
      <c r="WIC18" t="s">
        <v>16023</v>
      </c>
      <c r="WID18" t="s">
        <v>16024</v>
      </c>
      <c r="WIE18" t="s">
        <v>16025</v>
      </c>
      <c r="WIF18" t="s">
        <v>16026</v>
      </c>
      <c r="WIG18" t="s">
        <v>16027</v>
      </c>
      <c r="WIH18" t="s">
        <v>16028</v>
      </c>
      <c r="WII18" t="s">
        <v>16029</v>
      </c>
      <c r="WIJ18" t="s">
        <v>16030</v>
      </c>
      <c r="WIK18" t="s">
        <v>16031</v>
      </c>
      <c r="WIL18" t="s">
        <v>16032</v>
      </c>
      <c r="WIM18" t="s">
        <v>16033</v>
      </c>
      <c r="WIN18" t="s">
        <v>16034</v>
      </c>
      <c r="WIO18" t="s">
        <v>16035</v>
      </c>
      <c r="WIP18" t="s">
        <v>16036</v>
      </c>
      <c r="WIQ18" t="s">
        <v>16037</v>
      </c>
      <c r="WIR18" t="s">
        <v>16038</v>
      </c>
      <c r="WIS18" t="s">
        <v>16039</v>
      </c>
      <c r="WIT18" t="s">
        <v>16040</v>
      </c>
      <c r="WIU18" t="s">
        <v>16041</v>
      </c>
      <c r="WIV18" t="s">
        <v>16042</v>
      </c>
      <c r="WIW18" t="s">
        <v>16043</v>
      </c>
      <c r="WIX18" t="s">
        <v>16044</v>
      </c>
      <c r="WIY18" t="s">
        <v>16045</v>
      </c>
      <c r="WIZ18" t="s">
        <v>16046</v>
      </c>
      <c r="WJA18" t="s">
        <v>16047</v>
      </c>
      <c r="WJB18" t="s">
        <v>16048</v>
      </c>
      <c r="WJC18" t="s">
        <v>16049</v>
      </c>
      <c r="WJD18" t="s">
        <v>16050</v>
      </c>
      <c r="WJE18" t="s">
        <v>16051</v>
      </c>
      <c r="WJF18" t="s">
        <v>16052</v>
      </c>
      <c r="WJG18" t="s">
        <v>16053</v>
      </c>
      <c r="WJH18" t="s">
        <v>16054</v>
      </c>
      <c r="WJI18" t="s">
        <v>16055</v>
      </c>
      <c r="WJJ18" t="s">
        <v>16056</v>
      </c>
      <c r="WJK18" t="s">
        <v>16057</v>
      </c>
      <c r="WJL18" t="s">
        <v>16058</v>
      </c>
      <c r="WJM18" t="s">
        <v>16059</v>
      </c>
      <c r="WJN18" t="s">
        <v>16060</v>
      </c>
      <c r="WJO18" t="s">
        <v>16061</v>
      </c>
      <c r="WJP18" t="s">
        <v>16062</v>
      </c>
      <c r="WJQ18" t="s">
        <v>16063</v>
      </c>
      <c r="WJR18" t="s">
        <v>16064</v>
      </c>
      <c r="WJS18" t="s">
        <v>16065</v>
      </c>
      <c r="WJT18" t="s">
        <v>16066</v>
      </c>
      <c r="WJU18" t="s">
        <v>16067</v>
      </c>
      <c r="WJV18" t="s">
        <v>16068</v>
      </c>
      <c r="WJW18" t="s">
        <v>16069</v>
      </c>
      <c r="WJX18" t="s">
        <v>16070</v>
      </c>
      <c r="WJY18" t="s">
        <v>16071</v>
      </c>
      <c r="WJZ18" t="s">
        <v>16072</v>
      </c>
      <c r="WKA18" t="s">
        <v>16073</v>
      </c>
      <c r="WKB18" t="s">
        <v>16074</v>
      </c>
      <c r="WKC18" t="s">
        <v>16075</v>
      </c>
      <c r="WKD18" t="s">
        <v>16076</v>
      </c>
      <c r="WKE18" t="s">
        <v>16077</v>
      </c>
      <c r="WKF18" t="s">
        <v>16078</v>
      </c>
      <c r="WKG18" t="s">
        <v>16079</v>
      </c>
      <c r="WKH18" t="s">
        <v>16080</v>
      </c>
      <c r="WKI18" t="s">
        <v>16081</v>
      </c>
      <c r="WKJ18" t="s">
        <v>16082</v>
      </c>
      <c r="WKK18" t="s">
        <v>16083</v>
      </c>
      <c r="WKL18" t="s">
        <v>16084</v>
      </c>
      <c r="WKM18" t="s">
        <v>16085</v>
      </c>
      <c r="WKN18" t="s">
        <v>16086</v>
      </c>
      <c r="WKO18" t="s">
        <v>16087</v>
      </c>
      <c r="WKP18" t="s">
        <v>16088</v>
      </c>
      <c r="WKQ18" t="s">
        <v>16089</v>
      </c>
      <c r="WKR18" t="s">
        <v>16090</v>
      </c>
      <c r="WKS18" t="s">
        <v>16091</v>
      </c>
      <c r="WKT18" t="s">
        <v>16092</v>
      </c>
      <c r="WKU18" t="s">
        <v>16093</v>
      </c>
      <c r="WKV18" t="s">
        <v>16094</v>
      </c>
      <c r="WKW18" t="s">
        <v>16095</v>
      </c>
      <c r="WKX18" t="s">
        <v>16096</v>
      </c>
      <c r="WKY18" t="s">
        <v>16097</v>
      </c>
      <c r="WKZ18" t="s">
        <v>16098</v>
      </c>
      <c r="WLA18" t="s">
        <v>16099</v>
      </c>
      <c r="WLB18" t="s">
        <v>16100</v>
      </c>
      <c r="WLC18" t="s">
        <v>16101</v>
      </c>
      <c r="WLD18" t="s">
        <v>16102</v>
      </c>
      <c r="WLE18" t="s">
        <v>16103</v>
      </c>
      <c r="WLF18" t="s">
        <v>16104</v>
      </c>
      <c r="WLG18" t="s">
        <v>16105</v>
      </c>
      <c r="WLH18" t="s">
        <v>16106</v>
      </c>
      <c r="WLI18" t="s">
        <v>16107</v>
      </c>
      <c r="WLJ18" t="s">
        <v>16108</v>
      </c>
      <c r="WLK18" t="s">
        <v>16109</v>
      </c>
      <c r="WLL18" t="s">
        <v>16110</v>
      </c>
      <c r="WLM18" t="s">
        <v>16111</v>
      </c>
      <c r="WLN18" t="s">
        <v>16112</v>
      </c>
      <c r="WLO18" t="s">
        <v>16113</v>
      </c>
      <c r="WLP18" t="s">
        <v>16114</v>
      </c>
      <c r="WLQ18" t="s">
        <v>16115</v>
      </c>
      <c r="WLR18" t="s">
        <v>16116</v>
      </c>
      <c r="WLS18" t="s">
        <v>16117</v>
      </c>
      <c r="WLT18" t="s">
        <v>16118</v>
      </c>
      <c r="WLU18" t="s">
        <v>16119</v>
      </c>
      <c r="WLV18" t="s">
        <v>16120</v>
      </c>
      <c r="WLW18" t="s">
        <v>16121</v>
      </c>
      <c r="WLX18" t="s">
        <v>16122</v>
      </c>
      <c r="WLY18" t="s">
        <v>16123</v>
      </c>
      <c r="WLZ18" t="s">
        <v>16124</v>
      </c>
      <c r="WMA18" t="s">
        <v>16125</v>
      </c>
      <c r="WMB18" t="s">
        <v>16126</v>
      </c>
      <c r="WMC18" t="s">
        <v>16127</v>
      </c>
      <c r="WMD18" t="s">
        <v>16128</v>
      </c>
      <c r="WME18" t="s">
        <v>16129</v>
      </c>
      <c r="WMF18" t="s">
        <v>16130</v>
      </c>
      <c r="WMG18" t="s">
        <v>16131</v>
      </c>
      <c r="WMH18" t="s">
        <v>16132</v>
      </c>
      <c r="WMI18" t="s">
        <v>16133</v>
      </c>
      <c r="WMJ18" t="s">
        <v>16134</v>
      </c>
      <c r="WMK18" t="s">
        <v>16135</v>
      </c>
      <c r="WML18" t="s">
        <v>16136</v>
      </c>
      <c r="WMM18" t="s">
        <v>16137</v>
      </c>
      <c r="WMN18" t="s">
        <v>16138</v>
      </c>
      <c r="WMO18" t="s">
        <v>16139</v>
      </c>
      <c r="WMP18" t="s">
        <v>16140</v>
      </c>
      <c r="WMQ18" t="s">
        <v>16141</v>
      </c>
      <c r="WMR18" t="s">
        <v>16142</v>
      </c>
      <c r="WMS18" t="s">
        <v>16143</v>
      </c>
      <c r="WMT18" t="s">
        <v>16144</v>
      </c>
      <c r="WMU18" t="s">
        <v>16145</v>
      </c>
      <c r="WMV18" t="s">
        <v>16146</v>
      </c>
      <c r="WMW18" t="s">
        <v>16147</v>
      </c>
      <c r="WMX18" t="s">
        <v>16148</v>
      </c>
      <c r="WMY18" t="s">
        <v>16149</v>
      </c>
      <c r="WMZ18" t="s">
        <v>16150</v>
      </c>
      <c r="WNA18" t="s">
        <v>16151</v>
      </c>
      <c r="WNB18" t="s">
        <v>16152</v>
      </c>
      <c r="WNC18" t="s">
        <v>16153</v>
      </c>
      <c r="WND18" t="s">
        <v>16154</v>
      </c>
      <c r="WNE18" t="s">
        <v>16155</v>
      </c>
      <c r="WNF18" t="s">
        <v>16156</v>
      </c>
      <c r="WNG18" t="s">
        <v>16157</v>
      </c>
      <c r="WNH18" t="s">
        <v>16158</v>
      </c>
      <c r="WNI18" t="s">
        <v>16159</v>
      </c>
      <c r="WNJ18" t="s">
        <v>16160</v>
      </c>
      <c r="WNK18" t="s">
        <v>16161</v>
      </c>
      <c r="WNL18" t="s">
        <v>16162</v>
      </c>
      <c r="WNM18" t="s">
        <v>16163</v>
      </c>
      <c r="WNN18" t="s">
        <v>16164</v>
      </c>
      <c r="WNO18" t="s">
        <v>16165</v>
      </c>
      <c r="WNP18" t="s">
        <v>16166</v>
      </c>
      <c r="WNQ18" t="s">
        <v>16167</v>
      </c>
      <c r="WNR18" t="s">
        <v>16168</v>
      </c>
      <c r="WNS18" t="s">
        <v>16169</v>
      </c>
      <c r="WNT18" t="s">
        <v>16170</v>
      </c>
      <c r="WNU18" t="s">
        <v>16171</v>
      </c>
      <c r="WNV18" t="s">
        <v>16172</v>
      </c>
      <c r="WNW18" t="s">
        <v>16173</v>
      </c>
      <c r="WNX18" t="s">
        <v>16174</v>
      </c>
      <c r="WNY18" t="s">
        <v>16175</v>
      </c>
      <c r="WNZ18" t="s">
        <v>16176</v>
      </c>
      <c r="WOA18" t="s">
        <v>16177</v>
      </c>
      <c r="WOB18" t="s">
        <v>16178</v>
      </c>
      <c r="WOC18" t="s">
        <v>16179</v>
      </c>
      <c r="WOD18" t="s">
        <v>16180</v>
      </c>
      <c r="WOE18" t="s">
        <v>16181</v>
      </c>
      <c r="WOF18" t="s">
        <v>16182</v>
      </c>
      <c r="WOG18" t="s">
        <v>16183</v>
      </c>
      <c r="WOH18" t="s">
        <v>16184</v>
      </c>
      <c r="WOI18" t="s">
        <v>16185</v>
      </c>
      <c r="WOJ18" t="s">
        <v>16186</v>
      </c>
      <c r="WOK18" t="s">
        <v>16187</v>
      </c>
      <c r="WOL18" t="s">
        <v>16188</v>
      </c>
      <c r="WOM18" t="s">
        <v>16189</v>
      </c>
      <c r="WON18" t="s">
        <v>16190</v>
      </c>
      <c r="WOO18" t="s">
        <v>16191</v>
      </c>
      <c r="WOP18" t="s">
        <v>16192</v>
      </c>
      <c r="WOQ18" t="s">
        <v>16193</v>
      </c>
      <c r="WOR18" t="s">
        <v>16194</v>
      </c>
      <c r="WOS18" t="s">
        <v>16195</v>
      </c>
      <c r="WOT18" t="s">
        <v>16196</v>
      </c>
      <c r="WOU18" t="s">
        <v>16197</v>
      </c>
      <c r="WOV18" t="s">
        <v>16198</v>
      </c>
      <c r="WOW18" t="s">
        <v>16199</v>
      </c>
      <c r="WOX18" t="s">
        <v>16200</v>
      </c>
      <c r="WOY18" t="s">
        <v>16201</v>
      </c>
      <c r="WOZ18" t="s">
        <v>16202</v>
      </c>
      <c r="WPA18" t="s">
        <v>16203</v>
      </c>
      <c r="WPB18" t="s">
        <v>16204</v>
      </c>
      <c r="WPC18" t="s">
        <v>16205</v>
      </c>
      <c r="WPD18" t="s">
        <v>16206</v>
      </c>
      <c r="WPE18" t="s">
        <v>16207</v>
      </c>
      <c r="WPF18" t="s">
        <v>16208</v>
      </c>
      <c r="WPG18" t="s">
        <v>16209</v>
      </c>
      <c r="WPH18" t="s">
        <v>16210</v>
      </c>
      <c r="WPI18" t="s">
        <v>16211</v>
      </c>
      <c r="WPJ18" t="s">
        <v>16212</v>
      </c>
      <c r="WPK18" t="s">
        <v>16213</v>
      </c>
      <c r="WPL18" t="s">
        <v>16214</v>
      </c>
      <c r="WPM18" t="s">
        <v>16215</v>
      </c>
      <c r="WPN18" t="s">
        <v>16216</v>
      </c>
      <c r="WPO18" t="s">
        <v>16217</v>
      </c>
      <c r="WPP18" t="s">
        <v>16218</v>
      </c>
      <c r="WPQ18" t="s">
        <v>16219</v>
      </c>
      <c r="WPR18" t="s">
        <v>16220</v>
      </c>
      <c r="WPS18" t="s">
        <v>16221</v>
      </c>
      <c r="WPT18" t="s">
        <v>16222</v>
      </c>
      <c r="WPU18" t="s">
        <v>16223</v>
      </c>
      <c r="WPV18" t="s">
        <v>16224</v>
      </c>
      <c r="WPW18" t="s">
        <v>16225</v>
      </c>
      <c r="WPX18" t="s">
        <v>16226</v>
      </c>
      <c r="WPY18" t="s">
        <v>16227</v>
      </c>
      <c r="WPZ18" t="s">
        <v>16228</v>
      </c>
      <c r="WQA18" t="s">
        <v>16229</v>
      </c>
      <c r="WQB18" t="s">
        <v>16230</v>
      </c>
      <c r="WQC18" t="s">
        <v>16231</v>
      </c>
      <c r="WQD18" t="s">
        <v>16232</v>
      </c>
      <c r="WQE18" t="s">
        <v>16233</v>
      </c>
      <c r="WQF18" t="s">
        <v>16234</v>
      </c>
      <c r="WQG18" t="s">
        <v>16235</v>
      </c>
      <c r="WQH18" t="s">
        <v>16236</v>
      </c>
      <c r="WQI18" t="s">
        <v>16237</v>
      </c>
      <c r="WQJ18" t="s">
        <v>16238</v>
      </c>
      <c r="WQK18" t="s">
        <v>16239</v>
      </c>
      <c r="WQL18" t="s">
        <v>16240</v>
      </c>
      <c r="WQM18" t="s">
        <v>16241</v>
      </c>
      <c r="WQN18" t="s">
        <v>16242</v>
      </c>
      <c r="WQO18" t="s">
        <v>16243</v>
      </c>
      <c r="WQP18" t="s">
        <v>16244</v>
      </c>
      <c r="WQQ18" t="s">
        <v>16245</v>
      </c>
      <c r="WQR18" t="s">
        <v>16246</v>
      </c>
      <c r="WQS18" t="s">
        <v>16247</v>
      </c>
      <c r="WQT18" t="s">
        <v>16248</v>
      </c>
      <c r="WQU18" t="s">
        <v>16249</v>
      </c>
      <c r="WQV18" t="s">
        <v>16250</v>
      </c>
      <c r="WQW18" t="s">
        <v>16251</v>
      </c>
      <c r="WQX18" t="s">
        <v>16252</v>
      </c>
      <c r="WQY18" t="s">
        <v>16253</v>
      </c>
      <c r="WQZ18" t="s">
        <v>16254</v>
      </c>
      <c r="WRA18" t="s">
        <v>16255</v>
      </c>
      <c r="WRB18" t="s">
        <v>16256</v>
      </c>
      <c r="WRC18" t="s">
        <v>16257</v>
      </c>
      <c r="WRD18" t="s">
        <v>16258</v>
      </c>
      <c r="WRE18" t="s">
        <v>16259</v>
      </c>
      <c r="WRF18" t="s">
        <v>16260</v>
      </c>
      <c r="WRG18" t="s">
        <v>16261</v>
      </c>
      <c r="WRH18" t="s">
        <v>16262</v>
      </c>
      <c r="WRI18" t="s">
        <v>16263</v>
      </c>
      <c r="WRJ18" t="s">
        <v>16264</v>
      </c>
      <c r="WRK18" t="s">
        <v>16265</v>
      </c>
      <c r="WRL18" t="s">
        <v>16266</v>
      </c>
      <c r="WRM18" t="s">
        <v>16267</v>
      </c>
      <c r="WRN18" t="s">
        <v>16268</v>
      </c>
      <c r="WRO18" t="s">
        <v>16269</v>
      </c>
      <c r="WRP18" t="s">
        <v>16270</v>
      </c>
      <c r="WRQ18" t="s">
        <v>16271</v>
      </c>
      <c r="WRR18" t="s">
        <v>16272</v>
      </c>
      <c r="WRS18" t="s">
        <v>16273</v>
      </c>
      <c r="WRT18" t="s">
        <v>16274</v>
      </c>
      <c r="WRU18" t="s">
        <v>16275</v>
      </c>
      <c r="WRV18" t="s">
        <v>16276</v>
      </c>
      <c r="WRW18" t="s">
        <v>16277</v>
      </c>
      <c r="WRX18" t="s">
        <v>16278</v>
      </c>
      <c r="WRY18" t="s">
        <v>16279</v>
      </c>
      <c r="WRZ18" t="s">
        <v>16280</v>
      </c>
      <c r="WSA18" t="s">
        <v>16281</v>
      </c>
      <c r="WSB18" t="s">
        <v>16282</v>
      </c>
      <c r="WSC18" t="s">
        <v>16283</v>
      </c>
      <c r="WSD18" t="s">
        <v>16284</v>
      </c>
      <c r="WSE18" t="s">
        <v>16285</v>
      </c>
      <c r="WSF18" t="s">
        <v>16286</v>
      </c>
      <c r="WSG18" t="s">
        <v>16287</v>
      </c>
      <c r="WSH18" t="s">
        <v>16288</v>
      </c>
      <c r="WSI18" t="s">
        <v>16289</v>
      </c>
      <c r="WSJ18" t="s">
        <v>16290</v>
      </c>
      <c r="WSK18" t="s">
        <v>16291</v>
      </c>
      <c r="WSL18" t="s">
        <v>16292</v>
      </c>
      <c r="WSM18" t="s">
        <v>16293</v>
      </c>
      <c r="WSN18" t="s">
        <v>16294</v>
      </c>
      <c r="WSO18" t="s">
        <v>16295</v>
      </c>
      <c r="WSP18" t="s">
        <v>16296</v>
      </c>
      <c r="WSQ18" t="s">
        <v>16297</v>
      </c>
      <c r="WSR18" t="s">
        <v>16298</v>
      </c>
      <c r="WSS18" t="s">
        <v>16299</v>
      </c>
      <c r="WST18" t="s">
        <v>16300</v>
      </c>
      <c r="WSU18" t="s">
        <v>16301</v>
      </c>
      <c r="WSV18" t="s">
        <v>16302</v>
      </c>
      <c r="WSW18" t="s">
        <v>16303</v>
      </c>
      <c r="WSX18" t="s">
        <v>16304</v>
      </c>
      <c r="WSY18" t="s">
        <v>16305</v>
      </c>
      <c r="WSZ18" t="s">
        <v>16306</v>
      </c>
      <c r="WTA18" t="s">
        <v>16307</v>
      </c>
      <c r="WTB18" t="s">
        <v>16308</v>
      </c>
      <c r="WTC18" t="s">
        <v>16309</v>
      </c>
      <c r="WTD18" t="s">
        <v>16310</v>
      </c>
      <c r="WTE18" t="s">
        <v>16311</v>
      </c>
      <c r="WTF18" t="s">
        <v>16312</v>
      </c>
      <c r="WTG18" t="s">
        <v>16313</v>
      </c>
      <c r="WTH18" t="s">
        <v>16314</v>
      </c>
      <c r="WTI18" t="s">
        <v>16315</v>
      </c>
      <c r="WTJ18" t="s">
        <v>16316</v>
      </c>
      <c r="WTK18" t="s">
        <v>16317</v>
      </c>
      <c r="WTL18" t="s">
        <v>16318</v>
      </c>
      <c r="WTM18" t="s">
        <v>16319</v>
      </c>
      <c r="WTN18" t="s">
        <v>16320</v>
      </c>
      <c r="WTO18" t="s">
        <v>16321</v>
      </c>
      <c r="WTP18" t="s">
        <v>16322</v>
      </c>
      <c r="WTQ18" t="s">
        <v>16323</v>
      </c>
      <c r="WTR18" t="s">
        <v>16324</v>
      </c>
      <c r="WTS18" t="s">
        <v>16325</v>
      </c>
      <c r="WTT18" t="s">
        <v>16326</v>
      </c>
      <c r="WTU18" t="s">
        <v>16327</v>
      </c>
      <c r="WTV18" t="s">
        <v>16328</v>
      </c>
      <c r="WTW18" t="s">
        <v>16329</v>
      </c>
      <c r="WTX18" t="s">
        <v>16330</v>
      </c>
      <c r="WTY18" t="s">
        <v>16331</v>
      </c>
      <c r="WTZ18" t="s">
        <v>16332</v>
      </c>
      <c r="WUA18" t="s">
        <v>16333</v>
      </c>
      <c r="WUB18" t="s">
        <v>16334</v>
      </c>
      <c r="WUC18" t="s">
        <v>16335</v>
      </c>
      <c r="WUD18" t="s">
        <v>16336</v>
      </c>
      <c r="WUE18" t="s">
        <v>16337</v>
      </c>
      <c r="WUF18" t="s">
        <v>16338</v>
      </c>
      <c r="WUG18" t="s">
        <v>16339</v>
      </c>
      <c r="WUH18" t="s">
        <v>16340</v>
      </c>
      <c r="WUI18" t="s">
        <v>16341</v>
      </c>
      <c r="WUJ18" t="s">
        <v>16342</v>
      </c>
      <c r="WUK18" t="s">
        <v>16343</v>
      </c>
      <c r="WUL18" t="s">
        <v>16344</v>
      </c>
      <c r="WUM18" t="s">
        <v>16345</v>
      </c>
      <c r="WUN18" t="s">
        <v>16346</v>
      </c>
      <c r="WUO18" t="s">
        <v>16347</v>
      </c>
      <c r="WUP18" t="s">
        <v>16348</v>
      </c>
      <c r="WUQ18" t="s">
        <v>16349</v>
      </c>
      <c r="WUR18" t="s">
        <v>16350</v>
      </c>
      <c r="WUS18" t="s">
        <v>16351</v>
      </c>
      <c r="WUT18" t="s">
        <v>16352</v>
      </c>
      <c r="WUU18" t="s">
        <v>16353</v>
      </c>
      <c r="WUV18" t="s">
        <v>16354</v>
      </c>
      <c r="WUW18" t="s">
        <v>16355</v>
      </c>
      <c r="WUX18" t="s">
        <v>16356</v>
      </c>
      <c r="WUY18" t="s">
        <v>16357</v>
      </c>
      <c r="WUZ18" t="s">
        <v>16358</v>
      </c>
      <c r="WVA18" t="s">
        <v>16359</v>
      </c>
      <c r="WVB18" t="s">
        <v>16360</v>
      </c>
      <c r="WVC18" t="s">
        <v>16361</v>
      </c>
      <c r="WVD18" t="s">
        <v>16362</v>
      </c>
      <c r="WVE18" t="s">
        <v>16363</v>
      </c>
      <c r="WVF18" t="s">
        <v>16364</v>
      </c>
      <c r="WVG18" t="s">
        <v>16365</v>
      </c>
      <c r="WVH18" t="s">
        <v>16366</v>
      </c>
      <c r="WVI18" t="s">
        <v>16367</v>
      </c>
      <c r="WVJ18" t="s">
        <v>16368</v>
      </c>
      <c r="WVK18" t="s">
        <v>16369</v>
      </c>
      <c r="WVL18" t="s">
        <v>16370</v>
      </c>
      <c r="WVM18" t="s">
        <v>16371</v>
      </c>
      <c r="WVN18" t="s">
        <v>16372</v>
      </c>
      <c r="WVO18" t="s">
        <v>16373</v>
      </c>
      <c r="WVP18" t="s">
        <v>16374</v>
      </c>
      <c r="WVQ18" t="s">
        <v>16375</v>
      </c>
      <c r="WVR18" t="s">
        <v>16376</v>
      </c>
      <c r="WVS18" t="s">
        <v>16377</v>
      </c>
      <c r="WVT18" t="s">
        <v>16378</v>
      </c>
      <c r="WVU18" t="s">
        <v>16379</v>
      </c>
      <c r="WVV18" t="s">
        <v>16380</v>
      </c>
      <c r="WVW18" t="s">
        <v>16381</v>
      </c>
      <c r="WVX18" t="s">
        <v>16382</v>
      </c>
      <c r="WVY18" t="s">
        <v>16383</v>
      </c>
      <c r="WVZ18" t="s">
        <v>16384</v>
      </c>
      <c r="WWA18" t="s">
        <v>16385</v>
      </c>
      <c r="WWB18" t="s">
        <v>16386</v>
      </c>
      <c r="WWC18" t="s">
        <v>16387</v>
      </c>
      <c r="WWD18" t="s">
        <v>16388</v>
      </c>
      <c r="WWE18" t="s">
        <v>16389</v>
      </c>
      <c r="WWF18" t="s">
        <v>16390</v>
      </c>
      <c r="WWG18" t="s">
        <v>16391</v>
      </c>
      <c r="WWH18" t="s">
        <v>16392</v>
      </c>
      <c r="WWI18" t="s">
        <v>16393</v>
      </c>
      <c r="WWJ18" t="s">
        <v>16394</v>
      </c>
      <c r="WWK18" t="s">
        <v>16395</v>
      </c>
      <c r="WWL18" t="s">
        <v>16396</v>
      </c>
      <c r="WWM18" t="s">
        <v>16397</v>
      </c>
      <c r="WWN18" t="s">
        <v>16398</v>
      </c>
      <c r="WWO18" t="s">
        <v>16399</v>
      </c>
      <c r="WWP18" t="s">
        <v>16400</v>
      </c>
      <c r="WWQ18" t="s">
        <v>16401</v>
      </c>
      <c r="WWR18" t="s">
        <v>16402</v>
      </c>
      <c r="WWS18" t="s">
        <v>16403</v>
      </c>
      <c r="WWT18" t="s">
        <v>16404</v>
      </c>
      <c r="WWU18" t="s">
        <v>16405</v>
      </c>
      <c r="WWV18" t="s">
        <v>16406</v>
      </c>
      <c r="WWW18" t="s">
        <v>16407</v>
      </c>
      <c r="WWX18" t="s">
        <v>16408</v>
      </c>
      <c r="WWY18" t="s">
        <v>16409</v>
      </c>
      <c r="WWZ18" t="s">
        <v>16410</v>
      </c>
      <c r="WXA18" t="s">
        <v>16411</v>
      </c>
      <c r="WXB18" t="s">
        <v>16412</v>
      </c>
      <c r="WXC18" t="s">
        <v>16413</v>
      </c>
      <c r="WXD18" t="s">
        <v>16414</v>
      </c>
      <c r="WXE18" t="s">
        <v>16415</v>
      </c>
      <c r="WXF18" t="s">
        <v>16416</v>
      </c>
      <c r="WXG18" t="s">
        <v>16417</v>
      </c>
      <c r="WXH18" t="s">
        <v>16418</v>
      </c>
      <c r="WXI18" t="s">
        <v>16419</v>
      </c>
      <c r="WXJ18" t="s">
        <v>16420</v>
      </c>
      <c r="WXK18" t="s">
        <v>16421</v>
      </c>
      <c r="WXL18" t="s">
        <v>16422</v>
      </c>
      <c r="WXM18" t="s">
        <v>16423</v>
      </c>
      <c r="WXN18" t="s">
        <v>16424</v>
      </c>
      <c r="WXO18" t="s">
        <v>16425</v>
      </c>
      <c r="WXP18" t="s">
        <v>16426</v>
      </c>
      <c r="WXQ18" t="s">
        <v>16427</v>
      </c>
      <c r="WXR18" t="s">
        <v>16428</v>
      </c>
      <c r="WXS18" t="s">
        <v>16429</v>
      </c>
      <c r="WXT18" t="s">
        <v>16430</v>
      </c>
      <c r="WXU18" t="s">
        <v>16431</v>
      </c>
      <c r="WXV18" t="s">
        <v>16432</v>
      </c>
      <c r="WXW18" t="s">
        <v>16433</v>
      </c>
      <c r="WXX18" t="s">
        <v>16434</v>
      </c>
      <c r="WXY18" t="s">
        <v>16435</v>
      </c>
      <c r="WXZ18" t="s">
        <v>16436</v>
      </c>
      <c r="WYA18" t="s">
        <v>16437</v>
      </c>
      <c r="WYB18" t="s">
        <v>16438</v>
      </c>
      <c r="WYC18" t="s">
        <v>16439</v>
      </c>
      <c r="WYD18" t="s">
        <v>16440</v>
      </c>
      <c r="WYE18" t="s">
        <v>16441</v>
      </c>
      <c r="WYF18" t="s">
        <v>16442</v>
      </c>
      <c r="WYG18" t="s">
        <v>16443</v>
      </c>
      <c r="WYH18" t="s">
        <v>16444</v>
      </c>
      <c r="WYI18" t="s">
        <v>16445</v>
      </c>
      <c r="WYJ18" t="s">
        <v>16446</v>
      </c>
      <c r="WYK18" t="s">
        <v>16447</v>
      </c>
      <c r="WYL18" t="s">
        <v>16448</v>
      </c>
      <c r="WYM18" t="s">
        <v>16449</v>
      </c>
      <c r="WYN18" t="s">
        <v>16450</v>
      </c>
      <c r="WYO18" t="s">
        <v>16451</v>
      </c>
      <c r="WYP18" t="s">
        <v>16452</v>
      </c>
      <c r="WYQ18" t="s">
        <v>16453</v>
      </c>
      <c r="WYR18" t="s">
        <v>16454</v>
      </c>
      <c r="WYS18" t="s">
        <v>16455</v>
      </c>
      <c r="WYT18" t="s">
        <v>16456</v>
      </c>
      <c r="WYU18" t="s">
        <v>16457</v>
      </c>
      <c r="WYV18" t="s">
        <v>16458</v>
      </c>
      <c r="WYW18" t="s">
        <v>16459</v>
      </c>
      <c r="WYX18" t="s">
        <v>16460</v>
      </c>
      <c r="WYY18" t="s">
        <v>16461</v>
      </c>
      <c r="WYZ18" t="s">
        <v>16462</v>
      </c>
      <c r="WZA18" t="s">
        <v>16463</v>
      </c>
      <c r="WZB18" t="s">
        <v>16464</v>
      </c>
      <c r="WZC18" t="s">
        <v>16465</v>
      </c>
      <c r="WZD18" t="s">
        <v>16466</v>
      </c>
      <c r="WZE18" t="s">
        <v>16467</v>
      </c>
      <c r="WZF18" t="s">
        <v>16468</v>
      </c>
      <c r="WZG18" t="s">
        <v>16469</v>
      </c>
      <c r="WZH18" t="s">
        <v>16470</v>
      </c>
      <c r="WZI18" t="s">
        <v>16471</v>
      </c>
      <c r="WZJ18" t="s">
        <v>16472</v>
      </c>
      <c r="WZK18" t="s">
        <v>16473</v>
      </c>
      <c r="WZL18" t="s">
        <v>16474</v>
      </c>
      <c r="WZM18" t="s">
        <v>16475</v>
      </c>
      <c r="WZN18" t="s">
        <v>16476</v>
      </c>
      <c r="WZO18" t="s">
        <v>16477</v>
      </c>
      <c r="WZP18" t="s">
        <v>16478</v>
      </c>
      <c r="WZQ18" t="s">
        <v>16479</v>
      </c>
      <c r="WZR18" t="s">
        <v>16480</v>
      </c>
      <c r="WZS18" t="s">
        <v>16481</v>
      </c>
      <c r="WZT18" t="s">
        <v>16482</v>
      </c>
      <c r="WZU18" t="s">
        <v>16483</v>
      </c>
      <c r="WZV18" t="s">
        <v>16484</v>
      </c>
      <c r="WZW18" t="s">
        <v>16485</v>
      </c>
      <c r="WZX18" t="s">
        <v>16486</v>
      </c>
      <c r="WZY18" t="s">
        <v>16487</v>
      </c>
      <c r="WZZ18" t="s">
        <v>16488</v>
      </c>
      <c r="XAA18" t="s">
        <v>16489</v>
      </c>
      <c r="XAB18" t="s">
        <v>16490</v>
      </c>
      <c r="XAC18" t="s">
        <v>16491</v>
      </c>
      <c r="XAD18" t="s">
        <v>16492</v>
      </c>
      <c r="XAE18" t="s">
        <v>16493</v>
      </c>
      <c r="XAF18" t="s">
        <v>16494</v>
      </c>
      <c r="XAG18" t="s">
        <v>16495</v>
      </c>
      <c r="XAH18" t="s">
        <v>16496</v>
      </c>
      <c r="XAI18" t="s">
        <v>16497</v>
      </c>
      <c r="XAJ18" t="s">
        <v>16498</v>
      </c>
      <c r="XAK18" t="s">
        <v>16499</v>
      </c>
      <c r="XAL18" t="s">
        <v>16500</v>
      </c>
      <c r="XAM18" t="s">
        <v>16501</v>
      </c>
      <c r="XAN18" t="s">
        <v>16502</v>
      </c>
      <c r="XAO18" t="s">
        <v>16503</v>
      </c>
      <c r="XAP18" t="s">
        <v>16504</v>
      </c>
      <c r="XAQ18" t="s">
        <v>16505</v>
      </c>
      <c r="XAR18" t="s">
        <v>16506</v>
      </c>
      <c r="XAS18" t="s">
        <v>16507</v>
      </c>
      <c r="XAT18" t="s">
        <v>16508</v>
      </c>
      <c r="XAU18" t="s">
        <v>16509</v>
      </c>
      <c r="XAV18" t="s">
        <v>16510</v>
      </c>
      <c r="XAW18" t="s">
        <v>16511</v>
      </c>
      <c r="XAX18" t="s">
        <v>16512</v>
      </c>
      <c r="XAY18" t="s">
        <v>16513</v>
      </c>
      <c r="XAZ18" t="s">
        <v>16514</v>
      </c>
      <c r="XBA18" t="s">
        <v>16515</v>
      </c>
      <c r="XBB18" t="s">
        <v>16516</v>
      </c>
      <c r="XBC18" t="s">
        <v>16517</v>
      </c>
      <c r="XBD18" t="s">
        <v>16518</v>
      </c>
      <c r="XBE18" t="s">
        <v>16519</v>
      </c>
      <c r="XBF18" t="s">
        <v>16520</v>
      </c>
      <c r="XBG18" t="s">
        <v>16521</v>
      </c>
      <c r="XBH18" t="s">
        <v>16522</v>
      </c>
      <c r="XBI18" t="s">
        <v>16523</v>
      </c>
      <c r="XBJ18" t="s">
        <v>16524</v>
      </c>
      <c r="XBK18" t="s">
        <v>16525</v>
      </c>
      <c r="XBL18" t="s">
        <v>16526</v>
      </c>
      <c r="XBM18" t="s">
        <v>16527</v>
      </c>
      <c r="XBN18" t="s">
        <v>16528</v>
      </c>
      <c r="XBO18" t="s">
        <v>16529</v>
      </c>
      <c r="XBP18" t="s">
        <v>16530</v>
      </c>
      <c r="XBQ18" t="s">
        <v>16531</v>
      </c>
      <c r="XBR18" t="s">
        <v>16532</v>
      </c>
      <c r="XBS18" t="s">
        <v>16533</v>
      </c>
      <c r="XBT18" t="s">
        <v>16534</v>
      </c>
      <c r="XBU18" t="s">
        <v>16535</v>
      </c>
      <c r="XBV18" t="s">
        <v>16536</v>
      </c>
      <c r="XBW18" t="s">
        <v>16537</v>
      </c>
      <c r="XBX18" t="s">
        <v>16538</v>
      </c>
      <c r="XBY18" t="s">
        <v>16539</v>
      </c>
      <c r="XBZ18" t="s">
        <v>16540</v>
      </c>
      <c r="XCA18" t="s">
        <v>16541</v>
      </c>
      <c r="XCB18" t="s">
        <v>16542</v>
      </c>
      <c r="XCC18" t="s">
        <v>16543</v>
      </c>
      <c r="XCD18" t="s">
        <v>16544</v>
      </c>
      <c r="XCE18" t="s">
        <v>16545</v>
      </c>
      <c r="XCF18" t="s">
        <v>16546</v>
      </c>
      <c r="XCG18" t="s">
        <v>16547</v>
      </c>
      <c r="XCH18" t="s">
        <v>16548</v>
      </c>
      <c r="XCI18" t="s">
        <v>16549</v>
      </c>
      <c r="XCJ18" t="s">
        <v>16550</v>
      </c>
      <c r="XCK18" t="s">
        <v>16551</v>
      </c>
      <c r="XCL18" t="s">
        <v>16552</v>
      </c>
      <c r="XCM18" t="s">
        <v>16553</v>
      </c>
      <c r="XCN18" t="s">
        <v>16554</v>
      </c>
      <c r="XCO18" t="s">
        <v>16555</v>
      </c>
      <c r="XCP18" t="s">
        <v>16556</v>
      </c>
      <c r="XCQ18" t="s">
        <v>16557</v>
      </c>
      <c r="XCR18" t="s">
        <v>16558</v>
      </c>
      <c r="XCS18" t="s">
        <v>16559</v>
      </c>
      <c r="XCT18" t="s">
        <v>16560</v>
      </c>
      <c r="XCU18" t="s">
        <v>16561</v>
      </c>
      <c r="XCV18" t="s">
        <v>16562</v>
      </c>
      <c r="XCW18" t="s">
        <v>16563</v>
      </c>
      <c r="XCX18" t="s">
        <v>16564</v>
      </c>
      <c r="XCY18" t="s">
        <v>16565</v>
      </c>
      <c r="XCZ18" t="s">
        <v>16566</v>
      </c>
      <c r="XDA18" t="s">
        <v>16567</v>
      </c>
      <c r="XDB18" t="s">
        <v>16568</v>
      </c>
      <c r="XDC18" t="s">
        <v>16569</v>
      </c>
      <c r="XDD18" t="s">
        <v>16570</v>
      </c>
      <c r="XDE18" t="s">
        <v>16571</v>
      </c>
      <c r="XDF18" t="s">
        <v>16572</v>
      </c>
      <c r="XDG18" t="s">
        <v>16573</v>
      </c>
      <c r="XDH18" t="s">
        <v>16574</v>
      </c>
      <c r="XDI18" t="s">
        <v>16575</v>
      </c>
      <c r="XDJ18" t="s">
        <v>16576</v>
      </c>
      <c r="XDK18" t="s">
        <v>16577</v>
      </c>
      <c r="XDL18" t="s">
        <v>16578</v>
      </c>
      <c r="XDM18" t="s">
        <v>16579</v>
      </c>
      <c r="XDN18" t="s">
        <v>16580</v>
      </c>
      <c r="XDO18" t="s">
        <v>16581</v>
      </c>
      <c r="XDP18" t="s">
        <v>16582</v>
      </c>
      <c r="XDQ18" t="s">
        <v>16583</v>
      </c>
      <c r="XDR18" t="s">
        <v>16584</v>
      </c>
      <c r="XDS18" t="s">
        <v>16585</v>
      </c>
      <c r="XDT18" t="s">
        <v>16586</v>
      </c>
      <c r="XDU18" t="s">
        <v>16587</v>
      </c>
      <c r="XDV18" t="s">
        <v>16588</v>
      </c>
      <c r="XDW18" t="s">
        <v>16589</v>
      </c>
      <c r="XDX18" t="s">
        <v>16590</v>
      </c>
      <c r="XDY18" t="s">
        <v>16591</v>
      </c>
      <c r="XDZ18" t="s">
        <v>16592</v>
      </c>
      <c r="XEA18" t="s">
        <v>16593</v>
      </c>
      <c r="XEB18" t="s">
        <v>16594</v>
      </c>
      <c r="XEC18" t="s">
        <v>16595</v>
      </c>
      <c r="XED18" t="s">
        <v>16596</v>
      </c>
      <c r="XEE18" t="s">
        <v>16597</v>
      </c>
      <c r="XEF18" t="s">
        <v>16598</v>
      </c>
      <c r="XEG18" t="s">
        <v>16599</v>
      </c>
      <c r="XEH18" t="s">
        <v>16600</v>
      </c>
      <c r="XEI18" t="s">
        <v>16601</v>
      </c>
      <c r="XEJ18" t="s">
        <v>16602</v>
      </c>
      <c r="XEK18" t="s">
        <v>16603</v>
      </c>
      <c r="XEL18" t="s">
        <v>16604</v>
      </c>
      <c r="XEM18" t="s">
        <v>16605</v>
      </c>
      <c r="XEN18" t="s">
        <v>16606</v>
      </c>
      <c r="XEO18" t="s">
        <v>16607</v>
      </c>
      <c r="XEP18" t="s">
        <v>16608</v>
      </c>
      <c r="XEQ18" t="s">
        <v>16609</v>
      </c>
      <c r="XER18" t="s">
        <v>16610</v>
      </c>
      <c r="XES18" t="s">
        <v>16611</v>
      </c>
      <c r="XET18" t="s">
        <v>16612</v>
      </c>
      <c r="XEU18" t="s">
        <v>16613</v>
      </c>
      <c r="XEV18" t="s">
        <v>16614</v>
      </c>
      <c r="XEW18" t="s">
        <v>16615</v>
      </c>
      <c r="XEX18" t="s">
        <v>16616</v>
      </c>
      <c r="XEY18" t="s">
        <v>16617</v>
      </c>
      <c r="XEZ18" t="s">
        <v>16618</v>
      </c>
      <c r="XFA18" t="s">
        <v>16619</v>
      </c>
      <c r="XFB18" t="s">
        <v>16620</v>
      </c>
      <c r="XFC18" t="s">
        <v>16621</v>
      </c>
      <c r="XFD18" t="s">
        <v>16622</v>
      </c>
    </row>
    <row r="19" spans="1:16384" x14ac:dyDescent="0.3">
      <c r="A19" t="s">
        <v>59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  <c r="J19" t="s">
        <v>76</v>
      </c>
      <c r="K19" t="s">
        <v>77</v>
      </c>
      <c r="L19" t="s">
        <v>78</v>
      </c>
      <c r="M19" t="s">
        <v>79</v>
      </c>
      <c r="N19" t="s">
        <v>80</v>
      </c>
      <c r="O19" t="s">
        <v>81</v>
      </c>
      <c r="P19" t="s">
        <v>82</v>
      </c>
      <c r="Q19" t="s">
        <v>83</v>
      </c>
      <c r="R19" t="s">
        <v>84</v>
      </c>
      <c r="S19" t="s">
        <v>85</v>
      </c>
      <c r="T19" t="s">
        <v>86</v>
      </c>
      <c r="U19" t="s">
        <v>87</v>
      </c>
      <c r="V19" t="s">
        <v>88</v>
      </c>
      <c r="W19" t="s">
        <v>89</v>
      </c>
      <c r="X19" t="s">
        <v>90</v>
      </c>
      <c r="Y19" t="s">
        <v>91</v>
      </c>
      <c r="Z19" t="s">
        <v>92</v>
      </c>
      <c r="AA19" t="s">
        <v>93</v>
      </c>
      <c r="AB19" t="s">
        <v>94</v>
      </c>
    </row>
    <row r="20" spans="1:16384" x14ac:dyDescent="0.3">
      <c r="A20" t="s">
        <v>60</v>
      </c>
      <c r="B20" s="2">
        <f t="shared" ref="B20:AB20" si="1">(B9/B8*100-100)/100</f>
        <v>2.2950615748227817E-2</v>
      </c>
      <c r="C20" s="2">
        <f t="shared" si="1"/>
        <v>3.5959809624537084E-2</v>
      </c>
      <c r="D20" s="2">
        <f t="shared" si="1"/>
        <v>4.5598480050665274E-2</v>
      </c>
      <c r="E20" s="2">
        <f t="shared" si="1"/>
        <v>2.5903614457831309E-2</v>
      </c>
      <c r="F20" s="2">
        <f t="shared" si="1"/>
        <v>2.0980983790611134E-2</v>
      </c>
      <c r="G20" s="2">
        <f t="shared" si="1"/>
        <v>5.0562801500803972E-2</v>
      </c>
      <c r="H20" s="2">
        <f t="shared" si="1"/>
        <v>3.0153667729773304E-3</v>
      </c>
      <c r="I20" s="2">
        <f t="shared" si="1"/>
        <v>-0.11691123406302666</v>
      </c>
      <c r="J20" s="2">
        <f t="shared" si="1"/>
        <v>-5.2507128451213705E-2</v>
      </c>
      <c r="K20" s="2">
        <f t="shared" si="1"/>
        <v>1.6457393636474506E-2</v>
      </c>
      <c r="L20" s="2">
        <f t="shared" si="1"/>
        <v>2.1741960682202688E-2</v>
      </c>
      <c r="M20" s="2">
        <f t="shared" si="1"/>
        <v>4.4241211774793072E-2</v>
      </c>
      <c r="N20" s="2">
        <f t="shared" si="1"/>
        <v>1.6556089841134564E-2</v>
      </c>
      <c r="O20" s="2">
        <f t="shared" si="1"/>
        <v>6.8907374100719496E-2</v>
      </c>
      <c r="P20" s="2">
        <f t="shared" si="1"/>
        <v>4.8381316449647611E-2</v>
      </c>
      <c r="Q20" s="2">
        <f t="shared" si="1"/>
        <v>4.1378007305705893E-2</v>
      </c>
      <c r="R20" s="2">
        <f t="shared" si="1"/>
        <v>4.7298110482609131E-2</v>
      </c>
      <c r="S20" s="2">
        <f t="shared" si="1"/>
        <v>7.1004405848924104E-2</v>
      </c>
      <c r="T20" s="2">
        <f t="shared" si="1"/>
        <v>7.6055108783741762E-2</v>
      </c>
      <c r="U20" s="2">
        <f t="shared" si="1"/>
        <v>5.0872093023255613E-2</v>
      </c>
      <c r="V20" s="2">
        <f t="shared" si="1"/>
        <v>6.2077838533290478E-2</v>
      </c>
      <c r="W20" s="2">
        <f t="shared" si="1"/>
        <v>4.936079545454547E-2</v>
      </c>
      <c r="X20" s="2">
        <f t="shared" si="1"/>
        <v>5.1428947715000957E-2</v>
      </c>
      <c r="Y20" s="2">
        <f t="shared" si="1"/>
        <v>5.8026960784313533E-2</v>
      </c>
      <c r="Z20" s="2">
        <f t="shared" si="1"/>
        <v>4.6989326710076253E-2</v>
      </c>
      <c r="AA20" s="2">
        <f t="shared" si="1"/>
        <v>5.3527819945878151E-2</v>
      </c>
      <c r="AB20" s="2">
        <f t="shared" si="1"/>
        <v>3.9513108614232378E-2</v>
      </c>
    </row>
    <row r="21" spans="1:16384" x14ac:dyDescent="0.3">
      <c r="A21" t="s">
        <v>61</v>
      </c>
      <c r="B21" s="2">
        <f t="shared" ref="B21:AB21" si="2">(B10/B9*100-100)/100</f>
        <v>1.9870990564733831E-2</v>
      </c>
      <c r="C21" s="2">
        <f t="shared" si="2"/>
        <v>8.2989156496047933E-2</v>
      </c>
      <c r="D21" s="2">
        <f t="shared" si="2"/>
        <v>2.6287098728043645E-2</v>
      </c>
      <c r="E21" s="2">
        <f t="shared" si="2"/>
        <v>1.7050125447071879E-2</v>
      </c>
      <c r="F21" s="2">
        <f t="shared" si="2"/>
        <v>1.4283036551077828E-2</v>
      </c>
      <c r="G21" s="2">
        <f t="shared" si="2"/>
        <v>-1.6635745207173754E-2</v>
      </c>
      <c r="H21" s="2">
        <f t="shared" si="2"/>
        <v>0.13083193617390351</v>
      </c>
      <c r="I21" s="2">
        <f t="shared" si="2"/>
        <v>5.1459844976598106E-2</v>
      </c>
      <c r="J21" s="2">
        <f t="shared" si="2"/>
        <v>-1.7909571344685703E-2</v>
      </c>
      <c r="K21" s="2">
        <f t="shared" si="2"/>
        <v>2.6145358599184619E-2</v>
      </c>
      <c r="L21" s="2">
        <f t="shared" si="2"/>
        <v>2.8356964136780648E-2</v>
      </c>
      <c r="M21" s="2">
        <f t="shared" si="2"/>
        <v>2.6060042098139322E-2</v>
      </c>
      <c r="N21" s="2">
        <f t="shared" si="2"/>
        <v>3.9045021800545643E-2</v>
      </c>
      <c r="O21" s="2">
        <f t="shared" si="2"/>
        <v>4.404439813000096E-2</v>
      </c>
      <c r="P21" s="2">
        <f t="shared" si="2"/>
        <v>1.7444269495317855E-2</v>
      </c>
      <c r="Q21" s="2">
        <f t="shared" si="2"/>
        <v>1.8797591884982551E-2</v>
      </c>
      <c r="R21" s="2">
        <f t="shared" si="2"/>
        <v>1.7634399615553634E-2</v>
      </c>
      <c r="S21" s="2">
        <f t="shared" si="2"/>
        <v>3.3657989300985491E-3</v>
      </c>
      <c r="T21" s="2">
        <f t="shared" si="2"/>
        <v>4.8122146088660285E-2</v>
      </c>
      <c r="U21" s="2">
        <f t="shared" si="2"/>
        <v>4.1772587866760913E-2</v>
      </c>
      <c r="V21" s="2">
        <f t="shared" si="2"/>
        <v>7.4588403722261915E-2</v>
      </c>
      <c r="W21" s="2">
        <f t="shared" si="2"/>
        <v>2.0027688047992598E-2</v>
      </c>
      <c r="X21" s="2">
        <f t="shared" si="2"/>
        <v>5.1555196228584774E-2</v>
      </c>
      <c r="Y21" s="2">
        <f t="shared" si="2"/>
        <v>6.494258622595922E-2</v>
      </c>
      <c r="Z21" s="2">
        <f t="shared" si="2"/>
        <v>5.090139712182392E-2</v>
      </c>
      <c r="AA21" s="2">
        <f t="shared" si="2"/>
        <v>4.8399038625827444E-2</v>
      </c>
      <c r="AB21" s="2">
        <f t="shared" si="2"/>
        <v>3.8961038961039092E-2</v>
      </c>
    </row>
    <row r="22" spans="1:16384" x14ac:dyDescent="0.3">
      <c r="A22" t="s">
        <v>62</v>
      </c>
      <c r="B22" s="2">
        <f t="shared" ref="B22:AB22" si="3">(B11/B10*100-100)/100</f>
        <v>4.7096123829344382E-2</v>
      </c>
      <c r="C22" s="2">
        <f t="shared" si="3"/>
        <v>0.12532708678512236</v>
      </c>
      <c r="D22" s="2">
        <f t="shared" si="3"/>
        <v>9.8204084041548331E-2</v>
      </c>
      <c r="E22" s="2">
        <f t="shared" si="3"/>
        <v>5.2705958304465811E-2</v>
      </c>
      <c r="F22" s="2">
        <f t="shared" si="3"/>
        <v>0.10945939286418295</v>
      </c>
      <c r="G22" s="2">
        <f t="shared" si="3"/>
        <v>1.5326080120747036E-2</v>
      </c>
      <c r="H22" s="2">
        <f t="shared" si="3"/>
        <v>0.12313496932515335</v>
      </c>
      <c r="I22" s="2">
        <f t="shared" si="3"/>
        <v>0.15568136319743786</v>
      </c>
      <c r="J22" s="2">
        <f t="shared" si="3"/>
        <v>3.0807174887892471E-2</v>
      </c>
      <c r="K22" s="2">
        <f t="shared" si="3"/>
        <v>0.10017531556802226</v>
      </c>
      <c r="L22" s="2">
        <f t="shared" si="3"/>
        <v>4.1732562854825517E-2</v>
      </c>
      <c r="M22" s="2">
        <f t="shared" si="3"/>
        <v>2.2166288385807319E-2</v>
      </c>
      <c r="N22" s="2">
        <f t="shared" si="3"/>
        <v>7.2610066846880705E-2</v>
      </c>
      <c r="O22" s="2">
        <f t="shared" si="3"/>
        <v>6.2549676757687397E-2</v>
      </c>
      <c r="P22" s="2">
        <f t="shared" si="3"/>
        <v>1.4840154754632663E-2</v>
      </c>
      <c r="Q22" s="2">
        <f t="shared" si="3"/>
        <v>1.4162673228856164E-2</v>
      </c>
      <c r="R22" s="2">
        <f t="shared" si="3"/>
        <v>1.4651473154706877E-2</v>
      </c>
      <c r="S22" s="2">
        <f t="shared" si="3"/>
        <v>2.3390268144594727E-2</v>
      </c>
      <c r="T22" s="2">
        <f t="shared" si="3"/>
        <v>2.3765878758642743E-2</v>
      </c>
      <c r="U22" s="2">
        <f t="shared" si="3"/>
        <v>1.0111251049538196E-2</v>
      </c>
      <c r="V22" s="2">
        <f t="shared" si="3"/>
        <v>3.4644592018692889E-2</v>
      </c>
      <c r="W22" s="2">
        <f t="shared" si="3"/>
        <v>6.3797804318977136E-2</v>
      </c>
      <c r="X22" s="2">
        <f t="shared" si="3"/>
        <v>3.0411712472657088E-2</v>
      </c>
      <c r="Y22" s="2">
        <f t="shared" si="3"/>
        <v>9.3122132573959966E-3</v>
      </c>
      <c r="Z22" s="2">
        <f t="shared" si="3"/>
        <v>8.8713255684969419E-2</v>
      </c>
      <c r="AA22" s="2">
        <f t="shared" si="3"/>
        <v>4.249022164276383E-2</v>
      </c>
      <c r="AB22" s="2">
        <f t="shared" si="3"/>
        <v>4.7820512820512417E-2</v>
      </c>
    </row>
    <row r="23" spans="1:16384" x14ac:dyDescent="0.3">
      <c r="A23" t="s">
        <v>63</v>
      </c>
      <c r="B23" s="2">
        <f t="shared" ref="B23:AB23" si="4">(B12/B11*100-100)/100</f>
        <v>-1.0703834022250192E-3</v>
      </c>
      <c r="C23" s="2">
        <f t="shared" si="4"/>
        <v>0.11187125358352887</v>
      </c>
      <c r="D23" s="2">
        <f t="shared" si="4"/>
        <v>0.11419999064916823</v>
      </c>
      <c r="E23" s="2">
        <f t="shared" si="4"/>
        <v>3.3057737923847981E-2</v>
      </c>
      <c r="F23" s="2">
        <f t="shared" si="4"/>
        <v>0.30237216915447218</v>
      </c>
      <c r="G23" s="2">
        <f t="shared" si="4"/>
        <v>7.5719379528059683E-2</v>
      </c>
      <c r="H23" s="2">
        <f t="shared" si="4"/>
        <v>-8.3870920753878697E-2</v>
      </c>
      <c r="I23" s="2">
        <f t="shared" si="4"/>
        <v>9.8003172058979973E-2</v>
      </c>
      <c r="J23" s="2">
        <f t="shared" si="4"/>
        <v>1.6661591334232354E-2</v>
      </c>
      <c r="K23" s="2">
        <f t="shared" si="4"/>
        <v>6.6386206456959085E-2</v>
      </c>
      <c r="L23" s="2">
        <f t="shared" si="4"/>
        <v>0.14072805342943995</v>
      </c>
      <c r="M23" s="2">
        <f t="shared" si="4"/>
        <v>7.4966337171070305E-2</v>
      </c>
      <c r="N23" s="2">
        <f t="shared" si="4"/>
        <v>4.9529632355706357E-2</v>
      </c>
      <c r="O23" s="2">
        <f t="shared" si="4"/>
        <v>8.4388745639314214E-2</v>
      </c>
      <c r="P23" s="2">
        <f t="shared" si="4"/>
        <v>7.4092875430387575E-2</v>
      </c>
      <c r="Q23" s="2">
        <f t="shared" si="4"/>
        <v>7.1094097539275508E-2</v>
      </c>
      <c r="R23" s="2">
        <f t="shared" si="4"/>
        <v>7.3877042247250987E-2</v>
      </c>
      <c r="S23" s="2">
        <f t="shared" si="4"/>
        <v>0.10822093583617359</v>
      </c>
      <c r="T23" s="2">
        <f t="shared" si="4"/>
        <v>4.6237906012439538E-2</v>
      </c>
      <c r="U23" s="2">
        <f t="shared" si="4"/>
        <v>6.4130111779093391E-2</v>
      </c>
      <c r="V23" s="2">
        <f t="shared" si="4"/>
        <v>8.4162757884299999E-2</v>
      </c>
      <c r="W23" s="2">
        <f t="shared" si="4"/>
        <v>0.12690551632943284</v>
      </c>
      <c r="X23" s="2">
        <f t="shared" si="4"/>
        <v>7.9256450568759795E-2</v>
      </c>
      <c r="Y23" s="2">
        <f t="shared" si="4"/>
        <v>4.8190693764951928E-2</v>
      </c>
      <c r="Z23" s="2">
        <f t="shared" si="4"/>
        <v>6.7469879518072137E-2</v>
      </c>
      <c r="AA23" s="2">
        <f t="shared" si="4"/>
        <v>8.4112899527674756E-2</v>
      </c>
      <c r="AB23" s="2">
        <f t="shared" si="4"/>
        <v>6.8717869514374572E-2</v>
      </c>
    </row>
    <row r="24" spans="1:16384" x14ac:dyDescent="0.3">
      <c r="A24" t="s">
        <v>64</v>
      </c>
      <c r="B24" s="2">
        <f t="shared" ref="B24:AB24" si="5">(B13/B12*100-100)/100</f>
        <v>8.0022798518096322E-2</v>
      </c>
      <c r="C24" s="2">
        <f t="shared" si="5"/>
        <v>5.3199949771880452E-2</v>
      </c>
      <c r="D24" s="2">
        <f t="shared" si="5"/>
        <v>1.6398977475525101E-3</v>
      </c>
      <c r="E24" s="2">
        <f t="shared" si="5"/>
        <v>6.1371841155234821E-2</v>
      </c>
      <c r="F24" s="2">
        <f t="shared" si="5"/>
        <v>8.225473644719529E-2</v>
      </c>
      <c r="G24" s="2">
        <f t="shared" si="5"/>
        <v>4.1697455927372576E-2</v>
      </c>
      <c r="H24" s="2">
        <f t="shared" si="5"/>
        <v>6.2108715094902178E-2</v>
      </c>
      <c r="I24" s="2">
        <f t="shared" si="5"/>
        <v>1.9242547978766993E-2</v>
      </c>
      <c r="J24" s="2">
        <f t="shared" si="5"/>
        <v>3.0238197118813447E-2</v>
      </c>
      <c r="K24" s="2">
        <f t="shared" si="5"/>
        <v>0.1286610878661088</v>
      </c>
      <c r="L24" s="2">
        <f t="shared" si="5"/>
        <v>4.9684583702622263E-2</v>
      </c>
      <c r="M24" s="2">
        <f t="shared" si="5"/>
        <v>7.243773365053173E-2</v>
      </c>
      <c r="N24" s="2">
        <f t="shared" si="5"/>
        <v>6.6240081904274606E-2</v>
      </c>
      <c r="O24" s="2">
        <f t="shared" si="5"/>
        <v>2.1505376344086072E-2</v>
      </c>
      <c r="P24" s="2">
        <f t="shared" si="5"/>
        <v>9.2725778280078122E-2</v>
      </c>
      <c r="Q24" s="2">
        <f t="shared" si="5"/>
        <v>0.11443248264932521</v>
      </c>
      <c r="R24" s="2">
        <f t="shared" si="5"/>
        <v>9.5657581096486408E-2</v>
      </c>
      <c r="S24" s="2">
        <f t="shared" si="5"/>
        <v>0.10106355110808395</v>
      </c>
      <c r="T24" s="2">
        <f t="shared" si="5"/>
        <v>4.0664671276705346E-2</v>
      </c>
      <c r="U24" s="2">
        <f t="shared" si="5"/>
        <v>7.437838998979629E-2</v>
      </c>
      <c r="V24" s="2">
        <f t="shared" si="5"/>
        <v>6.0800964775639274E-2</v>
      </c>
      <c r="W24" s="2">
        <f t="shared" si="5"/>
        <v>6.9961808822715452E-2</v>
      </c>
      <c r="X24" s="2">
        <f t="shared" si="5"/>
        <v>6.4856469580119688E-2</v>
      </c>
      <c r="Y24" s="2">
        <f t="shared" si="5"/>
        <v>4.7548062095198844E-2</v>
      </c>
      <c r="Z24" s="2">
        <f t="shared" si="5"/>
        <v>6.8035067457609552E-2</v>
      </c>
      <c r="AA24" s="2">
        <f t="shared" si="5"/>
        <v>6.455876910061846E-2</v>
      </c>
      <c r="AB24" s="2">
        <f t="shared" si="5"/>
        <v>6.6219354838709568E-2</v>
      </c>
    </row>
    <row r="25" spans="1:16384" x14ac:dyDescent="0.3">
      <c r="A25" t="s">
        <v>65</v>
      </c>
      <c r="B25" s="2">
        <f t="shared" ref="B25:AB25" si="6">(B14/B13*100-100)/100</f>
        <v>0.10203176948651631</v>
      </c>
      <c r="C25" s="2">
        <f t="shared" si="6"/>
        <v>1.2240680391066405E-3</v>
      </c>
      <c r="D25" s="2">
        <f t="shared" si="6"/>
        <v>2.5896855588192692E-2</v>
      </c>
      <c r="E25" s="2">
        <f t="shared" si="6"/>
        <v>6.4945978391356365E-2</v>
      </c>
      <c r="F25" s="2">
        <f t="shared" si="6"/>
        <v>-7.3819221769650764E-2</v>
      </c>
      <c r="G25" s="2">
        <f t="shared" si="6"/>
        <v>2.8536684231860648E-2</v>
      </c>
      <c r="H25" s="2">
        <f t="shared" si="6"/>
        <v>-0.12896706586826354</v>
      </c>
      <c r="I25" s="2">
        <f t="shared" si="6"/>
        <v>3.6005809003955849E-2</v>
      </c>
      <c r="J25" s="2">
        <f t="shared" si="6"/>
        <v>5.28866122109946E-3</v>
      </c>
      <c r="K25" s="2">
        <f t="shared" si="6"/>
        <v>0.12135575268105385</v>
      </c>
      <c r="L25" s="2">
        <f t="shared" si="6"/>
        <v>2.7873249230158166E-2</v>
      </c>
      <c r="M25" s="2">
        <f t="shared" si="6"/>
        <v>4.8377020236316778E-2</v>
      </c>
      <c r="N25" s="2">
        <f t="shared" si="6"/>
        <v>2.284315137548603E-2</v>
      </c>
      <c r="O25" s="2">
        <f t="shared" si="6"/>
        <v>2.5725288831835513E-2</v>
      </c>
      <c r="P25" s="2">
        <f t="shared" si="6"/>
        <v>5.0895585538996785E-2</v>
      </c>
      <c r="Q25" s="2">
        <f t="shared" si="6"/>
        <v>5.2008041975187352E-2</v>
      </c>
      <c r="R25" s="2">
        <f t="shared" si="6"/>
        <v>5.096481271282656E-2</v>
      </c>
      <c r="S25" s="2">
        <f t="shared" si="6"/>
        <v>3.9779215835553855E-2</v>
      </c>
      <c r="T25" s="2">
        <f t="shared" si="6"/>
        <v>3.5287116929485336E-2</v>
      </c>
      <c r="U25" s="2">
        <f t="shared" si="6"/>
        <v>4.5006498050584869E-2</v>
      </c>
      <c r="V25" s="2">
        <f t="shared" si="6"/>
        <v>4.7946568139832377E-2</v>
      </c>
      <c r="W25" s="2">
        <f t="shared" si="6"/>
        <v>1.9667890952356402E-2</v>
      </c>
      <c r="X25" s="2">
        <f t="shared" si="6"/>
        <v>2.8416234974601481E-2</v>
      </c>
      <c r="Y25" s="2">
        <f t="shared" si="6"/>
        <v>3.3770057412041581E-2</v>
      </c>
      <c r="Z25" s="2">
        <f t="shared" si="6"/>
        <v>7.3246497911034533E-2</v>
      </c>
      <c r="AA25" s="2">
        <f t="shared" si="6"/>
        <v>3.9078176219330345E-2</v>
      </c>
      <c r="AB25" s="2">
        <f t="shared" si="6"/>
        <v>3.1774615161196638E-2</v>
      </c>
    </row>
    <row r="30" spans="1:16384" x14ac:dyDescent="0.3">
      <c r="G30" s="21"/>
      <c r="H30" s="21"/>
      <c r="I30" s="21"/>
      <c r="J30" s="21"/>
    </row>
    <row r="31" spans="1:16384" x14ac:dyDescent="0.3">
      <c r="G31" s="21"/>
      <c r="H31" s="21"/>
      <c r="I31" s="21"/>
      <c r="J31" s="21"/>
    </row>
    <row r="32" spans="1:16384" x14ac:dyDescent="0.3">
      <c r="G32" s="21"/>
      <c r="H32" s="21"/>
      <c r="I32" s="21"/>
      <c r="J32" s="21"/>
    </row>
    <row r="33" spans="1:10" x14ac:dyDescent="0.3">
      <c r="A33" t="s">
        <v>59</v>
      </c>
      <c r="B33" t="s">
        <v>233</v>
      </c>
      <c r="G33" s="21"/>
      <c r="H33" s="21"/>
      <c r="I33" s="21"/>
      <c r="J33" s="21"/>
    </row>
    <row r="34" spans="1:10" x14ac:dyDescent="0.3">
      <c r="A34">
        <v>2017</v>
      </c>
      <c r="B34" s="2">
        <f>(AD8-AD7)/AD7</f>
        <v>2.77292981363212E-2</v>
      </c>
      <c r="G34" s="21"/>
      <c r="H34" s="21"/>
      <c r="I34" s="21"/>
      <c r="J34" s="21"/>
    </row>
    <row r="35" spans="1:10" x14ac:dyDescent="0.3">
      <c r="A35">
        <v>2018</v>
      </c>
      <c r="B35" s="2">
        <f t="shared" ref="B35:B40" si="7">(AD9-AD8)/AD8</f>
        <v>3.338515783336559E-2</v>
      </c>
      <c r="G35" s="21"/>
      <c r="H35" s="21"/>
      <c r="I35" s="21"/>
      <c r="J35" s="21"/>
    </row>
    <row r="36" spans="1:10" x14ac:dyDescent="0.3">
      <c r="A36">
        <v>2019</v>
      </c>
      <c r="B36" s="2">
        <f t="shared" si="7"/>
        <v>3.6365834506694047E-2</v>
      </c>
      <c r="G36" s="21"/>
      <c r="H36" s="21"/>
      <c r="I36" s="21"/>
      <c r="J36" s="21"/>
    </row>
    <row r="37" spans="1:10" x14ac:dyDescent="0.3">
      <c r="A37">
        <v>2020</v>
      </c>
      <c r="B37" s="2">
        <f t="shared" si="7"/>
        <v>5.4402872634091097E-2</v>
      </c>
      <c r="G37" s="21"/>
      <c r="H37" s="21"/>
      <c r="I37" s="21"/>
      <c r="J37" s="21"/>
    </row>
    <row r="38" spans="1:10" x14ac:dyDescent="0.3">
      <c r="A38">
        <v>2021</v>
      </c>
      <c r="B38" s="2">
        <f t="shared" si="7"/>
        <v>7.5351254939106369E-2</v>
      </c>
      <c r="G38" s="21"/>
      <c r="H38" s="21"/>
      <c r="I38" s="21"/>
      <c r="J38" s="21"/>
    </row>
    <row r="39" spans="1:10" x14ac:dyDescent="0.3">
      <c r="A39">
        <v>2022</v>
      </c>
      <c r="B39" s="2">
        <f t="shared" si="7"/>
        <v>6.3885364152863069E-2</v>
      </c>
      <c r="G39" s="21"/>
      <c r="H39" s="21"/>
      <c r="I39" s="21"/>
      <c r="J39" s="21"/>
    </row>
    <row r="40" spans="1:10" x14ac:dyDescent="0.3">
      <c r="A40">
        <v>2023</v>
      </c>
      <c r="B40" s="2">
        <f t="shared" si="7"/>
        <v>3.1166221639598032E-2</v>
      </c>
      <c r="G40" s="21"/>
      <c r="H40" s="21"/>
      <c r="I40" s="21"/>
      <c r="J40" s="21"/>
    </row>
    <row r="41" spans="1:10" x14ac:dyDescent="0.3">
      <c r="G41" s="21"/>
      <c r="H41" s="21"/>
      <c r="I41" s="21"/>
      <c r="J41" s="21"/>
    </row>
    <row r="42" spans="1:10" x14ac:dyDescent="0.3">
      <c r="G42" s="21"/>
      <c r="H42" s="21"/>
      <c r="I42" s="21"/>
      <c r="J42" s="21"/>
    </row>
    <row r="43" spans="1:10" x14ac:dyDescent="0.3">
      <c r="G43" s="21"/>
      <c r="H43" s="21"/>
      <c r="I43" s="21"/>
      <c r="J43" s="21"/>
    </row>
    <row r="44" spans="1:10" x14ac:dyDescent="0.3">
      <c r="G44" s="21"/>
      <c r="H44" s="21"/>
      <c r="I44" s="21"/>
      <c r="J44" s="21"/>
    </row>
    <row r="45" spans="1:10" x14ac:dyDescent="0.3">
      <c r="A45" s="13"/>
      <c r="B45" s="5"/>
      <c r="C45" s="5"/>
      <c r="D45" s="5"/>
      <c r="E45" s="5"/>
      <c r="F45" s="5"/>
    </row>
    <row r="46" spans="1:10" x14ac:dyDescent="0.3">
      <c r="A46" s="5"/>
      <c r="B46" s="5"/>
      <c r="C46" s="5"/>
      <c r="D46" s="5"/>
      <c r="E46" s="5"/>
      <c r="F46" s="5"/>
    </row>
    <row r="47" spans="1:10" x14ac:dyDescent="0.3">
      <c r="A47" s="5"/>
      <c r="B47" s="5"/>
      <c r="C47" s="14" t="s">
        <v>16623</v>
      </c>
      <c r="D47" s="5"/>
      <c r="E47" s="5"/>
      <c r="F47" s="5"/>
    </row>
    <row r="48" spans="1:10" x14ac:dyDescent="0.3">
      <c r="A48" s="22" t="s">
        <v>16624</v>
      </c>
      <c r="B48" s="23"/>
      <c r="C48" s="23"/>
      <c r="D48" s="23"/>
      <c r="E48" s="23"/>
      <c r="F48" s="5"/>
    </row>
    <row r="49" spans="1:6" x14ac:dyDescent="0.3">
      <c r="A49" s="23"/>
      <c r="B49" s="23"/>
      <c r="C49" s="23"/>
      <c r="D49" s="23"/>
      <c r="E49" s="23"/>
      <c r="F49" s="5"/>
    </row>
    <row r="50" spans="1:6" x14ac:dyDescent="0.3">
      <c r="A50" s="23"/>
      <c r="B50" s="23"/>
      <c r="C50" s="23"/>
      <c r="D50" s="23"/>
      <c r="E50" s="23"/>
      <c r="F50" s="5"/>
    </row>
    <row r="51" spans="1:6" x14ac:dyDescent="0.3">
      <c r="A51" s="23"/>
      <c r="B51" s="23"/>
      <c r="C51" s="23"/>
      <c r="D51" s="23"/>
      <c r="E51" s="23"/>
      <c r="F51" s="5"/>
    </row>
    <row r="52" spans="1:6" x14ac:dyDescent="0.3">
      <c r="A52" s="23"/>
      <c r="B52" s="23"/>
      <c r="C52" s="23"/>
      <c r="D52" s="23"/>
      <c r="E52" s="23"/>
      <c r="F52" s="5"/>
    </row>
    <row r="53" spans="1:6" x14ac:dyDescent="0.3">
      <c r="A53" s="23"/>
      <c r="B53" s="23"/>
      <c r="C53" s="23"/>
      <c r="D53" s="23"/>
      <c r="E53" s="23"/>
      <c r="F53" s="5"/>
    </row>
    <row r="54" spans="1:6" x14ac:dyDescent="0.3">
      <c r="A54" s="23"/>
      <c r="B54" s="23"/>
      <c r="C54" s="23"/>
      <c r="D54" s="23"/>
      <c r="E54" s="23"/>
      <c r="F54" s="5"/>
    </row>
    <row r="55" spans="1:6" x14ac:dyDescent="0.3">
      <c r="A55" s="23"/>
      <c r="B55" s="23"/>
      <c r="C55" s="23"/>
      <c r="D55" s="23"/>
      <c r="E55" s="23"/>
      <c r="F55" s="5"/>
    </row>
    <row r="56" spans="1:6" x14ac:dyDescent="0.3">
      <c r="A56" s="23"/>
      <c r="B56" s="23"/>
      <c r="C56" s="23"/>
      <c r="D56" s="23"/>
      <c r="E56" s="23"/>
      <c r="F56" s="5"/>
    </row>
    <row r="57" spans="1:6" x14ac:dyDescent="0.3">
      <c r="A57" s="23"/>
      <c r="B57" s="23"/>
      <c r="C57" s="23"/>
      <c r="D57" s="23"/>
      <c r="E57" s="23"/>
      <c r="F57" s="5"/>
    </row>
    <row r="58" spans="1:6" x14ac:dyDescent="0.3">
      <c r="A58" s="23"/>
      <c r="B58" s="23"/>
      <c r="C58" s="23"/>
      <c r="D58" s="23"/>
      <c r="E58" s="23"/>
      <c r="F58" s="5"/>
    </row>
    <row r="59" spans="1:6" x14ac:dyDescent="0.3">
      <c r="A59" s="23"/>
      <c r="B59" s="23"/>
      <c r="C59" s="23"/>
      <c r="D59" s="23"/>
      <c r="E59" s="23"/>
      <c r="F59" s="5"/>
    </row>
    <row r="60" spans="1:6" x14ac:dyDescent="0.3">
      <c r="A60" s="23"/>
      <c r="B60" s="23"/>
      <c r="C60" s="23"/>
      <c r="D60" s="23"/>
      <c r="E60" s="23"/>
      <c r="F60" s="5"/>
    </row>
    <row r="61" spans="1:6" x14ac:dyDescent="0.3">
      <c r="A61" s="23"/>
      <c r="B61" s="23"/>
      <c r="C61" s="23"/>
      <c r="D61" s="23"/>
      <c r="E61" s="23"/>
      <c r="F61" s="5"/>
    </row>
    <row r="62" spans="1:6" x14ac:dyDescent="0.3">
      <c r="A62" s="23"/>
      <c r="B62" s="23"/>
      <c r="C62" s="23"/>
      <c r="D62" s="23"/>
      <c r="E62" s="23"/>
      <c r="F62" s="5"/>
    </row>
    <row r="63" spans="1:6" x14ac:dyDescent="0.3">
      <c r="A63" s="23"/>
      <c r="B63" s="23"/>
      <c r="C63" s="23"/>
      <c r="D63" s="23"/>
      <c r="E63" s="23"/>
      <c r="F63" s="5"/>
    </row>
    <row r="64" spans="1:6" x14ac:dyDescent="0.3">
      <c r="A64" s="5"/>
      <c r="B64" s="5"/>
      <c r="C64" s="5"/>
      <c r="D64" s="5"/>
      <c r="E64" s="5"/>
      <c r="F64" s="5"/>
    </row>
    <row r="65" spans="1:6" x14ac:dyDescent="0.3">
      <c r="A65" s="12"/>
      <c r="B65" s="12"/>
      <c r="C65" s="12"/>
      <c r="D65" s="12"/>
      <c r="E65" s="12"/>
      <c r="F65" s="12"/>
    </row>
    <row r="66" spans="1:6" x14ac:dyDescent="0.3">
      <c r="A66" s="12"/>
      <c r="B66" s="12"/>
      <c r="C66" s="12"/>
      <c r="D66" s="12"/>
      <c r="E66" s="12"/>
      <c r="F66" s="12"/>
    </row>
    <row r="67" spans="1:6" x14ac:dyDescent="0.3">
      <c r="A67" s="12"/>
      <c r="B67" s="12"/>
      <c r="C67" s="12"/>
      <c r="D67" s="12"/>
      <c r="E67" s="12"/>
      <c r="F67" s="12"/>
    </row>
    <row r="68" spans="1:6" x14ac:dyDescent="0.3">
      <c r="A68" s="12"/>
      <c r="B68" s="12"/>
      <c r="C68" s="12"/>
      <c r="D68" s="12"/>
      <c r="E68" s="12"/>
      <c r="F68" s="12"/>
    </row>
    <row r="69" spans="1:6" x14ac:dyDescent="0.3">
      <c r="A69" s="12"/>
      <c r="B69" s="12"/>
      <c r="C69" s="12"/>
      <c r="D69" s="12"/>
      <c r="E69" s="12"/>
      <c r="F69" s="12"/>
    </row>
    <row r="70" spans="1:6" x14ac:dyDescent="0.3">
      <c r="A70" s="12"/>
      <c r="B70" s="12"/>
      <c r="C70" s="12"/>
      <c r="D70" s="12"/>
      <c r="E70" s="12"/>
      <c r="F70" s="12"/>
    </row>
    <row r="71" spans="1:6" x14ac:dyDescent="0.3">
      <c r="A71" s="12"/>
      <c r="B71" s="12"/>
      <c r="C71" s="12"/>
      <c r="D71" s="12"/>
      <c r="E71" s="12"/>
      <c r="F71" s="12"/>
    </row>
    <row r="72" spans="1:6" x14ac:dyDescent="0.3">
      <c r="A72" s="12"/>
      <c r="B72" s="12"/>
      <c r="C72" s="12"/>
      <c r="D72" s="12"/>
      <c r="E72" s="12"/>
      <c r="F72" s="12"/>
    </row>
    <row r="73" spans="1:6" x14ac:dyDescent="0.3">
      <c r="A73" s="12"/>
      <c r="B73" s="12"/>
      <c r="C73" s="12"/>
      <c r="D73" s="12"/>
      <c r="E73" s="12"/>
      <c r="F73" s="12"/>
    </row>
    <row r="74" spans="1:6" x14ac:dyDescent="0.3">
      <c r="A74" s="12"/>
      <c r="B74" s="12"/>
      <c r="C74" s="12"/>
      <c r="D74" s="12"/>
      <c r="E74" s="12"/>
      <c r="F74" s="12"/>
    </row>
  </sheetData>
  <mergeCells count="2">
    <mergeCell ref="G30:J44"/>
    <mergeCell ref="A48:E63"/>
  </mergeCells>
  <pageMargins left="0.7" right="0.7" top="0.75" bottom="0.75" header="0.3" footer="0.3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703D-0A6A-434B-BF4B-961253248F57}">
  <dimension ref="A1:O47"/>
  <sheetViews>
    <sheetView showGridLines="0" topLeftCell="A35" zoomScale="81" zoomScaleNormal="54" workbookViewId="0">
      <selection activeCell="A20" sqref="A20"/>
    </sheetView>
  </sheetViews>
  <sheetFormatPr defaultRowHeight="14.4" x14ac:dyDescent="0.3"/>
  <cols>
    <col min="1" max="1" width="18.88671875" bestFit="1" customWidth="1"/>
    <col min="2" max="2" width="40.5546875" customWidth="1"/>
    <col min="3" max="3" width="31.44140625" customWidth="1"/>
    <col min="4" max="4" width="20.5546875" customWidth="1"/>
    <col min="5" max="5" width="36.21875" customWidth="1"/>
    <col min="6" max="6" width="30.44140625" customWidth="1"/>
    <col min="7" max="7" width="22.6640625" customWidth="1"/>
    <col min="8" max="8" width="29.21875" customWidth="1"/>
    <col min="9" max="9" width="24.109375" customWidth="1"/>
    <col min="10" max="10" width="39.5546875" customWidth="1"/>
    <col min="11" max="11" width="45.109375" customWidth="1"/>
    <col min="12" max="12" width="44.6640625" customWidth="1"/>
    <col min="13" max="13" width="39.5546875" customWidth="1"/>
    <col min="14" max="14" width="63.109375" bestFit="1" customWidth="1"/>
    <col min="15" max="17" width="29.88671875" bestFit="1" customWidth="1"/>
    <col min="18" max="18" width="7" bestFit="1" customWidth="1"/>
    <col min="19" max="19" width="16.77734375" bestFit="1" customWidth="1"/>
    <col min="20" max="20" width="11.5546875" bestFit="1" customWidth="1"/>
    <col min="21" max="21" width="7" bestFit="1" customWidth="1"/>
    <col min="22" max="22" width="12.6640625" bestFit="1" customWidth="1"/>
    <col min="23" max="23" width="11.5546875" bestFit="1" customWidth="1"/>
    <col min="24" max="24" width="7" bestFit="1" customWidth="1"/>
    <col min="25" max="25" width="24.5546875" bestFit="1" customWidth="1"/>
    <col min="26" max="26" width="11.5546875" bestFit="1" customWidth="1"/>
    <col min="27" max="27" width="7" bestFit="1" customWidth="1"/>
    <col min="28" max="28" width="28.6640625" bestFit="1" customWidth="1"/>
    <col min="29" max="29" width="11.5546875" bestFit="1" customWidth="1"/>
    <col min="30" max="30" width="7" bestFit="1" customWidth="1"/>
    <col min="31" max="31" width="28.5546875" bestFit="1" customWidth="1"/>
    <col min="32" max="32" width="11.5546875" bestFit="1" customWidth="1"/>
    <col min="33" max="33" width="7" bestFit="1" customWidth="1"/>
    <col min="34" max="34" width="24.6640625" bestFit="1" customWidth="1"/>
    <col min="35" max="35" width="11.5546875" bestFit="1" customWidth="1"/>
    <col min="36" max="36" width="7" bestFit="1" customWidth="1"/>
    <col min="37" max="37" width="41.44140625" bestFit="1" customWidth="1"/>
    <col min="38" max="38" width="11.5546875" bestFit="1" customWidth="1"/>
    <col min="39" max="39" width="7" bestFit="1" customWidth="1"/>
    <col min="40" max="40" width="33.33203125" bestFit="1" customWidth="1"/>
    <col min="41" max="41" width="27.21875" bestFit="1" customWidth="1"/>
    <col min="42" max="42" width="18.44140625" bestFit="1" customWidth="1"/>
    <col min="43" max="43" width="31" bestFit="1" customWidth="1"/>
    <col min="44" max="44" width="25.88671875" bestFit="1" customWidth="1"/>
    <col min="45" max="45" width="16.77734375" bestFit="1" customWidth="1"/>
    <col min="46" max="46" width="21.6640625" bestFit="1" customWidth="1"/>
    <col min="47" max="47" width="17.5546875" bestFit="1" customWidth="1"/>
    <col min="48" max="48" width="29.33203125" bestFit="1" customWidth="1"/>
    <col min="49" max="49" width="33.44140625" bestFit="1" customWidth="1"/>
    <col min="50" max="50" width="33.33203125" bestFit="1" customWidth="1"/>
    <col min="51" max="51" width="29.5546875" bestFit="1" customWidth="1"/>
    <col min="52" max="52" width="46.33203125" bestFit="1" customWidth="1"/>
    <col min="53" max="59" width="6" bestFit="1" customWidth="1"/>
    <col min="60" max="60" width="16.33203125" bestFit="1" customWidth="1"/>
    <col min="61" max="61" width="8.21875" bestFit="1" customWidth="1"/>
    <col min="62" max="71" width="6" bestFit="1" customWidth="1"/>
    <col min="72" max="72" width="12" bestFit="1" customWidth="1"/>
    <col min="73" max="73" width="13.6640625" bestFit="1" customWidth="1"/>
    <col min="74" max="82" width="6" bestFit="1" customWidth="1"/>
    <col min="83" max="83" width="4" bestFit="1" customWidth="1"/>
    <col min="84" max="84" width="12" bestFit="1" customWidth="1"/>
    <col min="85" max="85" width="13.5546875" bestFit="1" customWidth="1"/>
    <col min="86" max="95" width="6" bestFit="1" customWidth="1"/>
    <col min="96" max="96" width="16.33203125" bestFit="1" customWidth="1"/>
    <col min="97" max="97" width="8.21875" bestFit="1" customWidth="1"/>
    <col min="98" max="107" width="6" bestFit="1" customWidth="1"/>
    <col min="108" max="108" width="10.88671875" bestFit="1" customWidth="1"/>
    <col min="109" max="109" width="26.21875" bestFit="1" customWidth="1"/>
    <col min="110" max="119" width="6" bestFit="1" customWidth="1"/>
    <col min="120" max="120" width="10" bestFit="1" customWidth="1"/>
    <col min="121" max="121" width="13.5546875" bestFit="1" customWidth="1"/>
    <col min="122" max="131" width="6" bestFit="1" customWidth="1"/>
    <col min="132" max="132" width="16.33203125" bestFit="1" customWidth="1"/>
    <col min="133" max="133" width="8.21875" bestFit="1" customWidth="1"/>
    <col min="134" max="143" width="6" bestFit="1" customWidth="1"/>
    <col min="144" max="144" width="10.88671875" bestFit="1" customWidth="1"/>
    <col min="145" max="145" width="21" bestFit="1" customWidth="1"/>
    <col min="146" max="152" width="6" bestFit="1" customWidth="1"/>
    <col min="153" max="153" width="7" bestFit="1" customWidth="1"/>
    <col min="154" max="155" width="6" bestFit="1" customWidth="1"/>
    <col min="156" max="156" width="12" bestFit="1" customWidth="1"/>
    <col min="157" max="157" width="13.5546875" bestFit="1" customWidth="1"/>
    <col min="158" max="164" width="6" bestFit="1" customWidth="1"/>
    <col min="165" max="165" width="7" bestFit="1" customWidth="1"/>
    <col min="166" max="166" width="6" bestFit="1" customWidth="1"/>
    <col min="167" max="167" width="4" bestFit="1" customWidth="1"/>
    <col min="168" max="168" width="16.33203125" bestFit="1" customWidth="1"/>
    <col min="169" max="169" width="8.21875" bestFit="1" customWidth="1"/>
    <col min="170" max="179" width="6" bestFit="1" customWidth="1"/>
    <col min="180" max="181" width="12" bestFit="1" customWidth="1"/>
    <col min="182" max="190" width="6" bestFit="1" customWidth="1"/>
    <col min="191" max="191" width="4" bestFit="1" customWidth="1"/>
    <col min="192" max="192" width="10" bestFit="1" customWidth="1"/>
    <col min="193" max="193" width="13.5546875" bestFit="1" customWidth="1"/>
    <col min="194" max="203" width="6" bestFit="1" customWidth="1"/>
    <col min="204" max="204" width="16.33203125" bestFit="1" customWidth="1"/>
    <col min="205" max="205" width="8.21875" bestFit="1" customWidth="1"/>
    <col min="206" max="215" width="6" bestFit="1" customWidth="1"/>
    <col min="216" max="216" width="10.88671875" bestFit="1" customWidth="1"/>
    <col min="217" max="217" width="16.77734375" bestFit="1" customWidth="1"/>
    <col min="218" max="227" width="6" bestFit="1" customWidth="1"/>
    <col min="228" max="228" width="10" bestFit="1" customWidth="1"/>
    <col min="229" max="229" width="13.5546875" bestFit="1" customWidth="1"/>
    <col min="230" max="238" width="6" bestFit="1" customWidth="1"/>
    <col min="239" max="239" width="4" bestFit="1" customWidth="1"/>
    <col min="240" max="240" width="16.33203125" bestFit="1" customWidth="1"/>
    <col min="241" max="241" width="8.21875" bestFit="1" customWidth="1"/>
    <col min="242" max="251" width="6" bestFit="1" customWidth="1"/>
    <col min="252" max="252" width="10.88671875" bestFit="1" customWidth="1"/>
    <col min="253" max="253" width="24.5546875" bestFit="1" customWidth="1"/>
    <col min="254" max="263" width="6" bestFit="1" customWidth="1"/>
    <col min="264" max="264" width="10" bestFit="1" customWidth="1"/>
    <col min="265" max="265" width="13.5546875" bestFit="1" customWidth="1"/>
    <col min="266" max="275" width="6" bestFit="1" customWidth="1"/>
    <col min="276" max="276" width="16.33203125" bestFit="1" customWidth="1"/>
    <col min="277" max="277" width="8.21875" bestFit="1" customWidth="1"/>
    <col min="278" max="287" width="6" bestFit="1" customWidth="1"/>
    <col min="288" max="288" width="10.88671875" bestFit="1" customWidth="1"/>
    <col min="289" max="289" width="28.6640625" bestFit="1" customWidth="1"/>
    <col min="290" max="299" width="6" bestFit="1" customWidth="1"/>
    <col min="300" max="300" width="10" bestFit="1" customWidth="1"/>
    <col min="301" max="301" width="13.5546875" bestFit="1" customWidth="1"/>
    <col min="302" max="302" width="4" bestFit="1" customWidth="1"/>
    <col min="303" max="311" width="6" bestFit="1" customWidth="1"/>
    <col min="312" max="312" width="16.33203125" bestFit="1" customWidth="1"/>
    <col min="313" max="313" width="8.21875" bestFit="1" customWidth="1"/>
    <col min="314" max="323" width="6" bestFit="1" customWidth="1"/>
    <col min="324" max="324" width="10.88671875" bestFit="1" customWidth="1"/>
    <col min="325" max="325" width="28.5546875" bestFit="1" customWidth="1"/>
    <col min="326" max="335" width="6" bestFit="1" customWidth="1"/>
    <col min="336" max="336" width="10" bestFit="1" customWidth="1"/>
    <col min="337" max="337" width="13.5546875" bestFit="1" customWidth="1"/>
    <col min="338" max="347" width="6" bestFit="1" customWidth="1"/>
    <col min="348" max="348" width="16.33203125" bestFit="1" customWidth="1"/>
    <col min="349" max="349" width="8.21875" bestFit="1" customWidth="1"/>
    <col min="350" max="359" width="6" bestFit="1" customWidth="1"/>
    <col min="360" max="360" width="10.88671875" bestFit="1" customWidth="1"/>
    <col min="361" max="361" width="24.6640625" bestFit="1" customWidth="1"/>
    <col min="362" max="371" width="6" bestFit="1" customWidth="1"/>
    <col min="372" max="372" width="10" bestFit="1" customWidth="1"/>
    <col min="373" max="373" width="13.5546875" bestFit="1" customWidth="1"/>
    <col min="374" max="374" width="4" bestFit="1" customWidth="1"/>
    <col min="375" max="383" width="6" bestFit="1" customWidth="1"/>
    <col min="384" max="384" width="16.33203125" bestFit="1" customWidth="1"/>
    <col min="385" max="385" width="8.21875" bestFit="1" customWidth="1"/>
    <col min="386" max="395" width="6" bestFit="1" customWidth="1"/>
    <col min="396" max="396" width="10.88671875" bestFit="1" customWidth="1"/>
    <col min="397" max="397" width="41.44140625" bestFit="1" customWidth="1"/>
    <col min="398" max="407" width="6" bestFit="1" customWidth="1"/>
    <col min="408" max="408" width="10" bestFit="1" customWidth="1"/>
    <col min="409" max="409" width="13.5546875" bestFit="1" customWidth="1"/>
    <col min="410" max="419" width="6" bestFit="1" customWidth="1"/>
    <col min="420" max="420" width="16.33203125" bestFit="1" customWidth="1"/>
    <col min="421" max="421" width="8.21875" bestFit="1" customWidth="1"/>
    <col min="422" max="431" width="6" bestFit="1" customWidth="1"/>
    <col min="432" max="432" width="10.88671875" bestFit="1" customWidth="1"/>
    <col min="433" max="433" width="33.33203125" bestFit="1" customWidth="1"/>
    <col min="434" max="434" width="27.21875" bestFit="1" customWidth="1"/>
    <col min="435" max="435" width="18.44140625" bestFit="1" customWidth="1"/>
    <col min="436" max="436" width="31" bestFit="1" customWidth="1"/>
    <col min="437" max="437" width="25.88671875" bestFit="1" customWidth="1"/>
    <col min="438" max="438" width="16.77734375" bestFit="1" customWidth="1"/>
    <col min="439" max="439" width="21.6640625" bestFit="1" customWidth="1"/>
    <col min="440" max="440" width="29.33203125" bestFit="1" customWidth="1"/>
    <col min="441" max="441" width="33.44140625" bestFit="1" customWidth="1"/>
    <col min="442" max="442" width="33.33203125" bestFit="1" customWidth="1"/>
    <col min="443" max="443" width="29.5546875" bestFit="1" customWidth="1"/>
    <col min="444" max="444" width="46.33203125" bestFit="1" customWidth="1"/>
  </cols>
  <sheetData>
    <row r="1" spans="1:14" x14ac:dyDescent="0.3">
      <c r="A1" s="4" t="s">
        <v>0</v>
      </c>
      <c r="B1" t="s">
        <v>33</v>
      </c>
    </row>
    <row r="3" spans="1:14" x14ac:dyDescent="0.3">
      <c r="A3" s="4" t="s">
        <v>66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  <c r="I3" t="s">
        <v>77</v>
      </c>
      <c r="J3" t="s">
        <v>75</v>
      </c>
      <c r="K3" t="s">
        <v>78</v>
      </c>
      <c r="L3" t="s">
        <v>76</v>
      </c>
      <c r="M3" t="s">
        <v>236</v>
      </c>
      <c r="N3" t="s">
        <v>79</v>
      </c>
    </row>
    <row r="4" spans="1:14" x14ac:dyDescent="0.3">
      <c r="A4" s="5" t="s">
        <v>210</v>
      </c>
      <c r="B4">
        <v>157.5</v>
      </c>
      <c r="C4">
        <v>223.4</v>
      </c>
      <c r="D4">
        <v>172.8</v>
      </c>
      <c r="E4">
        <v>166.4</v>
      </c>
      <c r="F4">
        <v>188.6</v>
      </c>
      <c r="G4">
        <v>174.1</v>
      </c>
      <c r="H4">
        <v>211.5</v>
      </c>
      <c r="I4">
        <v>183.5</v>
      </c>
      <c r="J4">
        <v>163.6</v>
      </c>
      <c r="K4">
        <v>159.1</v>
      </c>
      <c r="L4">
        <v>121.4</v>
      </c>
      <c r="M4">
        <v>179.3</v>
      </c>
      <c r="N4">
        <v>186.3</v>
      </c>
    </row>
    <row r="5" spans="1:14" x14ac:dyDescent="0.3">
      <c r="A5" s="5" t="s">
        <v>211</v>
      </c>
      <c r="B5">
        <v>159.30000000000001</v>
      </c>
      <c r="C5">
        <v>217.1</v>
      </c>
      <c r="D5">
        <v>176.6</v>
      </c>
      <c r="E5">
        <v>167.1</v>
      </c>
      <c r="F5">
        <v>184.8</v>
      </c>
      <c r="G5">
        <v>179.5</v>
      </c>
      <c r="H5">
        <v>208.5</v>
      </c>
      <c r="I5">
        <v>186.3</v>
      </c>
      <c r="J5">
        <v>164</v>
      </c>
      <c r="K5">
        <v>159.80000000000001</v>
      </c>
      <c r="L5">
        <v>121.5</v>
      </c>
      <c r="M5">
        <v>179.4</v>
      </c>
      <c r="N5">
        <v>187.7</v>
      </c>
    </row>
    <row r="6" spans="1:14" x14ac:dyDescent="0.3">
      <c r="A6" s="5" t="s">
        <v>212</v>
      </c>
      <c r="B6">
        <v>162.1</v>
      </c>
      <c r="C6">
        <v>210.9</v>
      </c>
      <c r="D6">
        <v>170.6</v>
      </c>
      <c r="E6">
        <v>168.4</v>
      </c>
      <c r="F6">
        <v>182.5</v>
      </c>
      <c r="G6">
        <v>177.1</v>
      </c>
      <c r="H6">
        <v>213.1</v>
      </c>
      <c r="I6">
        <v>189.7</v>
      </c>
      <c r="J6">
        <v>167.3</v>
      </c>
      <c r="K6">
        <v>160.5</v>
      </c>
      <c r="L6">
        <v>122.2</v>
      </c>
      <c r="M6">
        <v>180.4</v>
      </c>
      <c r="N6">
        <v>188.9</v>
      </c>
    </row>
    <row r="7" spans="1:14" x14ac:dyDescent="0.3">
      <c r="A7" s="5" t="s">
        <v>213</v>
      </c>
      <c r="B7">
        <v>164.9</v>
      </c>
      <c r="C7">
        <v>213.7</v>
      </c>
      <c r="D7">
        <v>170.9</v>
      </c>
      <c r="E7">
        <v>170.1</v>
      </c>
      <c r="F7">
        <v>179.3</v>
      </c>
      <c r="G7">
        <v>167.5</v>
      </c>
      <c r="H7">
        <v>220.8</v>
      </c>
      <c r="I7">
        <v>193.6</v>
      </c>
      <c r="J7">
        <v>169.2</v>
      </c>
      <c r="K7">
        <v>161.1</v>
      </c>
      <c r="L7">
        <v>123.1</v>
      </c>
      <c r="M7">
        <v>181.8</v>
      </c>
      <c r="N7">
        <v>190.4</v>
      </c>
    </row>
    <row r="8" spans="1:14" x14ac:dyDescent="0.3">
      <c r="A8" s="5" t="s">
        <v>214</v>
      </c>
      <c r="B8">
        <v>166.4</v>
      </c>
      <c r="C8">
        <v>214.9</v>
      </c>
      <c r="D8">
        <v>171.9</v>
      </c>
      <c r="E8">
        <v>171</v>
      </c>
      <c r="F8">
        <v>177.7</v>
      </c>
      <c r="G8">
        <v>165.7</v>
      </c>
      <c r="H8">
        <v>228.6</v>
      </c>
      <c r="I8">
        <v>196.4</v>
      </c>
      <c r="J8">
        <v>169.9</v>
      </c>
      <c r="K8">
        <v>161.6</v>
      </c>
      <c r="L8">
        <v>123.4</v>
      </c>
      <c r="M8">
        <v>183.3</v>
      </c>
      <c r="N8">
        <v>191.5</v>
      </c>
    </row>
    <row r="9" spans="1:14" x14ac:dyDescent="0.3">
      <c r="A9" s="5" t="s">
        <v>215</v>
      </c>
      <c r="B9">
        <v>168.4</v>
      </c>
      <c r="C9">
        <v>213.4</v>
      </c>
      <c r="D9">
        <v>183.2</v>
      </c>
      <c r="E9">
        <v>172.3</v>
      </c>
      <c r="F9">
        <v>180</v>
      </c>
      <c r="G9">
        <v>162.6</v>
      </c>
      <c r="H9">
        <v>205.5</v>
      </c>
      <c r="I9">
        <v>198.8</v>
      </c>
      <c r="J9">
        <v>171</v>
      </c>
      <c r="K9">
        <v>162.1</v>
      </c>
      <c r="L9">
        <v>123.4</v>
      </c>
      <c r="M9">
        <v>181.3</v>
      </c>
      <c r="N9">
        <v>192.4</v>
      </c>
    </row>
    <row r="10" spans="1:14" x14ac:dyDescent="0.3">
      <c r="A10" s="5" t="s">
        <v>216</v>
      </c>
      <c r="B10">
        <v>170.2</v>
      </c>
      <c r="C10">
        <v>212.9</v>
      </c>
      <c r="D10">
        <v>191.9</v>
      </c>
      <c r="E10">
        <v>173.9</v>
      </c>
      <c r="F10">
        <v>179.1</v>
      </c>
      <c r="G10">
        <v>159.5</v>
      </c>
      <c r="H10">
        <v>178.7</v>
      </c>
      <c r="I10">
        <v>200.5</v>
      </c>
      <c r="J10">
        <v>171.3</v>
      </c>
      <c r="K10">
        <v>162.80000000000001</v>
      </c>
      <c r="L10">
        <v>123.1</v>
      </c>
      <c r="M10">
        <v>178.6</v>
      </c>
      <c r="N10">
        <v>193.3</v>
      </c>
    </row>
    <row r="11" spans="1:14" x14ac:dyDescent="0.3">
      <c r="A11" s="5" t="s">
        <v>217</v>
      </c>
      <c r="B11">
        <v>173.3</v>
      </c>
      <c r="C11">
        <v>215.2</v>
      </c>
      <c r="D11">
        <v>197</v>
      </c>
      <c r="E11">
        <v>175.2</v>
      </c>
      <c r="F11">
        <v>178</v>
      </c>
      <c r="G11">
        <v>160.5</v>
      </c>
      <c r="H11">
        <v>175.3</v>
      </c>
      <c r="I11">
        <v>204.3</v>
      </c>
      <c r="J11">
        <v>171.2</v>
      </c>
      <c r="K11">
        <v>163.69999999999999</v>
      </c>
      <c r="L11">
        <v>122.7</v>
      </c>
      <c r="M11">
        <v>179.5</v>
      </c>
      <c r="N11">
        <v>194.3</v>
      </c>
    </row>
    <row r="12" spans="1:14" x14ac:dyDescent="0.3">
      <c r="A12" s="5" t="s">
        <v>218</v>
      </c>
      <c r="B12">
        <v>174.7</v>
      </c>
      <c r="C12">
        <v>212.2</v>
      </c>
      <c r="D12">
        <v>177.2</v>
      </c>
      <c r="E12">
        <v>177.9</v>
      </c>
      <c r="F12">
        <v>172.2</v>
      </c>
      <c r="G12">
        <v>172.1</v>
      </c>
      <c r="H12">
        <v>175.8</v>
      </c>
      <c r="I12">
        <v>204.8</v>
      </c>
      <c r="J12">
        <v>172.2</v>
      </c>
      <c r="K12">
        <v>164.9</v>
      </c>
      <c r="L12">
        <v>121.9</v>
      </c>
      <c r="M12">
        <v>180.7</v>
      </c>
      <c r="N12">
        <v>196.6</v>
      </c>
    </row>
    <row r="13" spans="1:14" x14ac:dyDescent="0.3">
      <c r="A13" s="5" t="s">
        <v>219</v>
      </c>
      <c r="B13">
        <v>174.7</v>
      </c>
      <c r="C13">
        <v>212.2</v>
      </c>
      <c r="D13">
        <v>177.2</v>
      </c>
      <c r="E13">
        <v>177.9</v>
      </c>
      <c r="F13">
        <v>172.2</v>
      </c>
      <c r="G13">
        <v>172.1</v>
      </c>
      <c r="H13">
        <v>175.9</v>
      </c>
      <c r="I13">
        <v>204.8</v>
      </c>
      <c r="J13">
        <v>172.2</v>
      </c>
      <c r="K13">
        <v>164.9</v>
      </c>
      <c r="L13">
        <v>121.9</v>
      </c>
      <c r="M13">
        <v>180.8</v>
      </c>
      <c r="N13">
        <v>196.6</v>
      </c>
    </row>
    <row r="14" spans="1:14" x14ac:dyDescent="0.3">
      <c r="A14" s="5" t="s">
        <v>220</v>
      </c>
      <c r="B14">
        <v>174.8</v>
      </c>
      <c r="C14">
        <v>213.7</v>
      </c>
      <c r="D14">
        <v>172.4</v>
      </c>
      <c r="E14">
        <v>178.8</v>
      </c>
      <c r="F14">
        <v>168.7</v>
      </c>
      <c r="G14">
        <v>179.2</v>
      </c>
      <c r="H14">
        <v>179.9</v>
      </c>
      <c r="I14">
        <v>207.8</v>
      </c>
      <c r="J14">
        <v>174.7</v>
      </c>
      <c r="K14">
        <v>165.5</v>
      </c>
      <c r="L14">
        <v>123.1</v>
      </c>
      <c r="M14">
        <v>182.1</v>
      </c>
      <c r="N14">
        <v>197</v>
      </c>
    </row>
    <row r="15" spans="1:14" x14ac:dyDescent="0.3">
      <c r="A15" s="5" t="s">
        <v>221</v>
      </c>
      <c r="B15">
        <v>174.7</v>
      </c>
      <c r="C15">
        <v>219.4</v>
      </c>
      <c r="D15">
        <v>176.7</v>
      </c>
      <c r="E15">
        <v>179.4</v>
      </c>
      <c r="F15">
        <v>164.4</v>
      </c>
      <c r="G15">
        <v>175.8</v>
      </c>
      <c r="H15">
        <v>185</v>
      </c>
      <c r="I15">
        <v>211.9</v>
      </c>
      <c r="J15">
        <v>176.9</v>
      </c>
      <c r="K15">
        <v>165.9</v>
      </c>
      <c r="L15">
        <v>124.2</v>
      </c>
      <c r="M15">
        <v>183.1</v>
      </c>
      <c r="N15">
        <v>197.7</v>
      </c>
    </row>
    <row r="16" spans="1:14" x14ac:dyDescent="0.3">
      <c r="A16" s="5" t="s">
        <v>67</v>
      </c>
      <c r="B16">
        <v>168.41666666666666</v>
      </c>
      <c r="C16">
        <v>214.91666666666666</v>
      </c>
      <c r="D16">
        <v>178.20000000000002</v>
      </c>
      <c r="E16">
        <v>173.20000000000002</v>
      </c>
      <c r="F16">
        <v>177.29166666666666</v>
      </c>
      <c r="G16">
        <v>170.47499999999999</v>
      </c>
      <c r="H16">
        <v>196.54999999999998</v>
      </c>
      <c r="I16">
        <v>198.53333333333333</v>
      </c>
      <c r="J16">
        <v>170.29166666666669</v>
      </c>
      <c r="K16">
        <v>162.65833333333336</v>
      </c>
      <c r="L16">
        <v>122.65833333333335</v>
      </c>
      <c r="M16">
        <v>2170.2999999999997</v>
      </c>
      <c r="N16">
        <v>192.72499999999999</v>
      </c>
    </row>
    <row r="20" spans="1:15" x14ac:dyDescent="0.3">
      <c r="A20" t="s">
        <v>66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  <c r="G20" t="s">
        <v>73</v>
      </c>
      <c r="H20" t="s">
        <v>74</v>
      </c>
      <c r="I20" t="s">
        <v>77</v>
      </c>
      <c r="J20" t="s">
        <v>75</v>
      </c>
      <c r="K20" t="s">
        <v>78</v>
      </c>
      <c r="L20" t="s">
        <v>76</v>
      </c>
      <c r="M20" t="s">
        <v>80</v>
      </c>
      <c r="N20" t="s">
        <v>79</v>
      </c>
      <c r="O20" t="s">
        <v>238</v>
      </c>
    </row>
    <row r="21" spans="1:15" x14ac:dyDescent="0.3">
      <c r="A21" s="5" t="s">
        <v>210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  <c r="N21" t="s">
        <v>48</v>
      </c>
      <c r="O21" s="8"/>
    </row>
    <row r="22" spans="1:15" x14ac:dyDescent="0.3">
      <c r="A22" s="5" t="s">
        <v>211</v>
      </c>
      <c r="B22" s="8">
        <f>(B5-B4)/B4</f>
        <v>1.1428571428571501E-2</v>
      </c>
      <c r="C22" s="8">
        <f t="shared" ref="C22:N22" si="0">(C5-C4)/C4</f>
        <v>-2.8200537153088682E-2</v>
      </c>
      <c r="D22" s="8">
        <f t="shared" si="0"/>
        <v>2.1990740740740641E-2</v>
      </c>
      <c r="E22" s="8">
        <f t="shared" si="0"/>
        <v>4.2067307692307005E-3</v>
      </c>
      <c r="F22" s="8">
        <f t="shared" si="0"/>
        <v>-2.014846235418867E-2</v>
      </c>
      <c r="G22" s="8">
        <f t="shared" si="0"/>
        <v>3.1016657093624389E-2</v>
      </c>
      <c r="H22" s="8">
        <f t="shared" si="0"/>
        <v>-1.4184397163120567E-2</v>
      </c>
      <c r="I22" s="8">
        <f t="shared" si="0"/>
        <v>1.5258855585831125E-2</v>
      </c>
      <c r="J22" s="8">
        <f t="shared" si="0"/>
        <v>2.4449877750611594E-3</v>
      </c>
      <c r="K22" s="8">
        <f t="shared" si="0"/>
        <v>4.3997485857952051E-3</v>
      </c>
      <c r="L22" s="8">
        <f t="shared" si="0"/>
        <v>8.2372322899501083E-4</v>
      </c>
      <c r="M22" s="8">
        <f t="shared" si="0"/>
        <v>5.5772448410482047E-4</v>
      </c>
      <c r="N22" s="8">
        <f t="shared" si="0"/>
        <v>7.514761137949421E-3</v>
      </c>
      <c r="O22" s="8"/>
    </row>
    <row r="23" spans="1:15" x14ac:dyDescent="0.3">
      <c r="A23" s="5" t="s">
        <v>212</v>
      </c>
      <c r="B23" s="8">
        <f t="shared" ref="B23:N23" si="1">(B6-B5)/B5</f>
        <v>1.7576898932831028E-2</v>
      </c>
      <c r="C23" s="8">
        <f t="shared" si="1"/>
        <v>-2.8558268079226113E-2</v>
      </c>
      <c r="D23" s="8">
        <f t="shared" si="1"/>
        <v>-3.3975084937712348E-2</v>
      </c>
      <c r="E23" s="8">
        <f t="shared" si="1"/>
        <v>7.7797725912627852E-3</v>
      </c>
      <c r="F23" s="8">
        <f t="shared" si="1"/>
        <v>-1.2445887445887507E-2</v>
      </c>
      <c r="G23" s="8">
        <f t="shared" si="1"/>
        <v>-1.3370473537604488E-2</v>
      </c>
      <c r="H23" s="8">
        <f t="shared" si="1"/>
        <v>2.206235011990405E-2</v>
      </c>
      <c r="I23" s="8">
        <f t="shared" si="1"/>
        <v>1.8250134192163054E-2</v>
      </c>
      <c r="J23" s="8">
        <f t="shared" si="1"/>
        <v>2.0121951219512265E-2</v>
      </c>
      <c r="K23" s="8">
        <f t="shared" si="1"/>
        <v>4.3804755944930451E-3</v>
      </c>
      <c r="L23" s="8">
        <f t="shared" si="1"/>
        <v>5.7613168724280073E-3</v>
      </c>
      <c r="M23" s="8">
        <f t="shared" si="1"/>
        <v>5.5741360089186171E-3</v>
      </c>
      <c r="N23" s="8">
        <f t="shared" si="1"/>
        <v>6.3931806073522493E-3</v>
      </c>
      <c r="O23" s="8"/>
    </row>
    <row r="24" spans="1:15" x14ac:dyDescent="0.3">
      <c r="A24" s="5" t="s">
        <v>213</v>
      </c>
      <c r="B24" s="8">
        <f t="shared" ref="B24:N24" si="2">(B7-B6)/B6</f>
        <v>1.7273288093769348E-2</v>
      </c>
      <c r="C24" s="8">
        <f t="shared" si="2"/>
        <v>1.3276434329065827E-2</v>
      </c>
      <c r="D24" s="8">
        <f t="shared" si="2"/>
        <v>1.7584994138335954E-3</v>
      </c>
      <c r="E24" s="8">
        <f t="shared" si="2"/>
        <v>1.0095011876484494E-2</v>
      </c>
      <c r="F24" s="8">
        <f t="shared" si="2"/>
        <v>-1.7534246575342402E-2</v>
      </c>
      <c r="G24" s="8">
        <f t="shared" si="2"/>
        <v>-5.4206662902315045E-2</v>
      </c>
      <c r="H24" s="8">
        <f t="shared" si="2"/>
        <v>3.6133270764899188E-2</v>
      </c>
      <c r="I24" s="8">
        <f t="shared" si="2"/>
        <v>2.0558777016341623E-2</v>
      </c>
      <c r="J24" s="8">
        <f t="shared" si="2"/>
        <v>1.1356843992827119E-2</v>
      </c>
      <c r="K24" s="8">
        <f t="shared" si="2"/>
        <v>3.7383177570093104E-3</v>
      </c>
      <c r="L24" s="8">
        <f t="shared" si="2"/>
        <v>7.3649754500817628E-3</v>
      </c>
      <c r="M24" s="8">
        <f t="shared" si="2"/>
        <v>7.7605321507760849E-3</v>
      </c>
      <c r="N24" s="8">
        <f t="shared" si="2"/>
        <v>7.9407093700370572E-3</v>
      </c>
      <c r="O24" s="8"/>
    </row>
    <row r="25" spans="1:15" x14ac:dyDescent="0.3">
      <c r="A25" s="5" t="s">
        <v>214</v>
      </c>
      <c r="B25" s="8">
        <f t="shared" ref="B25:N25" si="3">(B8-B7)/B7</f>
        <v>9.0964220739842318E-3</v>
      </c>
      <c r="C25" s="8">
        <f t="shared" si="3"/>
        <v>5.6153486195602113E-3</v>
      </c>
      <c r="D25" s="8">
        <f t="shared" si="3"/>
        <v>5.8513750731421883E-3</v>
      </c>
      <c r="E25" s="8">
        <f t="shared" si="3"/>
        <v>5.2910052910053245E-3</v>
      </c>
      <c r="F25" s="8">
        <f t="shared" si="3"/>
        <v>-8.9235917456777607E-3</v>
      </c>
      <c r="G25" s="8">
        <f t="shared" si="3"/>
        <v>-1.0746268656716487E-2</v>
      </c>
      <c r="H25" s="8">
        <f t="shared" si="3"/>
        <v>3.532608695652166E-2</v>
      </c>
      <c r="I25" s="8">
        <f t="shared" si="3"/>
        <v>1.4462809917355431E-2</v>
      </c>
      <c r="J25" s="8">
        <f t="shared" si="3"/>
        <v>4.1371158392436002E-3</v>
      </c>
      <c r="K25" s="8">
        <f t="shared" si="3"/>
        <v>3.1036623215394167E-3</v>
      </c>
      <c r="L25" s="8">
        <f t="shared" si="3"/>
        <v>2.4370430544273874E-3</v>
      </c>
      <c r="M25" s="8">
        <f t="shared" si="3"/>
        <v>8.2508250825082501E-3</v>
      </c>
      <c r="N25" s="8">
        <f t="shared" si="3"/>
        <v>5.7773109243697178E-3</v>
      </c>
      <c r="O25" s="8"/>
    </row>
    <row r="26" spans="1:15" x14ac:dyDescent="0.3">
      <c r="A26" s="5" t="s">
        <v>215</v>
      </c>
      <c r="B26" s="8">
        <f t="shared" ref="B26:N26" si="4">(B9-B8)/B8</f>
        <v>1.2019230769230768E-2</v>
      </c>
      <c r="C26" s="8">
        <f t="shared" si="4"/>
        <v>-6.9799906933457421E-3</v>
      </c>
      <c r="D26" s="8">
        <f t="shared" si="4"/>
        <v>6.5735892961023751E-2</v>
      </c>
      <c r="E26" s="8">
        <f t="shared" si="4"/>
        <v>7.6023391812866164E-3</v>
      </c>
      <c r="F26" s="8">
        <f t="shared" si="4"/>
        <v>1.2943162633652288E-2</v>
      </c>
      <c r="G26" s="8">
        <f t="shared" si="4"/>
        <v>-1.8708509354254645E-2</v>
      </c>
      <c r="H26" s="8">
        <f t="shared" si="4"/>
        <v>-0.10104986876640418</v>
      </c>
      <c r="I26" s="8">
        <f t="shared" si="4"/>
        <v>1.2219959266802473E-2</v>
      </c>
      <c r="J26" s="8">
        <f t="shared" si="4"/>
        <v>6.4743967039434629E-3</v>
      </c>
      <c r="K26" s="8">
        <f t="shared" si="4"/>
        <v>3.0940594059405942E-3</v>
      </c>
      <c r="L26" s="8">
        <f t="shared" si="4"/>
        <v>0</v>
      </c>
      <c r="M26" s="8">
        <f t="shared" si="4"/>
        <v>-1.0911074740861974E-2</v>
      </c>
      <c r="N26" s="8">
        <f t="shared" si="4"/>
        <v>4.6997389033942858E-3</v>
      </c>
      <c r="O26" s="8"/>
    </row>
    <row r="27" spans="1:15" x14ac:dyDescent="0.3">
      <c r="A27" s="5" t="s">
        <v>216</v>
      </c>
      <c r="B27" s="8">
        <f t="shared" ref="B27:N27" si="5">(B10-B9)/B9</f>
        <v>1.0688836104512963E-2</v>
      </c>
      <c r="C27" s="8">
        <f t="shared" si="5"/>
        <v>-2.3430178069353325E-3</v>
      </c>
      <c r="D27" s="8">
        <f t="shared" si="5"/>
        <v>4.7489082969432411E-2</v>
      </c>
      <c r="E27" s="8">
        <f t="shared" si="5"/>
        <v>9.286128845037692E-3</v>
      </c>
      <c r="F27" s="8">
        <f t="shared" si="5"/>
        <v>-5.0000000000000313E-3</v>
      </c>
      <c r="G27" s="8">
        <f t="shared" si="5"/>
        <v>-1.9065190651906486E-2</v>
      </c>
      <c r="H27" s="8">
        <f t="shared" si="5"/>
        <v>-0.1304136253041363</v>
      </c>
      <c r="I27" s="8">
        <f t="shared" si="5"/>
        <v>8.5513078470824365E-3</v>
      </c>
      <c r="J27" s="8">
        <f t="shared" si="5"/>
        <v>1.7543859649123471E-3</v>
      </c>
      <c r="K27" s="8">
        <f t="shared" si="5"/>
        <v>4.3183220234424245E-3</v>
      </c>
      <c r="L27" s="8">
        <f t="shared" si="5"/>
        <v>-2.4311183144247275E-3</v>
      </c>
      <c r="M27" s="8">
        <f t="shared" si="5"/>
        <v>-1.4892443463872128E-2</v>
      </c>
      <c r="N27" s="8">
        <f t="shared" si="5"/>
        <v>4.6777546777547075E-3</v>
      </c>
      <c r="O27" s="8"/>
    </row>
    <row r="28" spans="1:15" x14ac:dyDescent="0.3">
      <c r="A28" s="5" t="s">
        <v>217</v>
      </c>
      <c r="B28" s="8">
        <f t="shared" ref="B28:N28" si="6">(B11-B10)/B10</f>
        <v>1.821386603995313E-2</v>
      </c>
      <c r="C28" s="8">
        <f t="shared" si="6"/>
        <v>1.0803193987787613E-2</v>
      </c>
      <c r="D28" s="8">
        <f t="shared" si="6"/>
        <v>2.6576341844710756E-2</v>
      </c>
      <c r="E28" s="8">
        <f t="shared" si="6"/>
        <v>7.4755606670499301E-3</v>
      </c>
      <c r="F28" s="8">
        <f t="shared" si="6"/>
        <v>-6.1418202121719398E-3</v>
      </c>
      <c r="G28" s="8">
        <f t="shared" si="6"/>
        <v>6.269592476489028E-3</v>
      </c>
      <c r="H28" s="8">
        <f t="shared" si="6"/>
        <v>-1.9026301063234344E-2</v>
      </c>
      <c r="I28" s="8">
        <f t="shared" si="6"/>
        <v>1.8952618453865394E-2</v>
      </c>
      <c r="J28" s="8">
        <f t="shared" si="6"/>
        <v>-5.837711617047445E-4</v>
      </c>
      <c r="K28" s="8">
        <f t="shared" si="6"/>
        <v>5.5282555282553884E-3</v>
      </c>
      <c r="L28" s="8">
        <f t="shared" si="6"/>
        <v>-3.2493907392363241E-3</v>
      </c>
      <c r="M28" s="8">
        <f t="shared" si="6"/>
        <v>5.0391937290033915E-3</v>
      </c>
      <c r="N28" s="8">
        <f t="shared" si="6"/>
        <v>5.1733057423693739E-3</v>
      </c>
      <c r="O28" s="8"/>
    </row>
    <row r="29" spans="1:15" x14ac:dyDescent="0.3">
      <c r="A29" s="5" t="s">
        <v>218</v>
      </c>
      <c r="B29" s="8">
        <f t="shared" ref="B29:N29" si="7">(B12-B11)/B11</f>
        <v>8.078476630121045E-3</v>
      </c>
      <c r="C29" s="8">
        <f t="shared" si="7"/>
        <v>-1.3940520446096656E-2</v>
      </c>
      <c r="D29" s="8">
        <f t="shared" si="7"/>
        <v>-0.10050761421319802</v>
      </c>
      <c r="E29" s="8">
        <f t="shared" si="7"/>
        <v>1.5410958904109687E-2</v>
      </c>
      <c r="F29" s="8">
        <f t="shared" si="7"/>
        <v>-3.2584269662921411E-2</v>
      </c>
      <c r="G29" s="8">
        <f t="shared" si="7"/>
        <v>7.2274143302180655E-2</v>
      </c>
      <c r="H29" s="8">
        <f t="shared" si="7"/>
        <v>2.8522532800912721E-3</v>
      </c>
      <c r="I29" s="8">
        <f t="shared" si="7"/>
        <v>2.4473813020068525E-3</v>
      </c>
      <c r="J29" s="8">
        <f t="shared" si="7"/>
        <v>5.8411214953271035E-3</v>
      </c>
      <c r="K29" s="8">
        <f t="shared" si="7"/>
        <v>7.3304825901039528E-3</v>
      </c>
      <c r="L29" s="8">
        <f t="shared" si="7"/>
        <v>-6.5199674001629754E-3</v>
      </c>
      <c r="M29" s="8">
        <f t="shared" si="7"/>
        <v>6.6852367688021649E-3</v>
      </c>
      <c r="N29" s="8">
        <f t="shared" si="7"/>
        <v>1.1837364899639644E-2</v>
      </c>
      <c r="O29" s="8"/>
    </row>
    <row r="30" spans="1:15" x14ac:dyDescent="0.3">
      <c r="A30" s="5" t="s">
        <v>219</v>
      </c>
      <c r="B30" s="8">
        <f t="shared" ref="B30:N30" si="8">(B13-B12)/B12</f>
        <v>0</v>
      </c>
      <c r="C30" s="8">
        <f t="shared" si="8"/>
        <v>0</v>
      </c>
      <c r="D30" s="8">
        <f t="shared" si="8"/>
        <v>0</v>
      </c>
      <c r="E30" s="8">
        <f t="shared" si="8"/>
        <v>0</v>
      </c>
      <c r="F30" s="8">
        <f t="shared" si="8"/>
        <v>0</v>
      </c>
      <c r="G30" s="8">
        <f t="shared" si="8"/>
        <v>0</v>
      </c>
      <c r="H30" s="8">
        <f t="shared" si="8"/>
        <v>5.6882821387937608E-4</v>
      </c>
      <c r="I30" s="8">
        <f t="shared" si="8"/>
        <v>0</v>
      </c>
      <c r="J30" s="8">
        <f t="shared" si="8"/>
        <v>0</v>
      </c>
      <c r="K30" s="8">
        <f t="shared" si="8"/>
        <v>0</v>
      </c>
      <c r="L30" s="8">
        <f t="shared" si="8"/>
        <v>0</v>
      </c>
      <c r="M30" s="8">
        <f t="shared" si="8"/>
        <v>5.5340343110139867E-4</v>
      </c>
      <c r="N30" s="8">
        <f t="shared" si="8"/>
        <v>0</v>
      </c>
      <c r="O30" s="8"/>
    </row>
    <row r="31" spans="1:15" x14ac:dyDescent="0.3">
      <c r="A31" s="5" t="s">
        <v>220</v>
      </c>
      <c r="B31" s="8">
        <f t="shared" ref="B31:N31" si="9">(B14-B13)/B13</f>
        <v>5.7240984544947189E-4</v>
      </c>
      <c r="C31" s="8">
        <f t="shared" si="9"/>
        <v>7.068803016022621E-3</v>
      </c>
      <c r="D31" s="8">
        <f t="shared" si="9"/>
        <v>-2.7088036117381396E-2</v>
      </c>
      <c r="E31" s="8">
        <f t="shared" si="9"/>
        <v>5.0590219224283623E-3</v>
      </c>
      <c r="F31" s="8">
        <f t="shared" si="9"/>
        <v>-2.0325203252032523E-2</v>
      </c>
      <c r="G31" s="8">
        <f t="shared" si="9"/>
        <v>4.1255084253341047E-2</v>
      </c>
      <c r="H31" s="8">
        <f t="shared" si="9"/>
        <v>2.2740193291642979E-2</v>
      </c>
      <c r="I31" s="8">
        <f t="shared" si="9"/>
        <v>1.46484375E-2</v>
      </c>
      <c r="J31" s="8">
        <f t="shared" si="9"/>
        <v>1.4518002322880372E-2</v>
      </c>
      <c r="K31" s="8">
        <f t="shared" si="9"/>
        <v>3.6385688295936585E-3</v>
      </c>
      <c r="L31" s="8">
        <f t="shared" si="9"/>
        <v>9.8441345365052387E-3</v>
      </c>
      <c r="M31" s="8">
        <f t="shared" si="9"/>
        <v>7.1902654867255691E-3</v>
      </c>
      <c r="N31" s="8">
        <f t="shared" si="9"/>
        <v>2.034587995930853E-3</v>
      </c>
      <c r="O31" s="8"/>
    </row>
    <row r="32" spans="1:15" x14ac:dyDescent="0.3">
      <c r="A32" s="5" t="s">
        <v>221</v>
      </c>
      <c r="B32" s="8">
        <f t="shared" ref="B32:N32" si="10">(B15-B14)/B14</f>
        <v>-5.7208237986283023E-4</v>
      </c>
      <c r="C32" s="8">
        <f t="shared" si="10"/>
        <v>2.6672905942910705E-2</v>
      </c>
      <c r="D32" s="8">
        <f t="shared" si="10"/>
        <v>2.4941995359628672E-2</v>
      </c>
      <c r="E32" s="8">
        <f t="shared" si="10"/>
        <v>3.355704697986545E-3</v>
      </c>
      <c r="F32" s="8">
        <f t="shared" si="10"/>
        <v>-2.5489033787788874E-2</v>
      </c>
      <c r="G32" s="8">
        <f t="shared" si="10"/>
        <v>-1.8973214285714159E-2</v>
      </c>
      <c r="H32" s="8">
        <f t="shared" si="10"/>
        <v>2.8349082823790964E-2</v>
      </c>
      <c r="I32" s="8">
        <f t="shared" si="10"/>
        <v>1.9730510105871003E-2</v>
      </c>
      <c r="J32" s="8">
        <f t="shared" si="10"/>
        <v>1.2593016599885617E-2</v>
      </c>
      <c r="K32" s="8">
        <f t="shared" si="10"/>
        <v>2.4169184290030554E-3</v>
      </c>
      <c r="L32" s="8">
        <f t="shared" si="10"/>
        <v>8.9358245329001513E-3</v>
      </c>
      <c r="M32" s="8">
        <f t="shared" si="10"/>
        <v>5.4914881933003845E-3</v>
      </c>
      <c r="N32" s="8">
        <f t="shared" si="10"/>
        <v>3.5532994923857292E-3</v>
      </c>
      <c r="O32" s="8"/>
    </row>
    <row r="33" spans="1:14" x14ac:dyDescent="0.3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5" spans="1:14" x14ac:dyDescent="0.3">
      <c r="A35" s="10" t="s">
        <v>66</v>
      </c>
      <c r="B35" s="11" t="s">
        <v>16629</v>
      </c>
    </row>
    <row r="36" spans="1:14" x14ac:dyDescent="0.3">
      <c r="A36" s="19" t="s">
        <v>210</v>
      </c>
      <c r="B36" s="17" t="s">
        <v>48</v>
      </c>
      <c r="F36" t="s">
        <v>16630</v>
      </c>
    </row>
    <row r="37" spans="1:14" x14ac:dyDescent="0.3">
      <c r="A37" s="20" t="s">
        <v>211</v>
      </c>
      <c r="B37" s="18">
        <f>AVERAGE(B22,C22:O22)</f>
        <v>2.8545464738081584E-3</v>
      </c>
      <c r="F37" t="s">
        <v>16631</v>
      </c>
    </row>
    <row r="38" spans="1:14" x14ac:dyDescent="0.3">
      <c r="A38" s="19" t="s">
        <v>212</v>
      </c>
      <c r="B38" s="18">
        <f t="shared" ref="B38:B47" si="11">AVERAGE(B23,C23:O23)</f>
        <v>1.5038847798795889E-3</v>
      </c>
    </row>
    <row r="39" spans="1:14" x14ac:dyDescent="0.3">
      <c r="A39" s="20" t="s">
        <v>213</v>
      </c>
      <c r="B39" s="18">
        <f t="shared" si="11"/>
        <v>5.0396731336513814E-3</v>
      </c>
    </row>
    <row r="40" spans="1:14" x14ac:dyDescent="0.3">
      <c r="A40" s="19" t="s">
        <v>214</v>
      </c>
      <c r="B40" s="18">
        <f t="shared" si="11"/>
        <v>6.1291649808663988E-3</v>
      </c>
    </row>
    <row r="41" spans="1:14" x14ac:dyDescent="0.3">
      <c r="A41" s="20" t="s">
        <v>215</v>
      </c>
      <c r="B41" s="18">
        <f t="shared" si="11"/>
        <v>-9.8928182535325498E-4</v>
      </c>
    </row>
    <row r="42" spans="1:14" x14ac:dyDescent="0.3">
      <c r="A42" s="19" t="s">
        <v>216</v>
      </c>
      <c r="B42" s="18">
        <f t="shared" si="11"/>
        <v>-6.7215059314692325E-3</v>
      </c>
    </row>
    <row r="43" spans="1:14" x14ac:dyDescent="0.3">
      <c r="A43" s="20" t="s">
        <v>217</v>
      </c>
      <c r="B43" s="18">
        <f t="shared" si="11"/>
        <v>5.7715880994720515E-3</v>
      </c>
    </row>
    <row r="44" spans="1:14" x14ac:dyDescent="0.3">
      <c r="A44" s="19" t="s">
        <v>218</v>
      </c>
      <c r="B44" s="18">
        <f t="shared" si="11"/>
        <v>-1.5996117346151301E-3</v>
      </c>
    </row>
    <row r="45" spans="1:14" x14ac:dyDescent="0.3">
      <c r="A45" s="20" t="s">
        <v>219</v>
      </c>
      <c r="B45" s="18">
        <f t="shared" si="11"/>
        <v>8.6325511152367284E-5</v>
      </c>
    </row>
    <row r="46" spans="1:14" x14ac:dyDescent="0.3">
      <c r="A46" s="19" t="s">
        <v>220</v>
      </c>
      <c r="B46" s="18">
        <f t="shared" si="11"/>
        <v>6.242789971623558E-3</v>
      </c>
    </row>
    <row r="47" spans="1:14" x14ac:dyDescent="0.3">
      <c r="A47" s="20" t="s">
        <v>221</v>
      </c>
      <c r="B47" s="18">
        <f t="shared" si="11"/>
        <v>7.0004935172536115E-3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1132-4DBA-4D6E-ABCB-8CC076BC7BC1}">
  <dimension ref="A1:S31"/>
  <sheetViews>
    <sheetView tabSelected="1" topLeftCell="A23" zoomScale="97" workbookViewId="0">
      <selection activeCell="E2" sqref="E2"/>
    </sheetView>
  </sheetViews>
  <sheetFormatPr defaultRowHeight="14.4" x14ac:dyDescent="0.3"/>
  <cols>
    <col min="1" max="1" width="13.109375" bestFit="1" customWidth="1"/>
    <col min="2" max="2" width="28.88671875" bestFit="1" customWidth="1"/>
    <col min="3" max="3" width="36.88671875" bestFit="1" customWidth="1"/>
    <col min="4" max="4" width="16.6640625" bestFit="1" customWidth="1"/>
    <col min="5" max="5" width="23.109375" bestFit="1" customWidth="1"/>
    <col min="6" max="6" width="37.77734375" bestFit="1" customWidth="1"/>
    <col min="7" max="7" width="38.21875" bestFit="1" customWidth="1"/>
    <col min="8" max="8" width="35.6640625" bestFit="1" customWidth="1"/>
    <col min="9" max="9" width="19.88671875" bestFit="1" customWidth="1"/>
    <col min="10" max="19" width="35.6640625" bestFit="1" customWidth="1"/>
  </cols>
  <sheetData>
    <row r="1" spans="1:19" x14ac:dyDescent="0.3">
      <c r="A1" s="4" t="s">
        <v>0</v>
      </c>
      <c r="B1" t="s">
        <v>30</v>
      </c>
    </row>
    <row r="3" spans="1:19" x14ac:dyDescent="0.3">
      <c r="A3" s="4" t="s">
        <v>66</v>
      </c>
      <c r="B3" t="s">
        <v>80</v>
      </c>
      <c r="C3" t="s">
        <v>81</v>
      </c>
      <c r="D3" t="s">
        <v>88</v>
      </c>
      <c r="E3" t="s">
        <v>85</v>
      </c>
      <c r="F3" t="s">
        <v>87</v>
      </c>
      <c r="G3" t="s">
        <v>89</v>
      </c>
      <c r="H3" t="s">
        <v>90</v>
      </c>
      <c r="I3" t="s">
        <v>91</v>
      </c>
    </row>
    <row r="4" spans="1:19" x14ac:dyDescent="0.3">
      <c r="A4" s="5" t="s">
        <v>180</v>
      </c>
      <c r="B4">
        <v>154.30000000000001</v>
      </c>
      <c r="C4">
        <v>167.8</v>
      </c>
      <c r="D4">
        <v>154.80000000000001</v>
      </c>
      <c r="E4">
        <v>149.9</v>
      </c>
      <c r="F4">
        <v>151.19999999999999</v>
      </c>
      <c r="G4">
        <v>135</v>
      </c>
      <c r="H4">
        <v>149.5</v>
      </c>
      <c r="I4">
        <v>161.1</v>
      </c>
    </row>
    <row r="5" spans="1:19" x14ac:dyDescent="0.3">
      <c r="A5" s="5" t="s">
        <v>181</v>
      </c>
      <c r="B5">
        <v>153</v>
      </c>
      <c r="C5">
        <v>168.6</v>
      </c>
      <c r="D5">
        <v>155.69999999999999</v>
      </c>
      <c r="E5">
        <v>150.4</v>
      </c>
      <c r="F5">
        <v>151.69999999999999</v>
      </c>
      <c r="G5">
        <v>136.30000000000001</v>
      </c>
      <c r="H5">
        <v>150.1</v>
      </c>
      <c r="I5">
        <v>161.69999999999999</v>
      </c>
    </row>
    <row r="6" spans="1:19" x14ac:dyDescent="0.3">
      <c r="A6" s="5" t="s">
        <v>182</v>
      </c>
      <c r="B6">
        <v>149.80000000000001</v>
      </c>
      <c r="C6">
        <v>169.4</v>
      </c>
      <c r="D6">
        <v>156.19999999999999</v>
      </c>
      <c r="E6">
        <v>152.30000000000001</v>
      </c>
      <c r="F6">
        <v>151.80000000000001</v>
      </c>
      <c r="G6">
        <v>136</v>
      </c>
      <c r="H6">
        <v>150.4</v>
      </c>
      <c r="I6">
        <v>161.9</v>
      </c>
    </row>
    <row r="7" spans="1:19" x14ac:dyDescent="0.3">
      <c r="A7" s="5" t="s">
        <v>183</v>
      </c>
      <c r="B7">
        <v>148.19999999999999</v>
      </c>
      <c r="C7">
        <v>170.5</v>
      </c>
      <c r="D7">
        <v>156.69999999999999</v>
      </c>
      <c r="E7">
        <v>153.4</v>
      </c>
      <c r="F7">
        <v>151.5</v>
      </c>
      <c r="G7">
        <v>135.80000000000001</v>
      </c>
      <c r="H7">
        <v>151.19999999999999</v>
      </c>
      <c r="I7">
        <v>161.19999999999999</v>
      </c>
    </row>
    <row r="8" spans="1:19" x14ac:dyDescent="0.3">
      <c r="A8" s="5" t="s">
        <v>184</v>
      </c>
      <c r="B8">
        <v>150.1</v>
      </c>
      <c r="C8">
        <v>155.38</v>
      </c>
      <c r="D8">
        <v>154.30000000000001</v>
      </c>
      <c r="E8">
        <v>148.4</v>
      </c>
      <c r="F8">
        <v>136.69</v>
      </c>
      <c r="G8">
        <v>121.17</v>
      </c>
      <c r="H8">
        <v>133.88999999999999</v>
      </c>
      <c r="I8">
        <v>141.13</v>
      </c>
    </row>
    <row r="9" spans="1:19" x14ac:dyDescent="0.3">
      <c r="A9" s="5" t="s">
        <v>185</v>
      </c>
      <c r="B9">
        <v>142.51</v>
      </c>
      <c r="C9">
        <v>155.38</v>
      </c>
      <c r="D9">
        <v>138.51</v>
      </c>
      <c r="E9">
        <v>136.51</v>
      </c>
      <c r="F9">
        <v>136.69</v>
      </c>
      <c r="G9">
        <v>121.17</v>
      </c>
      <c r="H9">
        <v>133.88999999999999</v>
      </c>
      <c r="I9">
        <v>141.13</v>
      </c>
    </row>
    <row r="10" spans="1:19" x14ac:dyDescent="0.3">
      <c r="A10" s="5" t="s">
        <v>67</v>
      </c>
      <c r="B10">
        <v>149.65166666666667</v>
      </c>
      <c r="C10">
        <v>164.51</v>
      </c>
      <c r="D10">
        <v>152.70166666666668</v>
      </c>
      <c r="E10">
        <v>148.48499999999999</v>
      </c>
      <c r="F10">
        <v>146.59666666666669</v>
      </c>
      <c r="G10">
        <v>130.90666666666667</v>
      </c>
      <c r="H10">
        <v>144.83000000000001</v>
      </c>
      <c r="I10">
        <v>154.6933333333333</v>
      </c>
    </row>
    <row r="12" spans="1:19" x14ac:dyDescent="0.3">
      <c r="A12" s="5"/>
    </row>
    <row r="14" spans="1:19" x14ac:dyDescent="0.3">
      <c r="A14" s="3" t="s">
        <v>223</v>
      </c>
      <c r="B14" s="3" t="s">
        <v>226</v>
      </c>
      <c r="C14" s="3" t="s">
        <v>16626</v>
      </c>
      <c r="D14" s="3" t="s">
        <v>227</v>
      </c>
      <c r="E14" s="3" t="s">
        <v>228</v>
      </c>
      <c r="F14" s="3" t="s">
        <v>229</v>
      </c>
      <c r="G14" s="3" t="s">
        <v>230</v>
      </c>
      <c r="H14" s="3" t="s">
        <v>231</v>
      </c>
      <c r="I14" s="3" t="s">
        <v>16625</v>
      </c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3">
      <c r="A15" s="6" t="s">
        <v>181</v>
      </c>
      <c r="B15" s="8">
        <f t="shared" ref="B15:I16" si="0">(B5-B4)/B4</f>
        <v>-8.4251458198315709E-3</v>
      </c>
      <c r="C15" s="8">
        <f t="shared" si="0"/>
        <v>4.7675804529200413E-3</v>
      </c>
      <c r="D15" s="8">
        <f t="shared" si="0"/>
        <v>5.8139534883719455E-3</v>
      </c>
      <c r="E15" s="8">
        <f t="shared" si="0"/>
        <v>3.3355570380253501E-3</v>
      </c>
      <c r="F15" s="8">
        <f t="shared" si="0"/>
        <v>3.3068783068783071E-3</v>
      </c>
      <c r="G15" s="8">
        <f t="shared" si="0"/>
        <v>9.6296296296297136E-3</v>
      </c>
      <c r="H15" s="8">
        <f t="shared" si="0"/>
        <v>4.013377926421367E-3</v>
      </c>
      <c r="I15" s="8">
        <f t="shared" si="0"/>
        <v>3.7243947858472647E-3</v>
      </c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x14ac:dyDescent="0.3">
      <c r="A16" s="6" t="s">
        <v>182</v>
      </c>
      <c r="B16" s="8">
        <f t="shared" si="0"/>
        <v>-2.0915032679738488E-2</v>
      </c>
      <c r="C16" s="8">
        <f t="shared" si="0"/>
        <v>4.7449584816133539E-3</v>
      </c>
      <c r="D16" s="8">
        <f t="shared" si="0"/>
        <v>3.2113037893384717E-3</v>
      </c>
      <c r="E16" s="8">
        <f t="shared" si="0"/>
        <v>1.2632978723404293E-2</v>
      </c>
      <c r="F16" s="8">
        <f t="shared" si="0"/>
        <v>6.5919578114715055E-4</v>
      </c>
      <c r="G16" s="8">
        <f t="shared" si="0"/>
        <v>-2.2010271460015506E-3</v>
      </c>
      <c r="H16" s="8">
        <f t="shared" si="0"/>
        <v>1.9986675549634337E-3</v>
      </c>
      <c r="I16" s="8">
        <f t="shared" si="0"/>
        <v>1.236858379715628E-3</v>
      </c>
      <c r="J16" s="8"/>
      <c r="K16" s="8"/>
      <c r="L16" s="8"/>
      <c r="M16" s="8"/>
      <c r="N16" s="8"/>
      <c r="O16" s="8"/>
      <c r="P16" s="8"/>
      <c r="Q16" s="8"/>
      <c r="R16" s="8"/>
      <c r="S16" s="8"/>
    </row>
    <row r="19" spans="1:19" x14ac:dyDescent="0.3">
      <c r="A19" s="3" t="s">
        <v>224</v>
      </c>
      <c r="B19" s="3" t="s">
        <v>226</v>
      </c>
      <c r="C19" s="3" t="s">
        <v>16626</v>
      </c>
      <c r="D19" s="15" t="s">
        <v>227</v>
      </c>
      <c r="E19" s="15" t="s">
        <v>228</v>
      </c>
      <c r="F19" s="15" t="s">
        <v>229</v>
      </c>
      <c r="G19" s="15" t="s">
        <v>230</v>
      </c>
      <c r="H19" s="15" t="s">
        <v>231</v>
      </c>
      <c r="I19" s="15" t="s">
        <v>16625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">
      <c r="A20" s="6" t="s">
        <v>183</v>
      </c>
      <c r="B20" s="2">
        <f t="shared" ref="B20:I20" si="1">(B7-B6)/B6</f>
        <v>-1.068090787716971E-2</v>
      </c>
      <c r="C20" s="2">
        <f t="shared" si="1"/>
        <v>6.4935064935064601E-3</v>
      </c>
      <c r="D20" s="2">
        <f t="shared" si="1"/>
        <v>3.2010243277848915E-3</v>
      </c>
      <c r="E20" s="2">
        <f t="shared" si="1"/>
        <v>7.2225869993433637E-3</v>
      </c>
      <c r="F20" s="2">
        <f t="shared" si="1"/>
        <v>-1.976284584980312E-3</v>
      </c>
      <c r="G20" s="2">
        <f t="shared" si="1"/>
        <v>-1.4705882352940341E-3</v>
      </c>
      <c r="H20" s="2">
        <f t="shared" si="1"/>
        <v>5.319148936170099E-3</v>
      </c>
      <c r="I20" s="2">
        <f t="shared" si="1"/>
        <v>-4.3236565781347566E-3</v>
      </c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3">
      <c r="A21" s="6" t="s">
        <v>222</v>
      </c>
    </row>
    <row r="23" spans="1:19" x14ac:dyDescent="0.3">
      <c r="A23" s="3" t="s">
        <v>225</v>
      </c>
      <c r="B23" s="3" t="s">
        <v>226</v>
      </c>
      <c r="C23" s="3" t="s">
        <v>16626</v>
      </c>
      <c r="D23" s="15" t="s">
        <v>227</v>
      </c>
      <c r="E23" s="15" t="s">
        <v>228</v>
      </c>
      <c r="F23" s="15" t="s">
        <v>229</v>
      </c>
      <c r="G23" s="15" t="s">
        <v>230</v>
      </c>
      <c r="H23" s="15" t="s">
        <v>231</v>
      </c>
      <c r="I23" s="15" t="s">
        <v>16625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3">
      <c r="A24" s="6" t="s">
        <v>184</v>
      </c>
      <c r="B24" s="2">
        <f t="shared" ref="B24:I25" si="2">(B8-B7)/B7</f>
        <v>1.282051282051286E-2</v>
      </c>
      <c r="C24" s="2">
        <f t="shared" si="2"/>
        <v>-8.8680351906158389E-2</v>
      </c>
      <c r="D24" s="2">
        <f t="shared" si="2"/>
        <v>-1.5315890236119831E-2</v>
      </c>
      <c r="E24" s="2">
        <f t="shared" si="2"/>
        <v>-3.259452411994785E-2</v>
      </c>
      <c r="F24" s="2">
        <f t="shared" si="2"/>
        <v>-9.7755775577557769E-2</v>
      </c>
      <c r="G24" s="2">
        <f t="shared" si="2"/>
        <v>-0.10773195876288666</v>
      </c>
      <c r="H24" s="2">
        <f t="shared" si="2"/>
        <v>-0.11448412698412701</v>
      </c>
      <c r="I24" s="2">
        <f t="shared" si="2"/>
        <v>-0.12450372208436722</v>
      </c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3">
      <c r="A25" s="6" t="s">
        <v>185</v>
      </c>
      <c r="B25" s="2">
        <f t="shared" si="2"/>
        <v>-5.0566289140572977E-2</v>
      </c>
      <c r="C25" s="2">
        <f t="shared" si="2"/>
        <v>0</v>
      </c>
      <c r="D25" s="2">
        <f t="shared" si="2"/>
        <v>-0.10233311730395346</v>
      </c>
      <c r="E25" s="2">
        <f t="shared" si="2"/>
        <v>-8.0121293800539187E-2</v>
      </c>
      <c r="F25" s="2">
        <f t="shared" si="2"/>
        <v>0</v>
      </c>
      <c r="G25" s="2">
        <f t="shared" si="2"/>
        <v>0</v>
      </c>
      <c r="H25" s="2">
        <f t="shared" si="2"/>
        <v>0</v>
      </c>
      <c r="I25" s="2">
        <f t="shared" si="2"/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</row>
    <row r="28" spans="1:19" x14ac:dyDescent="0.3">
      <c r="A28" s="3" t="s">
        <v>232</v>
      </c>
      <c r="B28" s="3" t="s">
        <v>226</v>
      </c>
      <c r="C28" s="3" t="s">
        <v>16626</v>
      </c>
      <c r="D28" s="15" t="s">
        <v>227</v>
      </c>
      <c r="E28" s="15" t="s">
        <v>228</v>
      </c>
      <c r="F28" s="15" t="s">
        <v>229</v>
      </c>
      <c r="G28" s="15" t="s">
        <v>230</v>
      </c>
      <c r="H28" s="15" t="s">
        <v>231</v>
      </c>
      <c r="I28" s="15" t="s">
        <v>16625</v>
      </c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3">
      <c r="A29" s="6" t="s">
        <v>182</v>
      </c>
      <c r="B29" s="8">
        <v>-2.0915032679738488E-2</v>
      </c>
      <c r="C29" s="8">
        <v>4.7449584816133539E-3</v>
      </c>
      <c r="D29" s="8">
        <v>3.2113037893384717E-3</v>
      </c>
      <c r="E29" s="8">
        <v>1.2632978723404293E-2</v>
      </c>
      <c r="F29" s="8">
        <v>6.5919578114715055E-4</v>
      </c>
      <c r="G29" s="8">
        <v>-2.2010271460015506E-3</v>
      </c>
      <c r="H29" s="8">
        <v>1.9986675549634337E-3</v>
      </c>
      <c r="I29" s="8">
        <v>1.236858379715628E-3</v>
      </c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x14ac:dyDescent="0.3">
      <c r="A30" t="s">
        <v>183</v>
      </c>
      <c r="B30" s="2">
        <v>-1.068090787716971E-2</v>
      </c>
      <c r="C30" s="2">
        <v>6.4935064935064601E-3</v>
      </c>
      <c r="D30" s="2">
        <v>3.2010243277848915E-3</v>
      </c>
      <c r="E30" s="2">
        <v>7.2225869993433637E-3</v>
      </c>
      <c r="F30" s="2">
        <v>-1.9762845849803099E-3</v>
      </c>
      <c r="G30" s="2">
        <v>-1.4705882352940341E-3</v>
      </c>
      <c r="H30" s="2">
        <v>5.319148936170099E-3</v>
      </c>
      <c r="I30" s="2">
        <v>-4.3236565781347566E-3</v>
      </c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3">
      <c r="A31" t="s">
        <v>184</v>
      </c>
      <c r="B31" s="2">
        <v>1.282051282051286E-2</v>
      </c>
      <c r="C31" s="2">
        <v>-8.8680351906158389E-2</v>
      </c>
      <c r="D31" s="2">
        <v>-1.5315890236119831E-2</v>
      </c>
      <c r="E31" s="2">
        <v>-3.259452411994785E-2</v>
      </c>
      <c r="F31" s="2">
        <v>-9.7755775577557769E-2</v>
      </c>
      <c r="G31" s="2">
        <v>-0.10773195876288666</v>
      </c>
      <c r="H31" s="2">
        <v>-0.11448412698412701</v>
      </c>
      <c r="I31" s="2">
        <v>-0.12450372208436722</v>
      </c>
      <c r="J31" s="2"/>
      <c r="K31" s="2"/>
      <c r="L31" s="2"/>
      <c r="M31" s="2"/>
      <c r="N31" s="2"/>
      <c r="O31" s="2"/>
      <c r="P31" s="2"/>
      <c r="Q31" s="2"/>
      <c r="R31" s="2"/>
      <c r="S31" s="2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8870-60A6-452B-A233-A70DFB5E42C3}">
  <dimension ref="A1:AE290"/>
  <sheetViews>
    <sheetView showGridLines="0" topLeftCell="D218" workbookViewId="0">
      <selection activeCell="U218" sqref="U218"/>
    </sheetView>
  </sheetViews>
  <sheetFormatPr defaultRowHeight="14.4" x14ac:dyDescent="0.3"/>
  <cols>
    <col min="1" max="2" width="0" hidden="1" customWidth="1"/>
    <col min="7" max="7" width="13" customWidth="1"/>
    <col min="8" max="8" width="16.6640625" customWidth="1"/>
    <col min="30" max="30" width="14.33203125" bestFit="1" customWidth="1"/>
    <col min="31" max="31" width="14.5546875" bestFit="1" customWidth="1"/>
  </cols>
  <sheetData>
    <row r="1" spans="1:31" hidden="1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49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50</v>
      </c>
      <c r="AC1" t="s">
        <v>28</v>
      </c>
      <c r="AD1" t="s">
        <v>29</v>
      </c>
      <c r="AE1" t="s">
        <v>97</v>
      </c>
    </row>
    <row r="2" spans="1:31" hidden="1" x14ac:dyDescent="0.3">
      <c r="C2" t="s">
        <v>234</v>
      </c>
      <c r="D2">
        <f>CORREL($H$4:$H$215,D4:D215)</f>
        <v>-0.46393740377709125</v>
      </c>
      <c r="E2">
        <f t="shared" ref="E2:AD2" si="0">CORREL($H$4:$H$215,E4:E215)</f>
        <v>-0.37542238108542114</v>
      </c>
      <c r="F2">
        <f t="shared" si="0"/>
        <v>-0.29388586448409859</v>
      </c>
      <c r="G2">
        <f t="shared" si="0"/>
        <v>0.25828157245965572</v>
      </c>
      <c r="H2">
        <f t="shared" si="0"/>
        <v>1</v>
      </c>
      <c r="I2">
        <f t="shared" si="0"/>
        <v>-0.21576835257611815</v>
      </c>
      <c r="J2">
        <f t="shared" si="0"/>
        <v>-0.80934268711230273</v>
      </c>
      <c r="K2">
        <f t="shared" si="0"/>
        <v>0.45968030774829916</v>
      </c>
      <c r="L2">
        <f t="shared" si="0"/>
        <v>-0.42408068562180556</v>
      </c>
      <c r="M2">
        <f t="shared" si="0"/>
        <v>0.19750635443318415</v>
      </c>
      <c r="N2">
        <f t="shared" si="0"/>
        <v>0.95439711963998897</v>
      </c>
      <c r="O2">
        <f t="shared" si="0"/>
        <v>-1.1294925329771423E-2</v>
      </c>
      <c r="P2">
        <f t="shared" si="0"/>
        <v>-0.56510308631421358</v>
      </c>
      <c r="Q2">
        <f t="shared" si="0"/>
        <v>-0.71566822836525723</v>
      </c>
      <c r="R2">
        <f t="shared" si="0"/>
        <v>0.85548305801928382</v>
      </c>
      <c r="S2">
        <f t="shared" si="0"/>
        <v>0.94118815662351629</v>
      </c>
      <c r="T2">
        <f t="shared" si="0"/>
        <v>0.88329510777781461</v>
      </c>
      <c r="U2">
        <f t="shared" si="0"/>
        <v>-0.65266883209614401</v>
      </c>
      <c r="V2">
        <f t="shared" si="0"/>
        <v>0.66971007323246312</v>
      </c>
      <c r="W2">
        <f t="shared" si="0"/>
        <v>0.83504513428324512</v>
      </c>
      <c r="X2">
        <f t="shared" si="0"/>
        <v>0.84586947561768211</v>
      </c>
      <c r="Y2">
        <f t="shared" si="0"/>
        <v>0.81948667298195821</v>
      </c>
      <c r="Z2">
        <f t="shared" si="0"/>
        <v>0.77856733001545164</v>
      </c>
      <c r="AA2">
        <f t="shared" si="0"/>
        <v>0.7937319365149641</v>
      </c>
      <c r="AB2">
        <f t="shared" si="0"/>
        <v>0.33479830499724028</v>
      </c>
      <c r="AC2">
        <f t="shared" si="0"/>
        <v>0.8444593908368806</v>
      </c>
      <c r="AD2">
        <f t="shared" si="0"/>
        <v>0.67500586282989983</v>
      </c>
    </row>
    <row r="3" spans="1:31" hidden="1" x14ac:dyDescent="0.3">
      <c r="A3">
        <v>2017</v>
      </c>
      <c r="B3" t="s">
        <v>31</v>
      </c>
      <c r="C3" t="s">
        <v>30</v>
      </c>
      <c r="AE3" t="s">
        <v>146</v>
      </c>
    </row>
    <row r="4" spans="1:31" hidden="1" x14ac:dyDescent="0.3">
      <c r="A4">
        <v>2017</v>
      </c>
      <c r="B4" t="s">
        <v>31</v>
      </c>
      <c r="C4" t="s">
        <v>33</v>
      </c>
      <c r="D4">
        <v>-6.7618332081142429E-3</v>
      </c>
      <c r="E4">
        <v>7.9825834542815253E-3</v>
      </c>
      <c r="F4">
        <v>5.307050796057533E-3</v>
      </c>
      <c r="G4">
        <v>-2.6335040234089207E-2</v>
      </c>
      <c r="H4">
        <v>-6.5573770491803282E-2</v>
      </c>
      <c r="I4">
        <v>-4.7058823529411806E-2</v>
      </c>
      <c r="J4">
        <v>-9.1819699499164804E-3</v>
      </c>
      <c r="K4">
        <v>-4.0816326530612214E-2</v>
      </c>
      <c r="L4">
        <v>2.1777003484320559E-2</v>
      </c>
      <c r="M4">
        <v>5.8436815193571946E-2</v>
      </c>
      <c r="N4">
        <v>-4.4961240310077498E-2</v>
      </c>
      <c r="O4">
        <v>-1.5983321751216202E-2</v>
      </c>
      <c r="P4">
        <v>-1.271503365744195E-2</v>
      </c>
      <c r="Q4">
        <v>1.7470300489168415E-2</v>
      </c>
      <c r="R4">
        <v>-7.4626865671641798E-2</v>
      </c>
      <c r="S4">
        <v>-9.9410898379970636E-2</v>
      </c>
      <c r="T4">
        <v>-7.857142857142857E-2</v>
      </c>
      <c r="U4">
        <v>-6.936665230504091E-2</v>
      </c>
      <c r="V4">
        <v>-0.1067373202119606</v>
      </c>
      <c r="W4">
        <v>-6.0810810810810773E-2</v>
      </c>
      <c r="X4">
        <v>-5.6197074672825337E-2</v>
      </c>
      <c r="Y4">
        <v>-3.2745591939546528E-2</v>
      </c>
      <c r="Z4">
        <v>-3.937007874015748E-2</v>
      </c>
      <c r="AA4">
        <v>-1.6344725111441225E-2</v>
      </c>
      <c r="AB4">
        <v>-1.1447260834014648E-2</v>
      </c>
      <c r="AC4">
        <v>-3.5545023696682464E-2</v>
      </c>
      <c r="AD4">
        <v>-3.4743202416918494E-2</v>
      </c>
      <c r="AE4" t="s">
        <v>146</v>
      </c>
    </row>
    <row r="5" spans="1:31" hidden="1" x14ac:dyDescent="0.3">
      <c r="A5">
        <v>2017</v>
      </c>
      <c r="B5" t="s">
        <v>31</v>
      </c>
      <c r="C5" t="s">
        <v>34</v>
      </c>
      <c r="D5">
        <v>4.5385779122543331E-3</v>
      </c>
      <c r="E5">
        <v>-5.0395968322535425E-3</v>
      </c>
      <c r="F5">
        <v>-3.0165912518854126E-3</v>
      </c>
      <c r="G5">
        <v>1.7280240420736375E-2</v>
      </c>
      <c r="H5">
        <v>4.473684210526311E-2</v>
      </c>
      <c r="I5">
        <v>2.6234567901234612E-2</v>
      </c>
      <c r="J5">
        <v>5.897219882055626E-3</v>
      </c>
      <c r="K5">
        <v>2.8368794326241172E-2</v>
      </c>
      <c r="L5">
        <v>-1.449275362318843E-2</v>
      </c>
      <c r="M5">
        <v>-3.6576949620427956E-2</v>
      </c>
      <c r="N5">
        <v>2.7597402597402527E-2</v>
      </c>
      <c r="O5">
        <v>8.4745762711865621E-3</v>
      </c>
      <c r="P5">
        <v>8.3333333333332898E-3</v>
      </c>
      <c r="Q5">
        <v>-1.2362637362637246E-2</v>
      </c>
      <c r="R5">
        <v>4.9155145929339526E-2</v>
      </c>
      <c r="S5">
        <v>6.4595257563368702E-2</v>
      </c>
      <c r="T5">
        <v>5.1162790697674376E-2</v>
      </c>
      <c r="U5">
        <v>0</v>
      </c>
      <c r="V5">
        <v>7.4576271186440654E-2</v>
      </c>
      <c r="W5">
        <v>3.4372501998401368E-2</v>
      </c>
      <c r="X5">
        <v>3.6704730831973897E-2</v>
      </c>
      <c r="Y5">
        <v>1.5624999999999976E-2</v>
      </c>
      <c r="Z5">
        <v>1.8032786885245924E-2</v>
      </c>
      <c r="AA5">
        <v>6.7975830815710393E-3</v>
      </c>
      <c r="AB5">
        <v>6.6170388751033678E-3</v>
      </c>
      <c r="AC5">
        <v>1.883701883701893E-2</v>
      </c>
      <c r="AD5">
        <v>1.9561815336463336E-2</v>
      </c>
      <c r="AE5" t="s">
        <v>146</v>
      </c>
    </row>
    <row r="6" spans="1:31" hidden="1" x14ac:dyDescent="0.3">
      <c r="A6">
        <v>2017</v>
      </c>
      <c r="B6" t="s">
        <v>35</v>
      </c>
      <c r="C6" t="s">
        <v>30</v>
      </c>
      <c r="D6">
        <v>3.765060240963855E-3</v>
      </c>
      <c r="E6">
        <v>7.2358900144734264E-4</v>
      </c>
      <c r="F6">
        <v>-2.1936459909228271E-2</v>
      </c>
      <c r="G6">
        <v>1.3293943870014644E-2</v>
      </c>
      <c r="H6">
        <v>2.5188916876574308E-2</v>
      </c>
      <c r="I6">
        <v>4.2857142857142774E-2</v>
      </c>
      <c r="J6">
        <v>-2.5125628140704468E-3</v>
      </c>
      <c r="K6">
        <v>-1.6300940438871439E-2</v>
      </c>
      <c r="L6">
        <v>5.1903114186851954E-3</v>
      </c>
      <c r="M6">
        <v>-2.5787965616045804E-2</v>
      </c>
      <c r="N6">
        <v>2.2116903633491402E-2</v>
      </c>
      <c r="O6">
        <v>1.1204481792717045E-2</v>
      </c>
      <c r="P6">
        <v>3.7565740045078888E-3</v>
      </c>
      <c r="Q6">
        <v>-6.9541029207248071E-4</v>
      </c>
      <c r="R6">
        <v>3.147877013177168E-2</v>
      </c>
      <c r="S6">
        <v>4.301075268817222E-2</v>
      </c>
      <c r="T6">
        <v>3.3923303834808217E-2</v>
      </c>
      <c r="U6">
        <v>7.4537037037037013E-2</v>
      </c>
      <c r="V6">
        <v>5.0473186119873753E-2</v>
      </c>
      <c r="W6">
        <v>3.2457496136012273E-2</v>
      </c>
      <c r="X6">
        <v>2.3603461841070025E-2</v>
      </c>
      <c r="Y6">
        <v>2.1367521367521368E-2</v>
      </c>
      <c r="Z6">
        <v>2.8180354267310789E-2</v>
      </c>
      <c r="AA6">
        <v>1.2003000750187504E-2</v>
      </c>
      <c r="AB6">
        <v>1.2325390304026294E-2</v>
      </c>
      <c r="AC6">
        <v>2.0900321543408314E-2</v>
      </c>
      <c r="AD6">
        <v>1.7651573292402016E-2</v>
      </c>
      <c r="AE6" t="s">
        <v>147</v>
      </c>
    </row>
    <row r="7" spans="1:31" hidden="1" x14ac:dyDescent="0.3">
      <c r="A7">
        <v>2017</v>
      </c>
      <c r="B7" t="s">
        <v>35</v>
      </c>
      <c r="C7" t="s">
        <v>33</v>
      </c>
      <c r="D7">
        <v>-3.7509377344336079E-3</v>
      </c>
      <c r="E7">
        <v>1.0845986984815618E-2</v>
      </c>
      <c r="F7">
        <v>0</v>
      </c>
      <c r="G7">
        <v>-2.6967930029154437E-2</v>
      </c>
      <c r="H7">
        <v>-6.3882063882063855E-2</v>
      </c>
      <c r="I7">
        <v>-5.26315789473683E-2</v>
      </c>
      <c r="J7">
        <v>9.2359361880773178E-3</v>
      </c>
      <c r="K7">
        <v>-8.7954110898661633E-2</v>
      </c>
      <c r="L7">
        <v>2.8399311531841626E-2</v>
      </c>
      <c r="M7">
        <v>5.8823529411764705E-2</v>
      </c>
      <c r="N7">
        <v>-4.6367851622874802E-2</v>
      </c>
      <c r="O7">
        <v>-1.7313019390581715E-2</v>
      </c>
      <c r="P7">
        <v>-1.1227544910179641E-2</v>
      </c>
      <c r="Q7">
        <v>1.8093249826026604E-2</v>
      </c>
      <c r="R7">
        <v>-7.3811213626685634E-2</v>
      </c>
      <c r="S7">
        <v>-9.7938144329896989E-2</v>
      </c>
      <c r="T7">
        <v>-7.7746077032810113E-2</v>
      </c>
      <c r="U7">
        <v>-6.2903920723825876E-2</v>
      </c>
      <c r="V7">
        <v>-0.10510510510510501</v>
      </c>
      <c r="W7">
        <v>-6.2125748502993995E-2</v>
      </c>
      <c r="X7">
        <v>-5.5342044581091383E-2</v>
      </c>
      <c r="Y7">
        <v>-3.3472803347280332E-2</v>
      </c>
      <c r="Z7">
        <v>-4.306969459671104E-2</v>
      </c>
      <c r="AA7">
        <v>-1.8532246108228317E-2</v>
      </c>
      <c r="AB7">
        <v>-1.2175324675324676E-2</v>
      </c>
      <c r="AC7">
        <v>-3.622047244094484E-2</v>
      </c>
      <c r="AD7">
        <v>-3.3182503770739107E-2</v>
      </c>
      <c r="AE7" t="s">
        <v>147</v>
      </c>
    </row>
    <row r="8" spans="1:31" hidden="1" x14ac:dyDescent="0.3">
      <c r="A8">
        <v>2017</v>
      </c>
      <c r="B8" t="s">
        <v>35</v>
      </c>
      <c r="C8" t="s">
        <v>34</v>
      </c>
      <c r="D8">
        <v>2.2590361445781848E-3</v>
      </c>
      <c r="E8">
        <v>-7.1530758226037187E-3</v>
      </c>
      <c r="F8">
        <v>0</v>
      </c>
      <c r="G8">
        <v>1.7228464419475741E-2</v>
      </c>
      <c r="H8">
        <v>4.2869641294838196E-2</v>
      </c>
      <c r="I8">
        <v>2.9680365296803696E-2</v>
      </c>
      <c r="J8">
        <v>-5.8236272878536008E-3</v>
      </c>
      <c r="K8">
        <v>6.3591893780572992E-2</v>
      </c>
      <c r="L8">
        <v>-1.8410041841004209E-2</v>
      </c>
      <c r="M8">
        <v>-3.6805555555555633E-2</v>
      </c>
      <c r="N8">
        <v>2.8363047001620744E-2</v>
      </c>
      <c r="O8">
        <v>9.1613812544043896E-3</v>
      </c>
      <c r="P8">
        <v>6.8130204390613605E-3</v>
      </c>
      <c r="Q8">
        <v>-1.2987012987013024E-2</v>
      </c>
      <c r="R8">
        <v>4.8275862068965607E-2</v>
      </c>
      <c r="S8">
        <v>6.3673469387755199E-2</v>
      </c>
      <c r="T8">
        <v>5.1044083526682084E-2</v>
      </c>
      <c r="U8">
        <v>0</v>
      </c>
      <c r="V8">
        <v>7.2986577181208073E-2</v>
      </c>
      <c r="W8">
        <v>3.5115722266560186E-2</v>
      </c>
      <c r="X8">
        <v>3.6615134255492267E-2</v>
      </c>
      <c r="Y8">
        <v>1.64502164502165E-2</v>
      </c>
      <c r="Z8">
        <v>1.9639934533551485E-2</v>
      </c>
      <c r="AA8">
        <v>7.5528700906344406E-3</v>
      </c>
      <c r="AB8">
        <v>7.3952341824157063E-3</v>
      </c>
      <c r="AC8">
        <v>1.9607843137254832E-2</v>
      </c>
      <c r="AD8">
        <v>1.8720748829953244E-2</v>
      </c>
      <c r="AE8" t="s">
        <v>147</v>
      </c>
    </row>
    <row r="9" spans="1:31" hidden="1" x14ac:dyDescent="0.3">
      <c r="A9">
        <v>2017</v>
      </c>
      <c r="B9" t="s">
        <v>36</v>
      </c>
      <c r="C9" t="s">
        <v>30</v>
      </c>
      <c r="D9">
        <v>3.7565740045078888E-3</v>
      </c>
      <c r="E9">
        <v>0</v>
      </c>
      <c r="F9">
        <v>-3.8669760247486461E-3</v>
      </c>
      <c r="G9">
        <v>1.0309278350515295E-2</v>
      </c>
      <c r="H9">
        <v>2.0134228187919392E-2</v>
      </c>
      <c r="I9">
        <v>3.2520325203251862E-2</v>
      </c>
      <c r="J9">
        <v>1.6736401673640405E-3</v>
      </c>
      <c r="K9">
        <v>-2.7595269382391516E-2</v>
      </c>
      <c r="L9">
        <v>-3.4100596760442583E-3</v>
      </c>
      <c r="M9">
        <v>-2.23503965392934E-2</v>
      </c>
      <c r="N9">
        <v>2.2852639873916513E-2</v>
      </c>
      <c r="O9">
        <v>1.5363128491620233E-2</v>
      </c>
      <c r="P9">
        <v>3.0075187969925239E-3</v>
      </c>
      <c r="Q9">
        <v>-1.3850415512466554E-3</v>
      </c>
      <c r="R9">
        <v>3.5087719298245487E-2</v>
      </c>
      <c r="S9">
        <v>4.528012279355316E-2</v>
      </c>
      <c r="T9">
        <v>3.6055923473142057E-2</v>
      </c>
      <c r="U9">
        <v>6.7126436781609122E-2</v>
      </c>
      <c r="V9">
        <v>4.9257232212666008E-2</v>
      </c>
      <c r="W9">
        <v>3.392444101773328E-2</v>
      </c>
      <c r="X9">
        <v>2.51177394034536E-2</v>
      </c>
      <c r="Y9">
        <v>2.0442930153321902E-2</v>
      </c>
      <c r="Z9">
        <v>2.9695024077046689E-2</v>
      </c>
      <c r="AA9">
        <v>1.3493253373313216E-2</v>
      </c>
      <c r="AB9">
        <v>5.7096247960848525E-3</v>
      </c>
      <c r="AC9">
        <v>2.0833333333333402E-2</v>
      </c>
      <c r="AD9">
        <v>1.6845329249617284E-2</v>
      </c>
      <c r="AE9" t="s">
        <v>148</v>
      </c>
    </row>
    <row r="10" spans="1:31" hidden="1" x14ac:dyDescent="0.3">
      <c r="A10">
        <v>2017</v>
      </c>
      <c r="B10" t="s">
        <v>36</v>
      </c>
      <c r="C10" t="s">
        <v>33</v>
      </c>
      <c r="D10">
        <v>-6.7365269461078271E-3</v>
      </c>
      <c r="E10">
        <v>4.3227665706051461E-3</v>
      </c>
      <c r="F10">
        <v>-3.1055900621118453E-3</v>
      </c>
      <c r="G10">
        <v>-1.6763848396501333E-2</v>
      </c>
      <c r="H10">
        <v>-6.2499999999999958E-2</v>
      </c>
      <c r="I10">
        <v>-2.0758768790264691E-2</v>
      </c>
      <c r="J10">
        <v>2.0885547201336674E-2</v>
      </c>
      <c r="K10">
        <v>-8.2432432432432354E-2</v>
      </c>
      <c r="L10">
        <v>2.9084687767322422E-2</v>
      </c>
      <c r="M10">
        <v>5.1622418879056046E-2</v>
      </c>
      <c r="N10">
        <v>-4.7765793528505518E-2</v>
      </c>
      <c r="O10">
        <v>-2.0632737276478678E-2</v>
      </c>
      <c r="P10">
        <v>-5.9970014992504596E-3</v>
      </c>
      <c r="Q10">
        <v>2.2884882108183159E-2</v>
      </c>
      <c r="R10">
        <v>-7.6271186440677846E-2</v>
      </c>
      <c r="S10">
        <v>-9.8384728340675423E-2</v>
      </c>
      <c r="T10">
        <v>-7.9545454545454655E-2</v>
      </c>
      <c r="U10">
        <v>-5.8595433003015923E-2</v>
      </c>
      <c r="V10">
        <v>-9.9850968703427662E-2</v>
      </c>
      <c r="W10">
        <v>-6.3385533184190906E-2</v>
      </c>
      <c r="X10">
        <v>-5.7427258805513019E-2</v>
      </c>
      <c r="Y10">
        <v>-3.5058430717863132E-2</v>
      </c>
      <c r="Z10">
        <v>-4.5985970381917422E-2</v>
      </c>
      <c r="AA10">
        <v>-1.7751479289940662E-2</v>
      </c>
      <c r="AB10">
        <v>-1.2976480129764755E-2</v>
      </c>
      <c r="AC10">
        <v>-3.7676609105180621E-2</v>
      </c>
      <c r="AD10">
        <v>-3.0873493975903783E-2</v>
      </c>
      <c r="AE10" t="s">
        <v>148</v>
      </c>
    </row>
    <row r="11" spans="1:31" hidden="1" x14ac:dyDescent="0.3">
      <c r="A11">
        <v>2017</v>
      </c>
      <c r="B11" t="s">
        <v>36</v>
      </c>
      <c r="C11" t="s">
        <v>34</v>
      </c>
      <c r="D11">
        <v>4.5214770158253413E-3</v>
      </c>
      <c r="E11">
        <v>-2.8694404591105139E-3</v>
      </c>
      <c r="F11">
        <v>1.5576323987538056E-3</v>
      </c>
      <c r="G11">
        <v>1.0378057820607899E-2</v>
      </c>
      <c r="H11">
        <v>4.2105263157894715E-2</v>
      </c>
      <c r="I11">
        <v>1.0964912280701754E-2</v>
      </c>
      <c r="J11">
        <v>-1.3911620294599041E-2</v>
      </c>
      <c r="K11">
        <v>5.9646539027982282E-2</v>
      </c>
      <c r="L11">
        <v>-1.9118869492934308E-2</v>
      </c>
      <c r="M11">
        <v>-3.2959326788218717E-2</v>
      </c>
      <c r="N11">
        <v>2.912621359223308E-2</v>
      </c>
      <c r="O11">
        <v>1.1235955056179735E-2</v>
      </c>
      <c r="P11">
        <v>3.770739064856712E-3</v>
      </c>
      <c r="Q11">
        <v>-1.6271186440678004E-2</v>
      </c>
      <c r="R11">
        <v>4.9694189602446481E-2</v>
      </c>
      <c r="S11">
        <v>6.3517915309446227E-2</v>
      </c>
      <c r="T11">
        <v>5.2469135802469223E-2</v>
      </c>
      <c r="U11">
        <v>0</v>
      </c>
      <c r="V11">
        <v>6.8708609271523155E-2</v>
      </c>
      <c r="W11">
        <v>3.5828025477707005E-2</v>
      </c>
      <c r="X11">
        <v>3.8180341186027644E-2</v>
      </c>
      <c r="Y11">
        <v>1.7301038062283738E-2</v>
      </c>
      <c r="Z11">
        <v>2.1241830065359429E-2</v>
      </c>
      <c r="AA11">
        <v>7.5301204819277099E-3</v>
      </c>
      <c r="AB11">
        <v>7.3952341824157063E-3</v>
      </c>
      <c r="AC11">
        <v>2.0391517128874388E-2</v>
      </c>
      <c r="AD11">
        <v>1.7094017094017228E-2</v>
      </c>
      <c r="AE11" t="s">
        <v>148</v>
      </c>
    </row>
    <row r="12" spans="1:31" hidden="1" x14ac:dyDescent="0.3">
      <c r="A12">
        <v>2017</v>
      </c>
      <c r="B12" t="s">
        <v>37</v>
      </c>
      <c r="C12" t="s">
        <v>30</v>
      </c>
      <c r="D12">
        <v>-7.5018754688689214E-4</v>
      </c>
      <c r="E12">
        <v>-2.1582733812950459E-3</v>
      </c>
      <c r="F12">
        <v>-1.1664074650077761E-2</v>
      </c>
      <c r="G12">
        <v>1.0271460014673347E-2</v>
      </c>
      <c r="H12">
        <v>2.1043771043771045E-2</v>
      </c>
      <c r="I12">
        <v>2.5307302964569775E-2</v>
      </c>
      <c r="J12">
        <v>8.2987551867219917E-3</v>
      </c>
      <c r="K12">
        <v>4.1695621959693839E-3</v>
      </c>
      <c r="L12">
        <v>-5.0847457627118163E-3</v>
      </c>
      <c r="M12">
        <v>-2.7556200145032714E-2</v>
      </c>
      <c r="N12">
        <v>2.2012578616352179E-2</v>
      </c>
      <c r="O12">
        <v>1.0416666666666666E-2</v>
      </c>
      <c r="P12">
        <v>3.0052592036063537E-3</v>
      </c>
      <c r="Q12">
        <v>-4.8242591316332781E-3</v>
      </c>
      <c r="R12">
        <v>3.7144938091769802E-2</v>
      </c>
      <c r="S12">
        <v>4.747320061255756E-2</v>
      </c>
      <c r="T12">
        <v>3.8123167155425138E-2</v>
      </c>
      <c r="U12">
        <v>6.2242562929061759E-2</v>
      </c>
      <c r="V12">
        <v>4.5701006971340094E-2</v>
      </c>
      <c r="W12">
        <v>3.2282859338970155E-2</v>
      </c>
      <c r="X12">
        <v>2.5039123630672948E-2</v>
      </c>
      <c r="Y12">
        <v>1.3605442176870821E-2</v>
      </c>
      <c r="Z12">
        <v>2.640000000000009E-2</v>
      </c>
      <c r="AA12">
        <v>1.4200298953662011E-2</v>
      </c>
      <c r="AB12">
        <v>8.9722675367048012E-3</v>
      </c>
      <c r="AC12">
        <v>1.9184652278177505E-2</v>
      </c>
      <c r="AD12">
        <v>1.5278838808250572E-2</v>
      </c>
      <c r="AE12" t="s">
        <v>149</v>
      </c>
    </row>
    <row r="13" spans="1:31" hidden="1" x14ac:dyDescent="0.3">
      <c r="A13">
        <v>2017</v>
      </c>
      <c r="B13" t="s">
        <v>37</v>
      </c>
      <c r="C13" t="s">
        <v>33</v>
      </c>
      <c r="D13">
        <v>-3.7537537537537542E-3</v>
      </c>
      <c r="E13">
        <v>1.3698630136986344E-2</v>
      </c>
      <c r="F13">
        <v>-2.0456333595593977E-2</v>
      </c>
      <c r="G13">
        <v>-1.0167029774872749E-2</v>
      </c>
      <c r="H13">
        <v>-6.4303380049464121E-2</v>
      </c>
      <c r="I13">
        <v>-2.8913963328632036E-2</v>
      </c>
      <c r="J13">
        <v>4.6090534979423822E-2</v>
      </c>
      <c r="K13">
        <v>-7.4048442906574322E-2</v>
      </c>
      <c r="L13">
        <v>2.8960817717206058E-2</v>
      </c>
      <c r="M13">
        <v>5.3691275167785366E-2</v>
      </c>
      <c r="N13">
        <v>-4.7692307692307714E-2</v>
      </c>
      <c r="O13">
        <v>-1.993127147766327E-2</v>
      </c>
      <c r="P13">
        <v>-7.4906367041194244E-4</v>
      </c>
      <c r="Q13">
        <v>2.4930747922437633E-2</v>
      </c>
      <c r="R13">
        <v>-7.865168539325855E-2</v>
      </c>
      <c r="S13">
        <v>-0.10087719298245622</v>
      </c>
      <c r="T13">
        <v>-8.1920903954802227E-2</v>
      </c>
      <c r="U13">
        <v>-5.4286945282205963E-2</v>
      </c>
      <c r="V13">
        <v>-0.1007407407407407</v>
      </c>
      <c r="W13">
        <v>-6.1801935964259203E-2</v>
      </c>
      <c r="X13">
        <v>-5.8015267175572476E-2</v>
      </c>
      <c r="Y13">
        <v>-4.1107382550335615E-2</v>
      </c>
      <c r="Z13">
        <v>-4.4427123928293191E-2</v>
      </c>
      <c r="AA13">
        <v>-1.5475313190862155E-2</v>
      </c>
      <c r="AB13">
        <v>-1.2126111560226353E-2</v>
      </c>
      <c r="AC13">
        <v>-3.9215686274509803E-2</v>
      </c>
      <c r="AD13">
        <v>-2.8592927012791657E-2</v>
      </c>
      <c r="AE13" t="s">
        <v>149</v>
      </c>
    </row>
    <row r="14" spans="1:31" hidden="1" x14ac:dyDescent="0.3">
      <c r="A14">
        <v>2017</v>
      </c>
      <c r="B14" t="s">
        <v>37</v>
      </c>
      <c r="C14" t="s">
        <v>34</v>
      </c>
      <c r="D14">
        <v>2.2607385079126707E-3</v>
      </c>
      <c r="E14">
        <v>-8.5348506401137173E-3</v>
      </c>
      <c r="F14">
        <v>1.2851405622489914E-2</v>
      </c>
      <c r="G14">
        <v>6.6030814380042347E-3</v>
      </c>
      <c r="H14">
        <v>4.3171806167400933E-2</v>
      </c>
      <c r="I14">
        <v>1.5976761074800415E-2</v>
      </c>
      <c r="J14">
        <v>-2.9110936270652941E-2</v>
      </c>
      <c r="K14">
        <v>5.3064275037369157E-2</v>
      </c>
      <c r="L14">
        <v>-1.9039735099337724E-2</v>
      </c>
      <c r="M14">
        <v>-3.3970276008492645E-2</v>
      </c>
      <c r="N14">
        <v>2.9079159935379715E-2</v>
      </c>
      <c r="O14">
        <v>1.1220196353436145E-2</v>
      </c>
      <c r="P14">
        <v>7.4962518740625422E-4</v>
      </c>
      <c r="Q14">
        <v>-1.756756756756753E-2</v>
      </c>
      <c r="R14">
        <v>5.1829268292683021E-2</v>
      </c>
      <c r="S14">
        <v>6.5853658536585313E-2</v>
      </c>
      <c r="T14">
        <v>5.3846153846153849E-2</v>
      </c>
      <c r="U14">
        <v>0</v>
      </c>
      <c r="V14">
        <v>6.9192751235584882E-2</v>
      </c>
      <c r="W14">
        <v>3.4920634920634963E-2</v>
      </c>
      <c r="X14">
        <v>3.8087520259319191E-2</v>
      </c>
      <c r="Y14">
        <v>2.01224846894138E-2</v>
      </c>
      <c r="Z14">
        <v>2.0391517128874388E-2</v>
      </c>
      <c r="AA14">
        <v>6.7365269461078271E-3</v>
      </c>
      <c r="AB14">
        <v>7.3649754500817628E-3</v>
      </c>
      <c r="AC14">
        <v>2.122448979591832E-2</v>
      </c>
      <c r="AD14">
        <v>1.5491866769945779E-2</v>
      </c>
      <c r="AE14" t="s">
        <v>149</v>
      </c>
    </row>
    <row r="15" spans="1:31" hidden="1" x14ac:dyDescent="0.3">
      <c r="A15">
        <v>2017</v>
      </c>
      <c r="B15" t="s">
        <v>38</v>
      </c>
      <c r="C15" t="s">
        <v>30</v>
      </c>
      <c r="D15">
        <v>7.5187969924807752E-4</v>
      </c>
      <c r="E15">
        <v>6.4562410329986062E-3</v>
      </c>
      <c r="F15">
        <v>5.551149881046811E-3</v>
      </c>
      <c r="G15">
        <v>7.28862973760933E-3</v>
      </c>
      <c r="H15">
        <v>2.0270270270270199E-2</v>
      </c>
      <c r="I15">
        <v>2.1443888491778623E-3</v>
      </c>
      <c r="J15">
        <v>3.2414910858994447E-3</v>
      </c>
      <c r="K15">
        <v>6.3875088715401396E-3</v>
      </c>
      <c r="L15">
        <v>8.4388185654003637E-4</v>
      </c>
      <c r="M15">
        <v>-1.8315018315018316E-2</v>
      </c>
      <c r="N15">
        <v>2.2762951334379951E-2</v>
      </c>
      <c r="O15">
        <v>1.1095700416088924E-2</v>
      </c>
      <c r="P15">
        <v>2.2471910112360403E-3</v>
      </c>
      <c r="Q15">
        <v>6.8775790921591685E-4</v>
      </c>
      <c r="R15">
        <v>3.2608695652173912E-2</v>
      </c>
      <c r="S15">
        <v>4.7292143401983351E-2</v>
      </c>
      <c r="T15">
        <v>3.503649635036505E-2</v>
      </c>
      <c r="U15">
        <v>5.7403189066059249E-2</v>
      </c>
      <c r="V15">
        <v>4.0061633281972174E-2</v>
      </c>
      <c r="W15">
        <v>3.4509202453987725E-2</v>
      </c>
      <c r="X15">
        <v>2.5761124121779951E-2</v>
      </c>
      <c r="Y15">
        <v>2.4013722126929773E-2</v>
      </c>
      <c r="Z15">
        <v>3.4372501998401368E-2</v>
      </c>
      <c r="AA15">
        <v>1.3382899628252872E-2</v>
      </c>
      <c r="AB15">
        <v>4.8740861088546594E-3</v>
      </c>
      <c r="AC15">
        <v>2.2382094324540459E-2</v>
      </c>
      <c r="AD15">
        <v>1.6781083142639337E-2</v>
      </c>
      <c r="AE15" t="s">
        <v>150</v>
      </c>
    </row>
    <row r="16" spans="1:31" hidden="1" x14ac:dyDescent="0.3">
      <c r="A16">
        <v>2017</v>
      </c>
      <c r="B16" t="s">
        <v>38</v>
      </c>
      <c r="C16" t="s">
        <v>33</v>
      </c>
      <c r="D16">
        <v>-3.7565740045078888E-3</v>
      </c>
      <c r="E16">
        <v>2.7084818246614274E-2</v>
      </c>
      <c r="F16">
        <v>-9.4637223974763634E-3</v>
      </c>
      <c r="G16">
        <v>-1.0130246020260329E-2</v>
      </c>
      <c r="H16">
        <v>-6.1258278145695295E-2</v>
      </c>
      <c r="I16">
        <v>-3.566333808844508E-2</v>
      </c>
      <c r="J16">
        <v>4.3618739903069401E-2</v>
      </c>
      <c r="K16">
        <v>-7.2637517630465512E-2</v>
      </c>
      <c r="L16">
        <v>2.023608768971337E-2</v>
      </c>
      <c r="M16">
        <v>4.4029850746268702E-2</v>
      </c>
      <c r="N16">
        <v>-4.9884881043745305E-2</v>
      </c>
      <c r="O16">
        <v>-1.9890260631001411E-2</v>
      </c>
      <c r="P16">
        <v>-1.494768310911936E-3</v>
      </c>
      <c r="Q16">
        <v>1.924398625429561E-2</v>
      </c>
      <c r="R16">
        <v>-7.7192982456140355E-2</v>
      </c>
      <c r="S16">
        <v>-0.10269482884195198</v>
      </c>
      <c r="T16">
        <v>-8.1805359661495214E-2</v>
      </c>
      <c r="U16">
        <v>-5.1414620134999263E-2</v>
      </c>
      <c r="V16">
        <v>-0.11037037037037041</v>
      </c>
      <c r="W16">
        <v>-6.2268346923647189E-2</v>
      </c>
      <c r="X16">
        <v>-5.9360730593607393E-2</v>
      </c>
      <c r="Y16">
        <v>-4.2713567839196047E-2</v>
      </c>
      <c r="Z16">
        <v>-5.1004636785162351E-2</v>
      </c>
      <c r="AA16">
        <v>-1.8341892883345558E-2</v>
      </c>
      <c r="AB16">
        <v>-1.3742926434923223E-2</v>
      </c>
      <c r="AC16">
        <v>-4.1438623924941451E-2</v>
      </c>
      <c r="AD16">
        <v>-3.0007501875468863E-2</v>
      </c>
      <c r="AE16" t="s">
        <v>150</v>
      </c>
    </row>
    <row r="17" spans="1:31" hidden="1" x14ac:dyDescent="0.3">
      <c r="A17">
        <v>2017</v>
      </c>
      <c r="B17" t="s">
        <v>38</v>
      </c>
      <c r="C17" t="s">
        <v>34</v>
      </c>
      <c r="D17">
        <v>2.2624434389141128E-3</v>
      </c>
      <c r="E17">
        <v>-1.7349063150589868E-2</v>
      </c>
      <c r="F17">
        <v>5.5732484076433352E-3</v>
      </c>
      <c r="G17">
        <v>6.5789473684208857E-3</v>
      </c>
      <c r="H17">
        <v>4.144620811287468E-2</v>
      </c>
      <c r="I17">
        <v>1.9970414201183558E-2</v>
      </c>
      <c r="J17">
        <v>-2.7863777089783239E-2</v>
      </c>
      <c r="K17">
        <v>5.1711026615969671E-2</v>
      </c>
      <c r="L17">
        <v>-1.3223140495867721E-2</v>
      </c>
      <c r="M17">
        <v>-2.7877055039313835E-2</v>
      </c>
      <c r="N17">
        <v>3.0694668820678492E-2</v>
      </c>
      <c r="O17">
        <v>1.119664100769765E-2</v>
      </c>
      <c r="P17">
        <v>7.4850299401193348E-4</v>
      </c>
      <c r="Q17">
        <v>-1.4160485502360234E-2</v>
      </c>
      <c r="R17">
        <v>5.0950570342205237E-2</v>
      </c>
      <c r="S17">
        <v>6.6558441558441581E-2</v>
      </c>
      <c r="T17">
        <v>5.3763440860215062E-2</v>
      </c>
      <c r="U17">
        <v>0</v>
      </c>
      <c r="V17">
        <v>7.7435470441299017E-2</v>
      </c>
      <c r="W17">
        <v>3.4782608695652216E-2</v>
      </c>
      <c r="X17">
        <v>3.8834951456310773E-2</v>
      </c>
      <c r="Y17">
        <v>2.0997375328084041E-2</v>
      </c>
      <c r="Z17">
        <v>2.361563517915314E-2</v>
      </c>
      <c r="AA17">
        <v>7.4738415545590429E-3</v>
      </c>
      <c r="AB17">
        <v>8.1967213114754103E-3</v>
      </c>
      <c r="AC17">
        <v>2.2022838499184363E-2</v>
      </c>
      <c r="AD17">
        <v>1.624129930394427E-2</v>
      </c>
      <c r="AE17" t="s">
        <v>150</v>
      </c>
    </row>
    <row r="18" spans="1:31" hidden="1" x14ac:dyDescent="0.3">
      <c r="A18">
        <v>2017</v>
      </c>
      <c r="B18" t="s">
        <v>39</v>
      </c>
      <c r="C18" t="s">
        <v>30</v>
      </c>
      <c r="D18">
        <v>4.5146726862302054E-3</v>
      </c>
      <c r="E18">
        <v>1.4830508474576232E-2</v>
      </c>
      <c r="F18">
        <v>1.3460015835312771E-2</v>
      </c>
      <c r="G18">
        <v>6.5359477124183425E-3</v>
      </c>
      <c r="H18">
        <v>2.3708721422523383E-2</v>
      </c>
      <c r="I18">
        <v>2.175489485134155E-2</v>
      </c>
      <c r="J18">
        <v>2.5477707006369563E-2</v>
      </c>
      <c r="K18">
        <v>1.3738250180766284E-2</v>
      </c>
      <c r="L18">
        <v>-4.1876046901172526E-3</v>
      </c>
      <c r="M18">
        <v>-1.8382352941176471E-2</v>
      </c>
      <c r="N18">
        <v>2.1943573667711689E-2</v>
      </c>
      <c r="O18">
        <v>1.384083044982699E-2</v>
      </c>
      <c r="P18">
        <v>8.9753178758415642E-3</v>
      </c>
      <c r="Q18">
        <v>-2.7359781121749473E-3</v>
      </c>
      <c r="R18">
        <v>3.5455861070911768E-2</v>
      </c>
      <c r="S18">
        <v>4.794520547945192E-2</v>
      </c>
      <c r="T18">
        <v>3.7172011661807752E-2</v>
      </c>
      <c r="U18">
        <v>5.420136260408779E-2</v>
      </c>
      <c r="V18">
        <v>4.1731066460587371E-2</v>
      </c>
      <c r="W18">
        <v>3.2849503437738597E-2</v>
      </c>
      <c r="X18">
        <v>2.2585669781931508E-2</v>
      </c>
      <c r="Y18">
        <v>2.3136246786632415E-2</v>
      </c>
      <c r="Z18">
        <v>3.2617342879872779E-2</v>
      </c>
      <c r="AA18">
        <v>1.5578635014836752E-2</v>
      </c>
      <c r="AB18">
        <v>8.9430894308942625E-3</v>
      </c>
      <c r="AC18">
        <v>2.2346368715083775E-2</v>
      </c>
      <c r="AD18">
        <v>1.9025875190258751E-2</v>
      </c>
      <c r="AE18" t="s">
        <v>151</v>
      </c>
    </row>
    <row r="19" spans="1:31" hidden="1" x14ac:dyDescent="0.3">
      <c r="A19">
        <v>2017</v>
      </c>
      <c r="B19" t="s">
        <v>39</v>
      </c>
      <c r="C19" t="s">
        <v>33</v>
      </c>
      <c r="D19">
        <v>-4.4943820224718671E-3</v>
      </c>
      <c r="E19">
        <v>3.4794711203897009E-2</v>
      </c>
      <c r="F19">
        <v>2.3437500000000888E-3</v>
      </c>
      <c r="G19">
        <v>-9.3795093795092568E-3</v>
      </c>
      <c r="H19">
        <v>-6.1207609594706412E-2</v>
      </c>
      <c r="I19">
        <v>-2.6259758694109417E-2</v>
      </c>
      <c r="J19">
        <v>0.10403726708074515</v>
      </c>
      <c r="K19">
        <v>-8.5592011412268201E-2</v>
      </c>
      <c r="L19">
        <v>1.6820857863751051E-2</v>
      </c>
      <c r="M19">
        <v>3.9700374531835288E-2</v>
      </c>
      <c r="N19">
        <v>-4.7546012269938667E-2</v>
      </c>
      <c r="O19">
        <v>-2.3208191126279903E-2</v>
      </c>
      <c r="P19">
        <v>5.9303187546329347E-3</v>
      </c>
      <c r="Q19">
        <v>1.9204389574759825E-2</v>
      </c>
      <c r="R19">
        <v>-8.10621942697414E-2</v>
      </c>
      <c r="S19">
        <v>-0.10530137981118363</v>
      </c>
      <c r="T19">
        <v>-8.5031623330991013E-2</v>
      </c>
      <c r="U19">
        <v>-5.6441189142610843E-2</v>
      </c>
      <c r="V19">
        <v>-0.11721068249258168</v>
      </c>
      <c r="W19">
        <v>-6.2130177514792842E-2</v>
      </c>
      <c r="X19">
        <v>-5.7121096725057226E-2</v>
      </c>
      <c r="Y19">
        <v>-4.6063651591289778E-2</v>
      </c>
      <c r="Z19">
        <v>-5.3158705701078619E-2</v>
      </c>
      <c r="AA19">
        <v>-1.8991964937910843E-2</v>
      </c>
      <c r="AB19">
        <v>-1.2892828364222356E-2</v>
      </c>
      <c r="AC19">
        <v>-4.2154566744730615E-2</v>
      </c>
      <c r="AD19">
        <v>-2.9873039581777446E-2</v>
      </c>
      <c r="AE19" t="s">
        <v>151</v>
      </c>
    </row>
    <row r="20" spans="1:31" hidden="1" x14ac:dyDescent="0.3">
      <c r="A20">
        <v>2017</v>
      </c>
      <c r="B20" t="s">
        <v>39</v>
      </c>
      <c r="C20" t="s">
        <v>34</v>
      </c>
      <c r="D20">
        <v>3.0097817908202084E-3</v>
      </c>
      <c r="E20">
        <v>-2.1519838601210418E-2</v>
      </c>
      <c r="F20">
        <v>-1.5588464536244507E-3</v>
      </c>
      <c r="G20">
        <v>5.8266569555716161E-3</v>
      </c>
      <c r="H20">
        <v>4.1409691629955975E-2</v>
      </c>
      <c r="I20">
        <v>1.457725947521866E-2</v>
      </c>
      <c r="J20">
        <v>-6.258790436005611E-2</v>
      </c>
      <c r="K20">
        <v>6.2402496099843996E-2</v>
      </c>
      <c r="L20">
        <v>-1.0752688172043104E-2</v>
      </c>
      <c r="M20">
        <v>-2.5216138328530258E-2</v>
      </c>
      <c r="N20">
        <v>2.8985507246376767E-2</v>
      </c>
      <c r="O20">
        <v>1.2578616352201338E-2</v>
      </c>
      <c r="P20">
        <v>-3.6845983787767139E-3</v>
      </c>
      <c r="Q20">
        <v>-1.4131897711978429E-2</v>
      </c>
      <c r="R20">
        <v>5.3231939163498096E-2</v>
      </c>
      <c r="S20">
        <v>6.8993506493506371E-2</v>
      </c>
      <c r="T20">
        <v>5.6067588325652937E-2</v>
      </c>
      <c r="U20">
        <v>0</v>
      </c>
      <c r="V20">
        <v>8.2352941176470684E-2</v>
      </c>
      <c r="W20">
        <v>3.4700315457413186E-2</v>
      </c>
      <c r="X20">
        <v>3.7964458804523447E-2</v>
      </c>
      <c r="Y20">
        <v>2.2827041264266851E-2</v>
      </c>
      <c r="Z20">
        <v>2.4410089503661511E-2</v>
      </c>
      <c r="AA20">
        <v>8.1906180193595992E-3</v>
      </c>
      <c r="AB20">
        <v>7.3469387755102505E-3</v>
      </c>
      <c r="AC20">
        <v>2.2819885900570474E-2</v>
      </c>
      <c r="AD20">
        <v>1.6166281755196261E-2</v>
      </c>
      <c r="AE20" t="s">
        <v>151</v>
      </c>
    </row>
    <row r="21" spans="1:31" hidden="1" x14ac:dyDescent="0.3">
      <c r="A21">
        <v>2017</v>
      </c>
      <c r="B21" t="s">
        <v>40</v>
      </c>
      <c r="C21" t="s">
        <v>30</v>
      </c>
      <c r="D21">
        <v>5.2513128282069658E-3</v>
      </c>
      <c r="E21">
        <v>-8.9347079037801463E-3</v>
      </c>
      <c r="F21">
        <v>1.3270882123341274E-2</v>
      </c>
      <c r="G21">
        <v>6.5170166545981591E-3</v>
      </c>
      <c r="H21">
        <v>2.2842639593908653E-2</v>
      </c>
      <c r="I21">
        <v>3.3764367816092079E-2</v>
      </c>
      <c r="J21">
        <v>0.13653413353338326</v>
      </c>
      <c r="K21">
        <v>1.3950073421439103E-2</v>
      </c>
      <c r="L21">
        <v>3.3444816053512182E-3</v>
      </c>
      <c r="M21">
        <v>-1.0347376201034779E-2</v>
      </c>
      <c r="N21">
        <v>2.8169014084507109E-2</v>
      </c>
      <c r="O21">
        <v>1.9323671497584422E-2</v>
      </c>
      <c r="P21">
        <v>2.4408284023668726E-2</v>
      </c>
      <c r="Q21">
        <v>6.1433447098976496E-3</v>
      </c>
      <c r="R21">
        <v>4.1877256317689612E-2</v>
      </c>
      <c r="S21">
        <v>4.8595292331055473E-2</v>
      </c>
      <c r="T21">
        <v>4.363636363636364E-2</v>
      </c>
      <c r="U21">
        <v>5.9817351598173397E-2</v>
      </c>
      <c r="V21">
        <v>5.0465838509316768E-2</v>
      </c>
      <c r="W21">
        <v>3.7347560975609803E-2</v>
      </c>
      <c r="X21">
        <v>2.8015564202334586E-2</v>
      </c>
      <c r="Y21">
        <v>2.2317596566523556E-2</v>
      </c>
      <c r="Z21">
        <v>3.7331215250198481E-2</v>
      </c>
      <c r="AA21">
        <v>2.3633677991137286E-2</v>
      </c>
      <c r="AB21">
        <v>8.1037277147487843E-3</v>
      </c>
      <c r="AC21">
        <v>2.4701195219123461E-2</v>
      </c>
      <c r="AD21">
        <v>3.1818181818181732E-2</v>
      </c>
      <c r="AE21" t="s">
        <v>152</v>
      </c>
    </row>
    <row r="22" spans="1:31" hidden="1" x14ac:dyDescent="0.3">
      <c r="A22">
        <v>2017</v>
      </c>
      <c r="B22" t="s">
        <v>40</v>
      </c>
      <c r="C22" t="s">
        <v>33</v>
      </c>
      <c r="D22">
        <v>-8.9552238805969304E-3</v>
      </c>
      <c r="E22">
        <v>2.9126213592233129E-2</v>
      </c>
      <c r="F22">
        <v>-3.0816640986132946E-3</v>
      </c>
      <c r="G22">
        <v>-9.3525179856115918E-3</v>
      </c>
      <c r="H22">
        <v>-6.2034739454094288E-2</v>
      </c>
      <c r="I22">
        <v>-3.1271716469770672E-2</v>
      </c>
      <c r="J22">
        <v>0.15577557755775573</v>
      </c>
      <c r="K22">
        <v>-9.7031136857349695E-2</v>
      </c>
      <c r="L22">
        <v>1.2500000000000001E-2</v>
      </c>
      <c r="M22">
        <v>2.9126213592233052E-2</v>
      </c>
      <c r="N22">
        <v>-5.3272450532724502E-2</v>
      </c>
      <c r="O22">
        <v>-2.7081922816519974E-2</v>
      </c>
      <c r="P22">
        <v>9.3862815884477348E-3</v>
      </c>
      <c r="Q22">
        <v>2.1031207598371737E-2</v>
      </c>
      <c r="R22">
        <v>-8.8011088011088118E-2</v>
      </c>
      <c r="S22">
        <v>-0.10427226647356982</v>
      </c>
      <c r="T22">
        <v>-9.1289198606271743E-2</v>
      </c>
      <c r="U22">
        <v>-4.7824213700990929E-2</v>
      </c>
      <c r="V22">
        <v>-0.11529933481152999</v>
      </c>
      <c r="W22">
        <v>-6.5393093313739839E-2</v>
      </c>
      <c r="X22">
        <v>-5.3747161241483682E-2</v>
      </c>
      <c r="Y22">
        <v>-4.953820319059607E-2</v>
      </c>
      <c r="Z22">
        <v>-5.4364471669218949E-2</v>
      </c>
      <c r="AA22">
        <v>-2.2366522366522326E-2</v>
      </c>
      <c r="AB22">
        <v>-1.607717041800643E-2</v>
      </c>
      <c r="AC22">
        <v>-4.3545878693623599E-2</v>
      </c>
      <c r="AD22">
        <v>-3.230543318649029E-2</v>
      </c>
      <c r="AE22" t="s">
        <v>152</v>
      </c>
    </row>
    <row r="23" spans="1:31" hidden="1" x14ac:dyDescent="0.3">
      <c r="A23">
        <v>2017</v>
      </c>
      <c r="B23" t="s">
        <v>40</v>
      </c>
      <c r="C23" t="s">
        <v>34</v>
      </c>
      <c r="D23">
        <v>6.0240963855420398E-3</v>
      </c>
      <c r="E23">
        <v>-1.819407008086265E-2</v>
      </c>
      <c r="F23">
        <v>1.545595054095739E-3</v>
      </c>
      <c r="G23">
        <v>5.8097312999274616E-3</v>
      </c>
      <c r="H23">
        <v>4.144620811287468E-2</v>
      </c>
      <c r="I23">
        <v>1.7216642754662882E-2</v>
      </c>
      <c r="J23">
        <v>-8.9091947458595055E-2</v>
      </c>
      <c r="K23">
        <v>7.1371291098636658E-2</v>
      </c>
      <c r="L23">
        <v>-8.23045267489712E-3</v>
      </c>
      <c r="M23">
        <v>-1.8867924528302049E-2</v>
      </c>
      <c r="N23">
        <v>3.2958199356913138E-2</v>
      </c>
      <c r="O23">
        <v>1.4613778705636902E-2</v>
      </c>
      <c r="P23">
        <v>-5.7224606580830563E-3</v>
      </c>
      <c r="Q23">
        <v>-1.5282392026578148E-2</v>
      </c>
      <c r="R23">
        <v>5.8510638297872473E-2</v>
      </c>
      <c r="S23">
        <v>6.7906224737267512E-2</v>
      </c>
      <c r="T23">
        <v>6.0582822085889609E-2</v>
      </c>
      <c r="U23">
        <v>0</v>
      </c>
      <c r="V23">
        <v>8.1035923141186322E-2</v>
      </c>
      <c r="W23">
        <v>3.6949685534591215E-2</v>
      </c>
      <c r="X23">
        <v>3.5200000000000044E-2</v>
      </c>
      <c r="Y23">
        <v>2.4734982332155452E-2</v>
      </c>
      <c r="Z23">
        <v>2.510121457489874E-2</v>
      </c>
      <c r="AA23">
        <v>9.594095940959493E-3</v>
      </c>
      <c r="AB23">
        <v>9.8039215686273572E-3</v>
      </c>
      <c r="AC23">
        <v>2.357723577235777E-2</v>
      </c>
      <c r="AD23">
        <v>1.8209408194233515E-2</v>
      </c>
      <c r="AE23" t="s">
        <v>152</v>
      </c>
    </row>
    <row r="24" spans="1:31" hidden="1" x14ac:dyDescent="0.3">
      <c r="A24">
        <v>2017</v>
      </c>
      <c r="B24" t="s">
        <v>41</v>
      </c>
      <c r="C24" t="s">
        <v>30</v>
      </c>
      <c r="D24">
        <v>8.9820359281438406E-3</v>
      </c>
      <c r="E24">
        <v>-1.7844886753603257E-2</v>
      </c>
      <c r="F24">
        <v>3.0864197530864638E-3</v>
      </c>
      <c r="G24">
        <v>6.4981949458484166E-3</v>
      </c>
      <c r="H24">
        <v>2.0321761219305724E-2</v>
      </c>
      <c r="I24">
        <v>4.3723554301833487E-2</v>
      </c>
      <c r="J24">
        <v>2.1316614420062732E-2</v>
      </c>
      <c r="K24">
        <v>2.8443113772455175E-2</v>
      </c>
      <c r="L24">
        <v>2.4896265560165739E-3</v>
      </c>
      <c r="M24">
        <v>-3.6982248520710062E-3</v>
      </c>
      <c r="N24">
        <v>2.4124513618676999E-2</v>
      </c>
      <c r="O24">
        <v>1.9890260631001213E-2</v>
      </c>
      <c r="P24">
        <v>1.1510791366906433E-2</v>
      </c>
      <c r="Q24">
        <v>5.398110661268633E-3</v>
      </c>
      <c r="R24">
        <v>4.3072505384063167E-2</v>
      </c>
      <c r="S24">
        <v>5.3747161241483682E-2</v>
      </c>
      <c r="T24">
        <v>4.4830079537237805E-2</v>
      </c>
      <c r="U24">
        <v>5.0226244343891377E-2</v>
      </c>
      <c r="V24">
        <v>5.4095826893353939E-2</v>
      </c>
      <c r="W24">
        <v>4.094010614101596E-2</v>
      </c>
      <c r="X24">
        <v>2.7820710973724839E-2</v>
      </c>
      <c r="Y24">
        <v>3.7068965517241356E-2</v>
      </c>
      <c r="Z24">
        <v>3.8704581358609838E-2</v>
      </c>
      <c r="AA24">
        <v>2.4853801169590475E-2</v>
      </c>
      <c r="AB24">
        <v>1.4563106796116597E-2</v>
      </c>
      <c r="AC24">
        <v>3.0182684670373175E-2</v>
      </c>
      <c r="AD24">
        <v>2.6825633383010604E-2</v>
      </c>
      <c r="AE24" t="s">
        <v>153</v>
      </c>
    </row>
    <row r="25" spans="1:31" hidden="1" x14ac:dyDescent="0.3">
      <c r="A25">
        <v>2017</v>
      </c>
      <c r="B25" t="s">
        <v>41</v>
      </c>
      <c r="C25" t="s">
        <v>33</v>
      </c>
      <c r="D25">
        <v>-1.1869436201780582E-2</v>
      </c>
      <c r="E25">
        <v>5.5904961565339719E-3</v>
      </c>
      <c r="F25">
        <v>-1.307692307692299E-2</v>
      </c>
      <c r="G25">
        <v>-7.8909612625537601E-3</v>
      </c>
      <c r="H25">
        <v>-5.3112033195020794E-2</v>
      </c>
      <c r="I25">
        <v>-3.5810810810810889E-2</v>
      </c>
      <c r="J25">
        <v>0.10374462860650709</v>
      </c>
      <c r="K25">
        <v>-0.10116448326055316</v>
      </c>
      <c r="L25">
        <v>1.0761589403973487E-2</v>
      </c>
      <c r="M25">
        <v>2.0786933927245819E-2</v>
      </c>
      <c r="N25">
        <v>-5.3191489361702128E-2</v>
      </c>
      <c r="O25">
        <v>-2.8244788164088694E-2</v>
      </c>
      <c r="P25">
        <v>-7.1123755334277609E-4</v>
      </c>
      <c r="Q25">
        <v>2.0805369127516741E-2</v>
      </c>
      <c r="R25">
        <v>-8.671713695801804E-2</v>
      </c>
      <c r="S25">
        <v>-0.10704022988505742</v>
      </c>
      <c r="T25">
        <v>-9.0657439446366742E-2</v>
      </c>
      <c r="U25">
        <v>-3.4898750538560862E-2</v>
      </c>
      <c r="V25">
        <v>-0.1282991202346041</v>
      </c>
      <c r="W25">
        <v>-6.9919883466860941E-2</v>
      </c>
      <c r="X25">
        <v>-5.4887218045112762E-2</v>
      </c>
      <c r="Y25">
        <v>-4.7381546134663367E-2</v>
      </c>
      <c r="Z25">
        <v>-5.6273764258555174E-2</v>
      </c>
      <c r="AA25">
        <v>-3.209700427960057E-2</v>
      </c>
      <c r="AB25">
        <v>-1.6746411483253655E-2</v>
      </c>
      <c r="AC25">
        <v>-4.5489591364687679E-2</v>
      </c>
      <c r="AD25">
        <v>-3.7010159651669247E-2</v>
      </c>
      <c r="AE25" t="s">
        <v>153</v>
      </c>
    </row>
    <row r="26" spans="1:31" hidden="1" x14ac:dyDescent="0.3">
      <c r="A26">
        <v>2017</v>
      </c>
      <c r="B26" t="s">
        <v>41</v>
      </c>
      <c r="C26" t="s">
        <v>34</v>
      </c>
      <c r="D26">
        <v>8.2582582582584295E-3</v>
      </c>
      <c r="E26">
        <v>-3.4746351633078527E-3</v>
      </c>
      <c r="F26">
        <v>7.7942322681215891E-3</v>
      </c>
      <c r="G26">
        <v>5.0614605929138728E-3</v>
      </c>
      <c r="H26">
        <v>3.5056967572304996E-2</v>
      </c>
      <c r="I26">
        <v>1.9621583742116408E-2</v>
      </c>
      <c r="J26">
        <v>-6.229143492769753E-2</v>
      </c>
      <c r="K26">
        <v>7.4493927125505982E-2</v>
      </c>
      <c r="L26">
        <v>-7.3710073710073019E-3</v>
      </c>
      <c r="M26">
        <v>-1.381818181818186E-2</v>
      </c>
      <c r="N26">
        <v>3.2905296950240727E-2</v>
      </c>
      <c r="O26">
        <v>1.5916955017301115E-2</v>
      </c>
      <c r="P26">
        <v>7.1174377224195238E-4</v>
      </c>
      <c r="Q26">
        <v>-1.512163050624578E-2</v>
      </c>
      <c r="R26">
        <v>5.7272042200452324E-2</v>
      </c>
      <c r="S26">
        <v>6.9991954947707186E-2</v>
      </c>
      <c r="T26">
        <v>6.0121765601217694E-2</v>
      </c>
      <c r="U26">
        <v>0</v>
      </c>
      <c r="V26">
        <v>9.1673675357443279E-2</v>
      </c>
      <c r="W26">
        <v>3.9937353171495757E-2</v>
      </c>
      <c r="X26">
        <v>3.5799522673030909E-2</v>
      </c>
      <c r="Y26">
        <v>2.3560209424083794E-2</v>
      </c>
      <c r="Z26">
        <v>2.5785656728444826E-2</v>
      </c>
      <c r="AA26">
        <v>1.4001473839351554E-2</v>
      </c>
      <c r="AB26">
        <v>9.7323600973236238E-3</v>
      </c>
      <c r="AC26">
        <v>2.4232633279483037E-2</v>
      </c>
      <c r="AD26">
        <v>2.0346646571213392E-2</v>
      </c>
      <c r="AE26" t="s">
        <v>153</v>
      </c>
    </row>
    <row r="27" spans="1:31" hidden="1" x14ac:dyDescent="0.3">
      <c r="A27">
        <v>2017</v>
      </c>
      <c r="B27" t="s">
        <v>42</v>
      </c>
      <c r="C27" t="s">
        <v>30</v>
      </c>
      <c r="D27">
        <v>6.7014147431122646E-3</v>
      </c>
      <c r="E27">
        <v>-9.762900976290137E-3</v>
      </c>
      <c r="F27">
        <v>9.2807424593966629E-3</v>
      </c>
      <c r="G27">
        <v>8.6330935251797743E-3</v>
      </c>
      <c r="H27">
        <v>2.2015241320914553E-2</v>
      </c>
      <c r="I27">
        <v>1.5807560137457124E-2</v>
      </c>
      <c r="J27">
        <v>-8.362989323843413E-2</v>
      </c>
      <c r="K27">
        <v>3.3157498116051287E-2</v>
      </c>
      <c r="L27">
        <v>-1.6501650165016736E-3</v>
      </c>
      <c r="M27">
        <v>-6.6371681415929628E-3</v>
      </c>
      <c r="N27">
        <v>2.3310023310023312E-2</v>
      </c>
      <c r="O27">
        <v>1.7029972752043595E-2</v>
      </c>
      <c r="P27">
        <v>-7.1123755334281651E-3</v>
      </c>
      <c r="Q27">
        <v>0</v>
      </c>
      <c r="R27">
        <v>4.1339985744832379E-2</v>
      </c>
      <c r="S27">
        <v>5.0375939849623977E-2</v>
      </c>
      <c r="T27">
        <v>4.2354630294328621E-2</v>
      </c>
      <c r="U27">
        <v>3.6160714285714171E-2</v>
      </c>
      <c r="V27">
        <v>5.8551617873651721E-2</v>
      </c>
      <c r="W27">
        <v>3.8403614457831282E-2</v>
      </c>
      <c r="X27">
        <v>2.4577572964669871E-2</v>
      </c>
      <c r="Y27">
        <v>3.3248081841432277E-2</v>
      </c>
      <c r="Z27">
        <v>3.9277297721916841E-2</v>
      </c>
      <c r="AA27">
        <v>1.4534883720930232E-2</v>
      </c>
      <c r="AB27">
        <v>1.7670682730923717E-2</v>
      </c>
      <c r="AC27">
        <v>2.7602523659306107E-2</v>
      </c>
      <c r="AD27">
        <v>1.6248153618906858E-2</v>
      </c>
      <c r="AE27" t="s">
        <v>154</v>
      </c>
    </row>
    <row r="28" spans="1:31" hidden="1" x14ac:dyDescent="0.3">
      <c r="A28">
        <v>2017</v>
      </c>
      <c r="B28" t="s">
        <v>42</v>
      </c>
      <c r="C28" t="s">
        <v>33</v>
      </c>
      <c r="D28">
        <v>-1.1834319526627177E-2</v>
      </c>
      <c r="E28">
        <v>7.0422535211267607E-3</v>
      </c>
      <c r="F28">
        <v>-6.1302681992338034E-3</v>
      </c>
      <c r="G28">
        <v>-1.0699001426533525E-2</v>
      </c>
      <c r="H28">
        <v>-5.1367025683512861E-2</v>
      </c>
      <c r="I28">
        <v>-6.9688768606224694E-2</v>
      </c>
      <c r="J28">
        <v>4.0129449838187628E-2</v>
      </c>
      <c r="K28">
        <v>-9.1903719912472606E-2</v>
      </c>
      <c r="L28">
        <v>1.1570247933884344E-2</v>
      </c>
      <c r="M28">
        <v>1.9302152932442636E-2</v>
      </c>
      <c r="N28">
        <v>-5.2391799544419075E-2</v>
      </c>
      <c r="O28">
        <v>-2.8801071667783062E-2</v>
      </c>
      <c r="P28">
        <v>-1.1461318051575891E-2</v>
      </c>
      <c r="Q28">
        <v>2.5367156208277588E-2</v>
      </c>
      <c r="R28">
        <v>-8.7611225188227129E-2</v>
      </c>
      <c r="S28">
        <v>-0.10808876163206868</v>
      </c>
      <c r="T28">
        <v>-9.0909090909090842E-2</v>
      </c>
      <c r="U28">
        <v>-2.5563693810139326E-2</v>
      </c>
      <c r="V28">
        <v>-0.12227074235807868</v>
      </c>
      <c r="W28">
        <v>-7.106598984771581E-2</v>
      </c>
      <c r="X28">
        <v>-5.4722638680659755E-2</v>
      </c>
      <c r="Y28">
        <v>-4.5379537953795381E-2</v>
      </c>
      <c r="Z28">
        <v>-5.8956916099773327E-2</v>
      </c>
      <c r="AA28">
        <v>-2.650429799426926E-2</v>
      </c>
      <c r="AB28">
        <v>-1.8153117600631388E-2</v>
      </c>
      <c r="AC28">
        <v>-4.4512663085188114E-2</v>
      </c>
      <c r="AD28">
        <v>-3.7790697674418526E-2</v>
      </c>
      <c r="AE28" t="s">
        <v>154</v>
      </c>
    </row>
    <row r="29" spans="1:31" hidden="1" x14ac:dyDescent="0.3">
      <c r="A29">
        <v>2017</v>
      </c>
      <c r="B29" t="s">
        <v>42</v>
      </c>
      <c r="C29" t="s">
        <v>34</v>
      </c>
      <c r="D29">
        <v>8.2335329341316939E-3</v>
      </c>
      <c r="E29">
        <v>-4.1958041958041559E-3</v>
      </c>
      <c r="F29">
        <v>3.8550501156515036E-3</v>
      </c>
      <c r="G29">
        <v>6.4888248017303946E-3</v>
      </c>
      <c r="H29">
        <v>3.4061135371179087E-2</v>
      </c>
      <c r="I29">
        <v>0.04</v>
      </c>
      <c r="J29">
        <v>-2.5513378967019256E-2</v>
      </c>
      <c r="K29">
        <v>6.7469879518072332E-2</v>
      </c>
      <c r="L29">
        <v>-7.3529411764706341E-3</v>
      </c>
      <c r="M29">
        <v>-1.2381646030590072E-2</v>
      </c>
      <c r="N29">
        <v>3.2051282051282166E-2</v>
      </c>
      <c r="O29">
        <v>1.5862068965517319E-2</v>
      </c>
      <c r="P29">
        <v>7.246376811594203E-3</v>
      </c>
      <c r="Q29">
        <v>-1.8229166666666557E-2</v>
      </c>
      <c r="R29">
        <v>5.8514628657164156E-2</v>
      </c>
      <c r="S29">
        <v>7.0626003210272972E-2</v>
      </c>
      <c r="T29">
        <v>6.0606060606060608E-2</v>
      </c>
      <c r="U29">
        <v>0</v>
      </c>
      <c r="V29">
        <v>8.6235489220563899E-2</v>
      </c>
      <c r="W29">
        <v>4.0593286494925974E-2</v>
      </c>
      <c r="X29">
        <v>3.5685963521015072E-2</v>
      </c>
      <c r="Y29">
        <v>2.2471910112359501E-2</v>
      </c>
      <c r="Z29">
        <v>2.7309236947791211E-2</v>
      </c>
      <c r="AA29">
        <v>1.1037527593818984E-2</v>
      </c>
      <c r="AB29">
        <v>1.0450160771704157E-2</v>
      </c>
      <c r="AC29">
        <v>2.4096385542168676E-2</v>
      </c>
      <c r="AD29">
        <v>2.1148036253776304E-2</v>
      </c>
      <c r="AE29" t="s">
        <v>154</v>
      </c>
    </row>
    <row r="30" spans="1:31" hidden="1" x14ac:dyDescent="0.3">
      <c r="A30">
        <v>2017</v>
      </c>
      <c r="B30" t="s">
        <v>43</v>
      </c>
      <c r="C30" t="s">
        <v>30</v>
      </c>
      <c r="D30">
        <v>8.9086859688197271E-3</v>
      </c>
      <c r="E30">
        <v>-3.5112359550561797E-3</v>
      </c>
      <c r="F30">
        <v>6.1443932411675223E-3</v>
      </c>
      <c r="G30">
        <v>1.3610315186246459E-2</v>
      </c>
      <c r="H30">
        <v>2.5337837837837836E-2</v>
      </c>
      <c r="I30">
        <v>2.5874125874125794E-2</v>
      </c>
      <c r="J30">
        <v>3.1928480204342275E-3</v>
      </c>
      <c r="K30">
        <v>2.6335590669676449E-2</v>
      </c>
      <c r="L30">
        <v>-8.2304526748966519E-4</v>
      </c>
      <c r="M30">
        <v>0</v>
      </c>
      <c r="N30">
        <v>1.9409937888198756E-2</v>
      </c>
      <c r="O30">
        <v>2.0366598778004071E-2</v>
      </c>
      <c r="P30">
        <v>1.0071942446043206E-2</v>
      </c>
      <c r="Q30">
        <v>-1.9893899204244782E-3</v>
      </c>
      <c r="R30">
        <v>4.3231750531537876E-2</v>
      </c>
      <c r="S30">
        <v>5.3973013493253286E-2</v>
      </c>
      <c r="T30">
        <v>4.4285714285714206E-2</v>
      </c>
      <c r="U30">
        <v>2.6234340456890218E-2</v>
      </c>
      <c r="V30">
        <v>5.4198473282442705E-2</v>
      </c>
      <c r="W30">
        <v>3.8259564891222758E-2</v>
      </c>
      <c r="X30">
        <v>2.7565084226646205E-2</v>
      </c>
      <c r="Y30">
        <v>2.2823330515638233E-2</v>
      </c>
      <c r="Z30">
        <v>3.9874902267396359E-2</v>
      </c>
      <c r="AA30">
        <v>1.9650655021833979E-2</v>
      </c>
      <c r="AB30">
        <v>1.3524264120922854E-2</v>
      </c>
      <c r="AC30">
        <v>2.5098039215686187E-2</v>
      </c>
      <c r="AD30">
        <v>2.2928994082840406E-2</v>
      </c>
      <c r="AE30" t="s">
        <v>155</v>
      </c>
    </row>
    <row r="31" spans="1:31" hidden="1" x14ac:dyDescent="0.3">
      <c r="A31">
        <v>2017</v>
      </c>
      <c r="B31" t="s">
        <v>43</v>
      </c>
      <c r="C31" t="s">
        <v>33</v>
      </c>
      <c r="D31">
        <v>-1.4716703458425313E-2</v>
      </c>
      <c r="E31">
        <v>6.3424947145877776E-3</v>
      </c>
      <c r="F31">
        <v>3.0534351145038601E-3</v>
      </c>
      <c r="G31">
        <v>-1.696113074204951E-2</v>
      </c>
      <c r="H31">
        <v>-5.3542009884678748E-2</v>
      </c>
      <c r="I31">
        <v>-7.5664621676891586E-2</v>
      </c>
      <c r="J31">
        <v>0.10248249522597069</v>
      </c>
      <c r="K31">
        <v>-9.0175953079178972E-2</v>
      </c>
      <c r="L31">
        <v>9.8846787479405975E-3</v>
      </c>
      <c r="M31">
        <v>1.62241887905606E-2</v>
      </c>
      <c r="N31">
        <v>-4.7220106626047344E-2</v>
      </c>
      <c r="O31">
        <v>-3.1936127744511052E-2</v>
      </c>
      <c r="P31">
        <v>-4.9857549857551071E-3</v>
      </c>
      <c r="Q31">
        <v>2.7242524916943484E-2</v>
      </c>
      <c r="R31">
        <v>-8.9673913043478187E-2</v>
      </c>
      <c r="S31">
        <v>-0.11166429587482211</v>
      </c>
      <c r="T31">
        <v>-9.3023255813953459E-2</v>
      </c>
      <c r="U31">
        <v>-1.4074393221312506E-2</v>
      </c>
      <c r="V31">
        <v>-0.11223750905141203</v>
      </c>
      <c r="W31">
        <v>-7.297687861271672E-2</v>
      </c>
      <c r="X31">
        <v>-5.6631892697466428E-2</v>
      </c>
      <c r="Y31">
        <v>-4.9586776859504134E-2</v>
      </c>
      <c r="Z31">
        <v>-6.1654135338345885E-2</v>
      </c>
      <c r="AA31">
        <v>-2.7123483226266832E-2</v>
      </c>
      <c r="AB31">
        <v>-2.1978021978022066E-2</v>
      </c>
      <c r="AC31">
        <v>-4.7436878347360281E-2</v>
      </c>
      <c r="AD31">
        <v>-3.4707158351410056E-2</v>
      </c>
      <c r="AE31" t="s">
        <v>155</v>
      </c>
    </row>
    <row r="32" spans="1:31" hidden="1" x14ac:dyDescent="0.3">
      <c r="A32">
        <v>2017</v>
      </c>
      <c r="B32" t="s">
        <v>43</v>
      </c>
      <c r="C32" t="s">
        <v>34</v>
      </c>
      <c r="D32">
        <v>1.0455563853622148E-2</v>
      </c>
      <c r="E32">
        <v>-4.2016806722690661E-3</v>
      </c>
      <c r="F32">
        <v>-1.52207001522083E-3</v>
      </c>
      <c r="G32">
        <v>1.0783608914450037E-2</v>
      </c>
      <c r="H32">
        <v>3.5683202785030413E-2</v>
      </c>
      <c r="I32">
        <v>4.3510324483775856E-2</v>
      </c>
      <c r="J32">
        <v>-6.1200923787528838E-2</v>
      </c>
      <c r="K32">
        <v>6.6075745366639946E-2</v>
      </c>
      <c r="L32">
        <v>-6.5252854812397811E-3</v>
      </c>
      <c r="M32">
        <v>-1.0885341074020319E-2</v>
      </c>
      <c r="N32">
        <v>2.8776978417266143E-2</v>
      </c>
      <c r="O32">
        <v>1.7869415807560098E-2</v>
      </c>
      <c r="P32">
        <v>2.863278453829676E-3</v>
      </c>
      <c r="Q32">
        <v>-1.940491591203105E-2</v>
      </c>
      <c r="R32">
        <v>5.9701492537313432E-2</v>
      </c>
      <c r="S32">
        <v>7.3658927141713279E-2</v>
      </c>
      <c r="T32">
        <v>6.184012066365021E-2</v>
      </c>
      <c r="U32">
        <v>0</v>
      </c>
      <c r="V32">
        <v>7.8303425774877602E-2</v>
      </c>
      <c r="W32">
        <v>4.1309431021044292E-2</v>
      </c>
      <c r="X32">
        <v>3.7124802527646265E-2</v>
      </c>
      <c r="Y32">
        <v>2.4347826086956497E-2</v>
      </c>
      <c r="Z32">
        <v>2.8846153846153914E-2</v>
      </c>
      <c r="AA32">
        <v>1.1738811445341116E-2</v>
      </c>
      <c r="AB32">
        <v>1.2841091492776955E-2</v>
      </c>
      <c r="AC32">
        <v>2.5702811244979942E-2</v>
      </c>
      <c r="AD32">
        <v>1.9475655430711569E-2</v>
      </c>
      <c r="AE32" t="s">
        <v>155</v>
      </c>
    </row>
    <row r="33" spans="1:31" hidden="1" x14ac:dyDescent="0.3">
      <c r="A33">
        <v>2017</v>
      </c>
      <c r="B33" t="s">
        <v>45</v>
      </c>
      <c r="C33" t="s">
        <v>30</v>
      </c>
      <c r="D33">
        <v>7.3909830007390974E-3</v>
      </c>
      <c r="E33">
        <v>2.109704641350291E-3</v>
      </c>
      <c r="F33">
        <v>7.0884146341463505E-2</v>
      </c>
      <c r="G33">
        <v>6.401137980085389E-3</v>
      </c>
      <c r="H33">
        <v>2.1848739495798273E-2</v>
      </c>
      <c r="I33">
        <v>4.0989399293286301E-2</v>
      </c>
      <c r="J33">
        <v>3.3210332103321069E-2</v>
      </c>
      <c r="K33">
        <v>2.6455026455026454E-2</v>
      </c>
      <c r="L33">
        <v>5.7471264367816325E-3</v>
      </c>
      <c r="M33">
        <v>-2.2010271460015506E-3</v>
      </c>
      <c r="N33">
        <v>2.4864024864024999E-2</v>
      </c>
      <c r="O33">
        <v>2.2282241728561861E-2</v>
      </c>
      <c r="P33">
        <v>1.6416845110635344E-2</v>
      </c>
      <c r="Q33">
        <v>3.2981530343007917E-3</v>
      </c>
      <c r="R33">
        <v>4.3661971830985837E-2</v>
      </c>
      <c r="S33">
        <v>5.5182699478001536E-2</v>
      </c>
      <c r="T33">
        <v>4.6164772727272721E-2</v>
      </c>
      <c r="U33">
        <v>1.4275309541150614E-2</v>
      </c>
      <c r="V33">
        <v>6.7322239031770092E-2</v>
      </c>
      <c r="W33">
        <v>4.3413173652694696E-2</v>
      </c>
      <c r="X33">
        <v>3.4272658035034272E-2</v>
      </c>
      <c r="Y33">
        <v>3.2258064516129011E-2</v>
      </c>
      <c r="Z33">
        <v>4.1277258566978059E-2</v>
      </c>
      <c r="AA33">
        <v>2.610587382160982E-2</v>
      </c>
      <c r="AB33">
        <v>1.5055467511885828E-2</v>
      </c>
      <c r="AC33">
        <v>3.1323414252153375E-2</v>
      </c>
      <c r="AD33">
        <v>2.8655400440852359E-2</v>
      </c>
      <c r="AE33" t="s">
        <v>156</v>
      </c>
    </row>
    <row r="34" spans="1:31" hidden="1" x14ac:dyDescent="0.3">
      <c r="A34">
        <v>2017</v>
      </c>
      <c r="B34" t="s">
        <v>45</v>
      </c>
      <c r="C34" t="s">
        <v>33</v>
      </c>
      <c r="D34">
        <v>-1.4673514306676448E-2</v>
      </c>
      <c r="E34">
        <v>-2.8070175438596888E-3</v>
      </c>
      <c r="F34">
        <v>4.4128113879003478E-2</v>
      </c>
      <c r="G34">
        <v>-1.4134275618374558E-2</v>
      </c>
      <c r="H34">
        <v>-5.2631578947368356E-2</v>
      </c>
      <c r="I34">
        <v>-7.3998642226748165E-2</v>
      </c>
      <c r="J34">
        <v>0.10238095238095231</v>
      </c>
      <c r="K34">
        <v>-0.10014727540500742</v>
      </c>
      <c r="L34">
        <v>1.1428571428571475E-2</v>
      </c>
      <c r="M34">
        <v>1.6911764705882435E-2</v>
      </c>
      <c r="N34">
        <v>-4.9279757391963608E-2</v>
      </c>
      <c r="O34">
        <v>-3.5667107001321037E-2</v>
      </c>
      <c r="P34">
        <v>-6.3202247191011633E-3</v>
      </c>
      <c r="Q34">
        <v>2.6955950032873075E-2</v>
      </c>
      <c r="R34">
        <v>-8.9068825910931099E-2</v>
      </c>
      <c r="S34">
        <v>-0.11378091872791515</v>
      </c>
      <c r="T34">
        <v>-9.3686354378818809E-2</v>
      </c>
      <c r="U34">
        <v>-4.7393364928909713E-3</v>
      </c>
      <c r="V34">
        <v>-0.10914245216158747</v>
      </c>
      <c r="W34">
        <v>-7.60401721664275E-2</v>
      </c>
      <c r="X34">
        <v>-6.185567010309282E-2</v>
      </c>
      <c r="Y34">
        <v>-5.180921052631577E-2</v>
      </c>
      <c r="Z34">
        <v>-6.4323111443530256E-2</v>
      </c>
      <c r="AA34">
        <v>-3.4628975265017709E-2</v>
      </c>
      <c r="AB34">
        <v>-2.4980483996877353E-2</v>
      </c>
      <c r="AC34">
        <v>-5.163249810174627E-2</v>
      </c>
      <c r="AD34">
        <v>-3.7142857142857061E-2</v>
      </c>
      <c r="AE34" t="s">
        <v>156</v>
      </c>
    </row>
    <row r="35" spans="1:31" hidden="1" x14ac:dyDescent="0.3">
      <c r="A35">
        <v>2017</v>
      </c>
      <c r="B35" t="s">
        <v>45</v>
      </c>
      <c r="C35" t="s">
        <v>34</v>
      </c>
      <c r="D35">
        <v>1.0424422933730283E-2</v>
      </c>
      <c r="E35">
        <v>2.1111893033076098E-3</v>
      </c>
      <c r="F35">
        <v>-2.5903203817314133E-2</v>
      </c>
      <c r="G35">
        <v>9.31899641577069E-3</v>
      </c>
      <c r="H35">
        <v>3.4722222222222224E-2</v>
      </c>
      <c r="I35">
        <v>4.2521994134897233E-2</v>
      </c>
      <c r="J35">
        <v>-6.1555075593952367E-2</v>
      </c>
      <c r="K35">
        <v>7.3649754500818218E-2</v>
      </c>
      <c r="L35">
        <v>-7.2639225181598517E-3</v>
      </c>
      <c r="M35">
        <v>-1.0845986984815618E-2</v>
      </c>
      <c r="N35">
        <v>3.0303030303030165E-2</v>
      </c>
      <c r="O35">
        <v>1.9863013698630177E-2</v>
      </c>
      <c r="P35">
        <v>4.2402826855123272E-3</v>
      </c>
      <c r="Q35">
        <v>-1.9206145966709349E-2</v>
      </c>
      <c r="R35">
        <v>5.9259259259259262E-2</v>
      </c>
      <c r="S35">
        <v>7.4960127591706588E-2</v>
      </c>
      <c r="T35">
        <v>6.2172284644194845E-2</v>
      </c>
      <c r="U35">
        <v>0</v>
      </c>
      <c r="V35">
        <v>7.6372315035799596E-2</v>
      </c>
      <c r="W35">
        <v>4.3478260869565168E-2</v>
      </c>
      <c r="X35">
        <v>4.0816326530612151E-2</v>
      </c>
      <c r="Y35">
        <v>2.6019080659150044E-2</v>
      </c>
      <c r="Z35">
        <v>3.0375699440447733E-2</v>
      </c>
      <c r="AA35">
        <v>1.4641288433382138E-2</v>
      </c>
      <c r="AB35">
        <v>1.5212169735788561E-2</v>
      </c>
      <c r="AC35">
        <v>2.8022417934347475E-2</v>
      </c>
      <c r="AD35">
        <v>2.0771513353115598E-2</v>
      </c>
      <c r="AE35" t="s">
        <v>156</v>
      </c>
    </row>
    <row r="36" spans="1:31" hidden="1" x14ac:dyDescent="0.3">
      <c r="A36">
        <v>2017</v>
      </c>
      <c r="B36" t="s">
        <v>46</v>
      </c>
      <c r="C36" t="s">
        <v>30</v>
      </c>
      <c r="D36">
        <v>5.158437730287525E-3</v>
      </c>
      <c r="E36">
        <v>9.1292134831459475E-3</v>
      </c>
      <c r="F36">
        <v>1.3296011196641047E-2</v>
      </c>
      <c r="G36">
        <v>7.8124999999999592E-3</v>
      </c>
      <c r="H36">
        <v>3.2718120805369053E-2</v>
      </c>
      <c r="I36">
        <v>3.5161744022503522E-2</v>
      </c>
      <c r="J36">
        <v>-7.3647871116225602E-2</v>
      </c>
      <c r="K36">
        <v>1.9817073170731881E-2</v>
      </c>
      <c r="L36">
        <v>-8.9430894308942625E-3</v>
      </c>
      <c r="M36">
        <v>-7.3099415204678359E-3</v>
      </c>
      <c r="N36">
        <v>1.4705882352941221E-2</v>
      </c>
      <c r="O36">
        <v>1.6789791806581598E-2</v>
      </c>
      <c r="P36">
        <v>-4.2223786066150201E-3</v>
      </c>
      <c r="Q36">
        <v>0</v>
      </c>
      <c r="R36">
        <v>3.4965034965034968E-2</v>
      </c>
      <c r="S36">
        <v>5.2670623145400546E-2</v>
      </c>
      <c r="T36">
        <v>3.8081805359661332E-2</v>
      </c>
      <c r="U36">
        <v>4.7619047619047372E-3</v>
      </c>
      <c r="V36">
        <v>5.3954175905395287E-2</v>
      </c>
      <c r="W36">
        <v>3.7946428571428527E-2</v>
      </c>
      <c r="X36">
        <v>2.6395173453996983E-2</v>
      </c>
      <c r="Y36">
        <v>3.1276415891800531E-2</v>
      </c>
      <c r="Z36">
        <v>3.4910783553141971E-2</v>
      </c>
      <c r="AA36">
        <v>1.803751803751804E-2</v>
      </c>
      <c r="AB36">
        <v>7.8864353312302835E-3</v>
      </c>
      <c r="AC36">
        <v>2.7258566978193146E-2</v>
      </c>
      <c r="AD36">
        <v>1.5988372093023381E-2</v>
      </c>
      <c r="AE36" t="s">
        <v>157</v>
      </c>
    </row>
    <row r="37" spans="1:31" hidden="1" x14ac:dyDescent="0.3">
      <c r="A37">
        <v>2017</v>
      </c>
      <c r="B37" t="s">
        <v>46</v>
      </c>
      <c r="C37" t="s">
        <v>33</v>
      </c>
      <c r="D37">
        <v>-1.4662756598240468E-2</v>
      </c>
      <c r="E37">
        <v>-7.6548364648573028E-3</v>
      </c>
      <c r="F37">
        <v>7.596685082872888E-3</v>
      </c>
      <c r="G37">
        <v>-1.6913319238900673E-2</v>
      </c>
      <c r="H37">
        <v>-5.8489033306254989E-2</v>
      </c>
      <c r="I37">
        <v>-8.288043478260862E-2</v>
      </c>
      <c r="J37">
        <v>1.3664596273291855E-2</v>
      </c>
      <c r="K37">
        <v>-0.10463378176382671</v>
      </c>
      <c r="L37">
        <v>-9.8441345365053549E-3</v>
      </c>
      <c r="M37">
        <v>2.8718703976435764E-2</v>
      </c>
      <c r="N37">
        <v>-4.1189931350114353E-2</v>
      </c>
      <c r="O37">
        <v>-3.3685601056803134E-2</v>
      </c>
      <c r="P37">
        <v>-1.9081272084805572E-2</v>
      </c>
      <c r="Q37">
        <v>2.4804177545691981E-2</v>
      </c>
      <c r="R37">
        <v>-8.3783783783783816E-2</v>
      </c>
      <c r="S37">
        <v>-0.11486962649753354</v>
      </c>
      <c r="T37">
        <v>-8.9673913043478187E-2</v>
      </c>
      <c r="U37">
        <v>-1.148930058882641E-3</v>
      </c>
      <c r="V37">
        <v>-0.11079943899018231</v>
      </c>
      <c r="W37">
        <v>-7.3118279569892392E-2</v>
      </c>
      <c r="X37">
        <v>-5.8045554739162425E-2</v>
      </c>
      <c r="Y37">
        <v>-5.4918032786885271E-2</v>
      </c>
      <c r="Z37">
        <v>-5.847076461769124E-2</v>
      </c>
      <c r="AA37">
        <v>-3.1183557760453621E-2</v>
      </c>
      <c r="AB37">
        <v>-2.5039123630672948E-2</v>
      </c>
      <c r="AC37">
        <v>-5.1554207733131241E-2</v>
      </c>
      <c r="AD37">
        <v>-4.0772532188841318E-2</v>
      </c>
      <c r="AE37" t="s">
        <v>157</v>
      </c>
    </row>
    <row r="38" spans="1:31" hidden="1" x14ac:dyDescent="0.3">
      <c r="A38">
        <v>2017</v>
      </c>
      <c r="B38" t="s">
        <v>46</v>
      </c>
      <c r="C38" t="s">
        <v>34</v>
      </c>
      <c r="D38">
        <v>1.0416666666666708E-2</v>
      </c>
      <c r="E38">
        <v>4.9088359046284506E-3</v>
      </c>
      <c r="F38">
        <v>-4.79780671692952E-3</v>
      </c>
      <c r="G38">
        <v>1.0752688172043012E-2</v>
      </c>
      <c r="H38">
        <v>3.9689387402933513E-2</v>
      </c>
      <c r="I38">
        <v>4.8148148148148148E-2</v>
      </c>
      <c r="J38">
        <v>-9.1911764705882356E-3</v>
      </c>
      <c r="K38">
        <v>7.7629382303839714E-2</v>
      </c>
      <c r="L38">
        <v>6.6280033140016332E-3</v>
      </c>
      <c r="M38">
        <v>-1.8611309949892588E-2</v>
      </c>
      <c r="N38">
        <v>2.4661893396976997E-2</v>
      </c>
      <c r="O38">
        <v>1.8455228981544693E-2</v>
      </c>
      <c r="P38">
        <v>1.2247838616714614E-2</v>
      </c>
      <c r="Q38">
        <v>-1.7834394904458671E-2</v>
      </c>
      <c r="R38">
        <v>5.5309734513274339E-2</v>
      </c>
      <c r="S38">
        <v>7.5636942675159233E-2</v>
      </c>
      <c r="T38">
        <v>5.9701492537313432E-2</v>
      </c>
      <c r="U38">
        <v>0</v>
      </c>
      <c r="V38">
        <v>7.728706624605676E-2</v>
      </c>
      <c r="W38">
        <v>4.1763341067285201E-2</v>
      </c>
      <c r="X38">
        <v>3.8221528861154493E-2</v>
      </c>
      <c r="Y38">
        <v>2.775368603642674E-2</v>
      </c>
      <c r="Z38">
        <v>2.7070063694267562E-2</v>
      </c>
      <c r="AA38">
        <v>1.3167520117044708E-2</v>
      </c>
      <c r="AB38">
        <v>1.5248796147672598E-2</v>
      </c>
      <c r="AC38">
        <v>2.7977617905675461E-2</v>
      </c>
      <c r="AD38">
        <v>2.3117076808351934E-2</v>
      </c>
      <c r="AE38" t="s">
        <v>157</v>
      </c>
    </row>
    <row r="39" spans="1:31" hidden="1" x14ac:dyDescent="0.3">
      <c r="A39">
        <v>2018</v>
      </c>
      <c r="B39" t="s">
        <v>31</v>
      </c>
      <c r="C39" t="s">
        <v>30</v>
      </c>
      <c r="D39">
        <v>5.8910162002944249E-3</v>
      </c>
      <c r="E39">
        <v>7.6762037683181733E-3</v>
      </c>
      <c r="F39">
        <v>-9.6418732782367587E-3</v>
      </c>
      <c r="G39">
        <v>7.0921985815602835E-3</v>
      </c>
      <c r="H39">
        <v>2.2406639004149402E-2</v>
      </c>
      <c r="I39">
        <v>4.5229681978798626E-2</v>
      </c>
      <c r="J39">
        <v>-5.936920222634505E-2</v>
      </c>
      <c r="K39">
        <v>2.0914020139426934E-2</v>
      </c>
      <c r="L39">
        <v>-1.646090534979424E-2</v>
      </c>
      <c r="M39">
        <v>-8.0233406272793174E-3</v>
      </c>
      <c r="N39">
        <v>1.8633540372670631E-2</v>
      </c>
      <c r="O39">
        <v>1.8791946308724907E-2</v>
      </c>
      <c r="P39">
        <v>-7.1174377224195238E-4</v>
      </c>
      <c r="Q39">
        <v>-3.8910505836575512E-3</v>
      </c>
      <c r="R39">
        <v>3.6338225017470423E-2</v>
      </c>
      <c r="S39">
        <v>5.3293856402664819E-2</v>
      </c>
      <c r="T39">
        <v>3.873239436619718E-2</v>
      </c>
      <c r="U39">
        <v>1.1502516175413127E-3</v>
      </c>
      <c r="V39">
        <v>4.1727672035139218E-2</v>
      </c>
      <c r="W39">
        <v>3.786191536748347E-2</v>
      </c>
      <c r="X39">
        <v>2.17881292261458E-2</v>
      </c>
      <c r="Y39">
        <v>3.5443037974683567E-2</v>
      </c>
      <c r="Z39">
        <v>4.1085271317829547E-2</v>
      </c>
      <c r="AA39">
        <v>2.2382671480144362E-2</v>
      </c>
      <c r="AB39">
        <v>1.6600790513833948E-2</v>
      </c>
      <c r="AC39">
        <v>2.8771384136858608E-2</v>
      </c>
      <c r="AD39">
        <v>1.5306122448979758E-2</v>
      </c>
      <c r="AE39" t="s">
        <v>158</v>
      </c>
    </row>
    <row r="40" spans="1:31" hidden="1" x14ac:dyDescent="0.3">
      <c r="A40">
        <v>2018</v>
      </c>
      <c r="B40" t="s">
        <v>31</v>
      </c>
      <c r="C40" t="s">
        <v>33</v>
      </c>
      <c r="D40">
        <v>-1.4641288433382138E-2</v>
      </c>
      <c r="E40">
        <v>-4.8476454293629985E-3</v>
      </c>
      <c r="F40">
        <v>-1.3908205841447639E-3</v>
      </c>
      <c r="G40">
        <v>-1.6901408450704265E-2</v>
      </c>
      <c r="H40">
        <v>-5.5194805194805172E-2</v>
      </c>
      <c r="I40">
        <v>-9.5334685598377239E-2</v>
      </c>
      <c r="J40">
        <v>-1.0519395134779713E-2</v>
      </c>
      <c r="K40">
        <v>-0.10166919575113813</v>
      </c>
      <c r="L40">
        <v>-1.8410041841004209E-2</v>
      </c>
      <c r="M40">
        <v>3.3088235294117647E-2</v>
      </c>
      <c r="N40">
        <v>-4.039634146341451E-2</v>
      </c>
      <c r="O40">
        <v>-3.2938076416337281E-2</v>
      </c>
      <c r="P40">
        <v>-2.2792022792022911E-2</v>
      </c>
      <c r="Q40">
        <v>2.6692708333333297E-2</v>
      </c>
      <c r="R40">
        <v>-8.2939986513823408E-2</v>
      </c>
      <c r="S40">
        <v>-0.11524947294448351</v>
      </c>
      <c r="T40">
        <v>-8.8813559322033858E-2</v>
      </c>
      <c r="U40">
        <v>8.1861266695390979E-3</v>
      </c>
      <c r="V40">
        <v>-0.10541110330288132</v>
      </c>
      <c r="W40">
        <v>-7.367668097281839E-2</v>
      </c>
      <c r="X40">
        <v>-5.1470588235294115E-2</v>
      </c>
      <c r="Y40">
        <v>-5.215973920130404E-2</v>
      </c>
      <c r="Z40">
        <v>-6.0312732688011975E-2</v>
      </c>
      <c r="AA40">
        <v>-3.1779661016949151E-2</v>
      </c>
      <c r="AB40">
        <v>-2.4105754276827328E-2</v>
      </c>
      <c r="AC40">
        <v>-4.9130763416477805E-2</v>
      </c>
      <c r="AD40">
        <v>-3.7329504666188201E-2</v>
      </c>
      <c r="AE40" t="s">
        <v>158</v>
      </c>
    </row>
    <row r="41" spans="1:31" hidden="1" x14ac:dyDescent="0.3">
      <c r="A41">
        <v>2018</v>
      </c>
      <c r="B41" t="s">
        <v>31</v>
      </c>
      <c r="C41" t="s">
        <v>34</v>
      </c>
      <c r="D41">
        <v>1.0401188707280875E-2</v>
      </c>
      <c r="E41">
        <v>3.4794711203897009E-3</v>
      </c>
      <c r="F41">
        <v>6.9637883008352589E-4</v>
      </c>
      <c r="G41">
        <v>1.0744985673352437E-2</v>
      </c>
      <c r="H41">
        <v>3.6941580756013719E-2</v>
      </c>
      <c r="I41">
        <v>5.605381165919282E-2</v>
      </c>
      <c r="J41">
        <v>7.3089700996677364E-3</v>
      </c>
      <c r="K41">
        <v>7.5168918918918845E-2</v>
      </c>
      <c r="L41">
        <v>1.278772378516624E-2</v>
      </c>
      <c r="M41">
        <v>-2.1352313167259787E-2</v>
      </c>
      <c r="N41">
        <v>2.4622716441620288E-2</v>
      </c>
      <c r="O41">
        <v>1.8392370572207006E-2</v>
      </c>
      <c r="P41">
        <v>1.457725947521866E-2</v>
      </c>
      <c r="Q41">
        <v>-1.9023462270133167E-2</v>
      </c>
      <c r="R41">
        <v>5.514705882352941E-2</v>
      </c>
      <c r="S41">
        <v>7.6250992851469371E-2</v>
      </c>
      <c r="T41">
        <v>5.8779761904761946E-2</v>
      </c>
      <c r="U41">
        <v>0</v>
      </c>
      <c r="V41">
        <v>7.3055773762765105E-2</v>
      </c>
      <c r="W41">
        <v>4.1698841698841742E-2</v>
      </c>
      <c r="X41">
        <v>3.3333333333333423E-2</v>
      </c>
      <c r="Y41">
        <v>2.5795356835769563E-2</v>
      </c>
      <c r="Z41">
        <v>2.773375594294759E-2</v>
      </c>
      <c r="AA41">
        <v>1.3858497447118933E-2</v>
      </c>
      <c r="AB41">
        <v>1.4342629482071691E-2</v>
      </c>
      <c r="AC41">
        <v>2.6232114467408564E-2</v>
      </c>
      <c r="AD41">
        <v>2.0879940343027675E-2</v>
      </c>
      <c r="AE41" t="s">
        <v>158</v>
      </c>
    </row>
    <row r="42" spans="1:31" hidden="1" x14ac:dyDescent="0.3">
      <c r="A42">
        <v>2018</v>
      </c>
      <c r="B42" t="s">
        <v>35</v>
      </c>
      <c r="C42" t="s">
        <v>30</v>
      </c>
      <c r="D42">
        <v>2.9411764705882769E-3</v>
      </c>
      <c r="E42">
        <v>-3.4674063800277394E-3</v>
      </c>
      <c r="F42">
        <v>-2.1572720946416105E-2</v>
      </c>
      <c r="G42">
        <v>2.8348688873140022E-3</v>
      </c>
      <c r="H42">
        <v>1.822700911350458E-2</v>
      </c>
      <c r="I42">
        <v>5.7324840764331163E-2</v>
      </c>
      <c r="J42">
        <v>-6.068601583113449E-2</v>
      </c>
      <c r="K42">
        <v>2.278083267871164E-2</v>
      </c>
      <c r="L42">
        <v>-7.575757575757504E-3</v>
      </c>
      <c r="M42">
        <v>-1.381818181818186E-2</v>
      </c>
      <c r="N42">
        <v>1.1627906976744186E-2</v>
      </c>
      <c r="O42">
        <v>1.4715719063545074E-2</v>
      </c>
      <c r="P42">
        <v>-3.5919540229885061E-3</v>
      </c>
      <c r="Q42">
        <v>-9.049773755655962E-3</v>
      </c>
      <c r="R42">
        <v>3.6236933797909328E-2</v>
      </c>
      <c r="S42">
        <v>5.092250922509229E-2</v>
      </c>
      <c r="T42">
        <v>3.8650737877723114E-2</v>
      </c>
      <c r="U42">
        <v>-8.1196581196582244E-3</v>
      </c>
      <c r="V42">
        <v>4.2459736456808284E-2</v>
      </c>
      <c r="W42">
        <v>3.7064492216456635E-2</v>
      </c>
      <c r="X42">
        <v>2.1755438859714756E-2</v>
      </c>
      <c r="Y42">
        <v>3.3528918692372171E-2</v>
      </c>
      <c r="Z42">
        <v>3.5466461063994009E-2</v>
      </c>
      <c r="AA42">
        <v>1.7985611510791366E-2</v>
      </c>
      <c r="AB42">
        <v>1.1783189316575132E-2</v>
      </c>
      <c r="AC42">
        <v>2.6336173508907868E-2</v>
      </c>
      <c r="AD42">
        <v>1.1687363038714349E-2</v>
      </c>
      <c r="AE42" t="s">
        <v>159</v>
      </c>
    </row>
    <row r="43" spans="1:31" hidden="1" x14ac:dyDescent="0.3">
      <c r="A43">
        <v>2018</v>
      </c>
      <c r="B43" t="s">
        <v>35</v>
      </c>
      <c r="C43" t="s">
        <v>33</v>
      </c>
      <c r="D43">
        <v>-1.1730205278592334E-2</v>
      </c>
      <c r="E43">
        <v>-4.8712595685455025E-3</v>
      </c>
      <c r="F43">
        <v>-4.9786628733996348E-3</v>
      </c>
      <c r="G43">
        <v>-1.1307420494699606E-2</v>
      </c>
      <c r="H43">
        <v>-5.4515866558177403E-2</v>
      </c>
      <c r="I43">
        <v>-9.3038821954484638E-2</v>
      </c>
      <c r="J43">
        <v>-3.8623595505617975E-2</v>
      </c>
      <c r="K43">
        <v>-0.10138248847926259</v>
      </c>
      <c r="L43">
        <v>-2.1204410517387615E-2</v>
      </c>
      <c r="M43">
        <v>3.761061946902651E-2</v>
      </c>
      <c r="N43">
        <v>-3.5249042145593823E-2</v>
      </c>
      <c r="O43">
        <v>-3.0323005932761996E-2</v>
      </c>
      <c r="P43">
        <v>-2.23503965392934E-2</v>
      </c>
      <c r="Q43">
        <v>3.9138943248532287E-2</v>
      </c>
      <c r="R43">
        <v>-8.3389374579690506E-2</v>
      </c>
      <c r="S43">
        <v>-0.11446629213483153</v>
      </c>
      <c r="T43">
        <v>-8.8633288227334378E-2</v>
      </c>
      <c r="U43">
        <v>1.4648858250754133E-2</v>
      </c>
      <c r="V43">
        <v>-0.10603932584269668</v>
      </c>
      <c r="W43">
        <v>-7.147962830593281E-2</v>
      </c>
      <c r="X43">
        <v>-4.6989720998531409E-2</v>
      </c>
      <c r="Y43">
        <v>-4.7850770478507637E-2</v>
      </c>
      <c r="Z43">
        <v>-5.8078927773641181E-2</v>
      </c>
      <c r="AA43">
        <v>-3.038869257950538E-2</v>
      </c>
      <c r="AB43">
        <v>-2.0186335403726774E-2</v>
      </c>
      <c r="AC43">
        <v>-4.5283018867924525E-2</v>
      </c>
      <c r="AD43">
        <v>-3.2490974729241874E-2</v>
      </c>
      <c r="AE43" t="s">
        <v>159</v>
      </c>
    </row>
    <row r="44" spans="1:31" hidden="1" x14ac:dyDescent="0.3">
      <c r="A44">
        <v>2018</v>
      </c>
      <c r="B44" t="s">
        <v>35</v>
      </c>
      <c r="C44" t="s">
        <v>34</v>
      </c>
      <c r="D44">
        <v>8.160237388723993E-3</v>
      </c>
      <c r="E44">
        <v>3.4965034965034965E-3</v>
      </c>
      <c r="F44">
        <v>2.8591851322373528E-3</v>
      </c>
      <c r="G44">
        <v>7.1479628305932807E-3</v>
      </c>
      <c r="H44">
        <v>3.6144578313253038E-2</v>
      </c>
      <c r="I44">
        <v>5.4612546125461299E-2</v>
      </c>
      <c r="J44">
        <v>2.6296566837107335E-2</v>
      </c>
      <c r="K44">
        <v>7.5213675213675196E-2</v>
      </c>
      <c r="L44">
        <v>1.4731369150779796E-2</v>
      </c>
      <c r="M44">
        <v>-2.4164889836531468E-2</v>
      </c>
      <c r="N44">
        <v>2.1445591739475682E-2</v>
      </c>
      <c r="O44">
        <v>1.6995241332426921E-2</v>
      </c>
      <c r="P44">
        <v>1.4749262536873156E-2</v>
      </c>
      <c r="Q44">
        <v>-2.7620841180163249E-2</v>
      </c>
      <c r="R44">
        <v>5.5025678650036679E-2</v>
      </c>
      <c r="S44">
        <v>7.5337034099920708E-2</v>
      </c>
      <c r="T44">
        <v>5.8648849294729077E-2</v>
      </c>
      <c r="U44">
        <v>0</v>
      </c>
      <c r="V44">
        <v>7.3841319717203396E-2</v>
      </c>
      <c r="W44">
        <v>4.0800615858352443E-2</v>
      </c>
      <c r="X44">
        <v>3.0816640986132508E-2</v>
      </c>
      <c r="Y44">
        <v>2.3850085178875612E-2</v>
      </c>
      <c r="Z44">
        <v>2.6877470355731271E-2</v>
      </c>
      <c r="AA44">
        <v>1.3119533527696877E-2</v>
      </c>
      <c r="AB44">
        <v>1.1885895404120444E-2</v>
      </c>
      <c r="AC44">
        <v>2.4505928853754896E-2</v>
      </c>
      <c r="AD44">
        <v>1.7910447761194073E-2</v>
      </c>
      <c r="AE44" t="s">
        <v>159</v>
      </c>
    </row>
    <row r="45" spans="1:31" hidden="1" x14ac:dyDescent="0.3">
      <c r="A45">
        <v>2018</v>
      </c>
      <c r="B45" t="s">
        <v>36</v>
      </c>
      <c r="C45" t="s">
        <v>30</v>
      </c>
      <c r="D45">
        <v>6.6225165562914324E-3</v>
      </c>
      <c r="E45">
        <v>2.0905923344948529E-3</v>
      </c>
      <c r="F45">
        <v>-2.1382751247327964E-3</v>
      </c>
      <c r="G45">
        <v>7.8069552874378582E-3</v>
      </c>
      <c r="H45">
        <v>2.3255813953488347E-2</v>
      </c>
      <c r="I45">
        <v>6.997900629811056E-2</v>
      </c>
      <c r="J45">
        <v>-1.7793594306049824E-2</v>
      </c>
      <c r="K45">
        <v>2.7821939586645583E-2</v>
      </c>
      <c r="L45">
        <v>0</v>
      </c>
      <c r="M45">
        <v>-7.283321194464675E-3</v>
      </c>
      <c r="N45">
        <v>2.0217729393468074E-2</v>
      </c>
      <c r="O45">
        <v>2.1390374331550915E-2</v>
      </c>
      <c r="P45">
        <v>7.2674418604651162E-3</v>
      </c>
      <c r="Q45">
        <v>1.2911555842478285E-3</v>
      </c>
      <c r="R45">
        <v>3.7552155771905266E-2</v>
      </c>
      <c r="S45">
        <v>5.4572271386430719E-2</v>
      </c>
      <c r="T45">
        <v>3.9971949509116533E-2</v>
      </c>
      <c r="U45">
        <v>-1.4437367303609486E-2</v>
      </c>
      <c r="V45">
        <v>4.3160204828090756E-2</v>
      </c>
      <c r="W45">
        <v>3.4763313609467585E-2</v>
      </c>
      <c r="X45">
        <v>2.1674140508221054E-2</v>
      </c>
      <c r="Y45">
        <v>3.6605657237936698E-2</v>
      </c>
      <c r="Z45">
        <v>4.0030792917628857E-2</v>
      </c>
      <c r="AA45">
        <v>2.6618705035971142E-2</v>
      </c>
      <c r="AB45">
        <v>1.252936570086146E-2</v>
      </c>
      <c r="AC45">
        <v>2.8549382716049516E-2</v>
      </c>
      <c r="AD45">
        <v>1.6862170087976414E-2</v>
      </c>
      <c r="AE45" t="s">
        <v>160</v>
      </c>
    </row>
    <row r="46" spans="1:31" hidden="1" x14ac:dyDescent="0.3">
      <c r="A46">
        <v>2018</v>
      </c>
      <c r="B46" t="s">
        <v>36</v>
      </c>
      <c r="C46" t="s">
        <v>33</v>
      </c>
      <c r="D46">
        <v>-1.3157894736842188E-2</v>
      </c>
      <c r="E46">
        <v>-4.8678720445063765E-3</v>
      </c>
      <c r="F46">
        <v>-3.214285714285714E-2</v>
      </c>
      <c r="G46">
        <v>-1.4788732394366157E-2</v>
      </c>
      <c r="H46">
        <v>-5.4383116883116908E-2</v>
      </c>
      <c r="I46">
        <v>-9.4179202092871186E-2</v>
      </c>
      <c r="J46">
        <v>-7.2463768115942032E-2</v>
      </c>
      <c r="K46">
        <v>-0.10672853828306272</v>
      </c>
      <c r="L46">
        <v>-2.4765157984628451E-2</v>
      </c>
      <c r="M46">
        <v>3.2281731474688019E-2</v>
      </c>
      <c r="N46">
        <v>-3.8109756097560871E-2</v>
      </c>
      <c r="O46">
        <v>-3.4031413612565557E-2</v>
      </c>
      <c r="P46">
        <v>-2.7417027417027295E-2</v>
      </c>
      <c r="Q46">
        <v>2.9658284977433877E-2</v>
      </c>
      <c r="R46">
        <v>-8.3780160857908847E-2</v>
      </c>
      <c r="S46">
        <v>-0.11398601398601396</v>
      </c>
      <c r="T46">
        <v>-8.8334457181389228E-2</v>
      </c>
      <c r="U46">
        <v>1.9675427258365713E-2</v>
      </c>
      <c r="V46">
        <v>-0.1136044880785413</v>
      </c>
      <c r="W46">
        <v>-6.5046461758398816E-2</v>
      </c>
      <c r="X46">
        <v>-4.5354791514264733E-2</v>
      </c>
      <c r="Y46">
        <v>-5.4574638844301748E-2</v>
      </c>
      <c r="Z46">
        <v>-6.1435973353071778E-2</v>
      </c>
      <c r="AA46">
        <v>-3.4337771548703419E-2</v>
      </c>
      <c r="AB46">
        <v>-2.0108275328693026E-2</v>
      </c>
      <c r="AC46">
        <v>-4.6511627906976868E-2</v>
      </c>
      <c r="AD46">
        <v>-3.3886085075702878E-2</v>
      </c>
      <c r="AE46" t="s">
        <v>160</v>
      </c>
    </row>
    <row r="47" spans="1:31" hidden="1" x14ac:dyDescent="0.3">
      <c r="A47">
        <v>2018</v>
      </c>
      <c r="B47" t="s">
        <v>36</v>
      </c>
      <c r="C47" t="s">
        <v>34</v>
      </c>
      <c r="D47">
        <v>8.8888888888888039E-3</v>
      </c>
      <c r="E47">
        <v>3.4940600978336828E-3</v>
      </c>
      <c r="F47">
        <v>2.0664206642066505E-2</v>
      </c>
      <c r="G47">
        <v>9.2923516797711429E-3</v>
      </c>
      <c r="H47">
        <v>3.6051502145922773E-2</v>
      </c>
      <c r="I47">
        <v>5.5595667870036017E-2</v>
      </c>
      <c r="J47">
        <v>5.1562499999999956E-2</v>
      </c>
      <c r="K47">
        <v>7.878787878787874E-2</v>
      </c>
      <c r="L47">
        <v>1.663747810858136E-2</v>
      </c>
      <c r="M47">
        <v>-2.0611229566453289E-2</v>
      </c>
      <c r="N47">
        <v>2.2979397781299458E-2</v>
      </c>
      <c r="O47">
        <v>1.8970189701897098E-2</v>
      </c>
      <c r="P47">
        <v>1.7804154302670454E-2</v>
      </c>
      <c r="Q47">
        <v>-2.1289918597369929E-2</v>
      </c>
      <c r="R47">
        <v>5.5596196049744133E-2</v>
      </c>
      <c r="S47">
        <v>7.4980268350433976E-2</v>
      </c>
      <c r="T47">
        <v>5.8431952662721942E-2</v>
      </c>
      <c r="U47">
        <v>0</v>
      </c>
      <c r="V47">
        <v>7.9905063291139194E-2</v>
      </c>
      <c r="W47">
        <v>3.6697247706421882E-2</v>
      </c>
      <c r="X47">
        <v>2.9118773946360241E-2</v>
      </c>
      <c r="Y47">
        <v>2.7164685908319209E-2</v>
      </c>
      <c r="Z47">
        <v>2.8391167192429088E-2</v>
      </c>
      <c r="AA47">
        <v>1.4513788098693758E-2</v>
      </c>
      <c r="AB47">
        <v>1.1838989739542113E-2</v>
      </c>
      <c r="AC47">
        <v>2.517702596380816E-2</v>
      </c>
      <c r="AD47">
        <v>1.8656716417910446E-2</v>
      </c>
      <c r="AE47" t="s">
        <v>160</v>
      </c>
    </row>
    <row r="48" spans="1:31" hidden="1" x14ac:dyDescent="0.3">
      <c r="A48">
        <v>2018</v>
      </c>
      <c r="B48" t="s">
        <v>37</v>
      </c>
      <c r="C48" t="s">
        <v>30</v>
      </c>
      <c r="D48">
        <v>6.6079295154185449E-3</v>
      </c>
      <c r="E48">
        <v>6.2674094707521289E-3</v>
      </c>
      <c r="F48">
        <v>-1.7353579175705028E-2</v>
      </c>
      <c r="G48">
        <v>8.4985835694052214E-3</v>
      </c>
      <c r="H48">
        <v>2.3198011599005777E-2</v>
      </c>
      <c r="I48">
        <v>6.976744186046524E-2</v>
      </c>
      <c r="J48">
        <v>3.7147102526002974E-3</v>
      </c>
      <c r="K48">
        <v>3.0497592295345197E-2</v>
      </c>
      <c r="L48">
        <v>-7.7519379844960511E-3</v>
      </c>
      <c r="M48">
        <v>-4.3541364296082923E-3</v>
      </c>
      <c r="N48">
        <v>2.1688613477924178E-2</v>
      </c>
      <c r="O48">
        <v>2.260638297872344E-2</v>
      </c>
      <c r="P48">
        <v>1.0204081632653104E-2</v>
      </c>
      <c r="Q48">
        <v>-1.2795905310301794E-3</v>
      </c>
      <c r="R48">
        <v>4.0194040194040076E-2</v>
      </c>
      <c r="S48">
        <v>5.2129221732746131E-2</v>
      </c>
      <c r="T48">
        <v>4.1928721174004195E-2</v>
      </c>
      <c r="U48">
        <v>-1.9295774647887388E-2</v>
      </c>
      <c r="V48">
        <v>5.347985347985356E-2</v>
      </c>
      <c r="W48">
        <v>3.9085545722713951E-2</v>
      </c>
      <c r="X48">
        <v>2.4571854058078799E-2</v>
      </c>
      <c r="Y48">
        <v>3.5537190082644603E-2</v>
      </c>
      <c r="Z48">
        <v>4.2944785276073573E-2</v>
      </c>
      <c r="AA48">
        <v>2.7896995708154342E-2</v>
      </c>
      <c r="AB48">
        <v>1.7160686427457234E-2</v>
      </c>
      <c r="AC48">
        <v>2.9930928626246946E-2</v>
      </c>
      <c r="AD48">
        <v>1.9047619047619008E-2</v>
      </c>
      <c r="AE48" t="s">
        <v>161</v>
      </c>
    </row>
    <row r="49" spans="1:31" hidden="1" x14ac:dyDescent="0.3">
      <c r="A49">
        <v>2018</v>
      </c>
      <c r="B49" t="s">
        <v>37</v>
      </c>
      <c r="C49" t="s">
        <v>33</v>
      </c>
      <c r="D49">
        <v>-1.5317286652078734E-2</v>
      </c>
      <c r="E49">
        <v>-1.3840830449826202E-3</v>
      </c>
      <c r="F49">
        <v>-3.7527593818984503E-2</v>
      </c>
      <c r="G49">
        <v>-1.4747191011235915E-2</v>
      </c>
      <c r="H49">
        <v>-5.5870445344129598E-2</v>
      </c>
      <c r="I49">
        <v>-4.0281329923273726E-2</v>
      </c>
      <c r="J49">
        <v>-5.5514433752775726E-2</v>
      </c>
      <c r="K49">
        <v>-0.11214953271028041</v>
      </c>
      <c r="L49">
        <v>-3.9930555555555629E-2</v>
      </c>
      <c r="M49">
        <v>2.1865889212827991E-2</v>
      </c>
      <c r="N49">
        <v>-4.094010614101596E-2</v>
      </c>
      <c r="O49">
        <v>-3.5760728218465536E-2</v>
      </c>
      <c r="P49">
        <v>-2.0923520923520966E-2</v>
      </c>
      <c r="Q49">
        <v>1.9859064702113995E-2</v>
      </c>
      <c r="R49">
        <v>-8.194536975349756E-2</v>
      </c>
      <c r="S49">
        <v>-0.11095603628750875</v>
      </c>
      <c r="T49">
        <v>-8.6519114688128812E-2</v>
      </c>
      <c r="U49">
        <v>2.6138158839580747E-2</v>
      </c>
      <c r="V49">
        <v>-0.13351877607788606</v>
      </c>
      <c r="W49">
        <v>-6.4584811923349847E-2</v>
      </c>
      <c r="X49">
        <v>-4.5784883720930113E-2</v>
      </c>
      <c r="Y49">
        <v>-5.1077414205905759E-2</v>
      </c>
      <c r="Z49">
        <v>-6.1764705882352985E-2</v>
      </c>
      <c r="AA49">
        <v>-2.7835768963117607E-2</v>
      </c>
      <c r="AB49">
        <v>-2.1472392638036897E-2</v>
      </c>
      <c r="AC49">
        <v>-4.4709388971684055E-2</v>
      </c>
      <c r="AD49">
        <v>-3.0913012221423314E-2</v>
      </c>
      <c r="AE49" t="s">
        <v>161</v>
      </c>
    </row>
    <row r="50" spans="1:31" hidden="1" x14ac:dyDescent="0.3">
      <c r="A50">
        <v>2018</v>
      </c>
      <c r="B50" t="s">
        <v>37</v>
      </c>
      <c r="C50" t="s">
        <v>34</v>
      </c>
      <c r="D50">
        <v>1.0370370370370412E-2</v>
      </c>
      <c r="E50">
        <v>6.9300069300065354E-4</v>
      </c>
      <c r="F50">
        <v>2.3700305810397507E-2</v>
      </c>
      <c r="G50">
        <v>9.265858873841645E-3</v>
      </c>
      <c r="H50">
        <v>3.7735849056603821E-2</v>
      </c>
      <c r="I50">
        <v>2.2651565622918094E-2</v>
      </c>
      <c r="J50">
        <v>3.918495297805643E-2</v>
      </c>
      <c r="K50">
        <v>8.3333333333333329E-2</v>
      </c>
      <c r="L50">
        <v>2.802893309222431E-2</v>
      </c>
      <c r="M50">
        <v>-1.4265335235378032E-2</v>
      </c>
      <c r="N50">
        <v>2.4505928853754896E-2</v>
      </c>
      <c r="O50">
        <v>1.9554956169925673E-2</v>
      </c>
      <c r="P50">
        <v>1.3264554163596252E-2</v>
      </c>
      <c r="Q50">
        <v>-1.4447236180904417E-2</v>
      </c>
      <c r="R50">
        <v>5.4426705370101594E-2</v>
      </c>
      <c r="S50">
        <v>7.2998430141287152E-2</v>
      </c>
      <c r="T50">
        <v>5.7268722466960444E-2</v>
      </c>
      <c r="U50">
        <v>0</v>
      </c>
      <c r="V50">
        <v>9.5505617977528143E-2</v>
      </c>
      <c r="W50">
        <v>3.6418816388467244E-2</v>
      </c>
      <c r="X50">
        <v>2.9702970297029528E-2</v>
      </c>
      <c r="Y50">
        <v>2.5231286795626577E-2</v>
      </c>
      <c r="Z50">
        <v>2.8996865203761889E-2</v>
      </c>
      <c r="AA50">
        <v>1.2168933428776072E-2</v>
      </c>
      <c r="AB50">
        <v>1.2539184952978013E-2</v>
      </c>
      <c r="AC50">
        <v>2.4180967238689725E-2</v>
      </c>
      <c r="AD50">
        <v>1.7062314540059218E-2</v>
      </c>
      <c r="AE50" t="s">
        <v>161</v>
      </c>
    </row>
    <row r="51" spans="1:31" hidden="1" x14ac:dyDescent="0.3">
      <c r="A51">
        <v>2018</v>
      </c>
      <c r="B51" t="s">
        <v>38</v>
      </c>
      <c r="C51" t="s">
        <v>30</v>
      </c>
      <c r="D51">
        <v>7.3313782991202342E-3</v>
      </c>
      <c r="E51">
        <v>9.0027700831023742E-3</v>
      </c>
      <c r="F51">
        <v>1.1949215832710936E-2</v>
      </c>
      <c r="G51">
        <v>9.1807909604520576E-3</v>
      </c>
      <c r="H51">
        <v>2.1487603305785075E-2</v>
      </c>
      <c r="I51">
        <v>2.6058631921824105E-2</v>
      </c>
      <c r="J51">
        <v>3.9215686274509935E-2</v>
      </c>
      <c r="K51">
        <v>2.9959514170040509E-2</v>
      </c>
      <c r="L51">
        <v>-1.6710642040457392E-2</v>
      </c>
      <c r="M51">
        <v>-5.7887120115773013E-3</v>
      </c>
      <c r="N51">
        <v>2.0061728395061686E-2</v>
      </c>
      <c r="O51">
        <v>2.0502645502645654E-2</v>
      </c>
      <c r="P51">
        <v>1.1636363636363596E-2</v>
      </c>
      <c r="Q51">
        <v>6.3734862970040991E-4</v>
      </c>
      <c r="R51">
        <v>3.7852718513420508E-2</v>
      </c>
      <c r="S51">
        <v>5.4133138258961273E-2</v>
      </c>
      <c r="T51">
        <v>4.0277777777777857E-2</v>
      </c>
      <c r="U51">
        <v>-2.5472358292512348E-2</v>
      </c>
      <c r="V51">
        <v>5.7142857142857224E-2</v>
      </c>
      <c r="W51">
        <v>3.8067349926793684E-2</v>
      </c>
      <c r="X51">
        <v>2.3668639053254566E-2</v>
      </c>
      <c r="Y51">
        <v>3.6915504511894993E-2</v>
      </c>
      <c r="Z51">
        <v>4.1888804265041886E-2</v>
      </c>
      <c r="AA51">
        <v>2.1216407355021217E-2</v>
      </c>
      <c r="AB51">
        <v>1.5479876160990714E-2</v>
      </c>
      <c r="AC51">
        <v>2.894135567402881E-2</v>
      </c>
      <c r="AD51">
        <v>1.969365426695855E-2</v>
      </c>
      <c r="AE51" t="s">
        <v>162</v>
      </c>
    </row>
    <row r="52" spans="1:31" hidden="1" x14ac:dyDescent="0.3">
      <c r="A52">
        <v>2018</v>
      </c>
      <c r="B52" t="s">
        <v>38</v>
      </c>
      <c r="C52" t="s">
        <v>33</v>
      </c>
      <c r="D52">
        <v>-1.7467248908296984E-2</v>
      </c>
      <c r="E52">
        <v>1.7158544955387784E-2</v>
      </c>
      <c r="F52">
        <v>-3.6900369003690037E-2</v>
      </c>
      <c r="G52">
        <v>-1.5395381385584444E-2</v>
      </c>
      <c r="H52">
        <v>-5.8252427184465931E-2</v>
      </c>
      <c r="I52">
        <v>-3.936507936507929E-2</v>
      </c>
      <c r="J52">
        <v>-4.6444121915820064E-2</v>
      </c>
      <c r="K52">
        <v>-0.11320754716981137</v>
      </c>
      <c r="L52">
        <v>-5.8139534883720929E-2</v>
      </c>
      <c r="M52">
        <v>1.6011644832605448E-2</v>
      </c>
      <c r="N52">
        <v>-4.2360060514372126E-2</v>
      </c>
      <c r="O52">
        <v>-3.6292935839274287E-2</v>
      </c>
      <c r="P52">
        <v>-1.9410496046009983E-2</v>
      </c>
      <c r="Q52">
        <v>2.1019108280254849E-2</v>
      </c>
      <c r="R52">
        <v>-8.0901856763925833E-2</v>
      </c>
      <c r="S52">
        <v>-0.11242192921582227</v>
      </c>
      <c r="T52">
        <v>-8.5447263017356542E-2</v>
      </c>
      <c r="U52">
        <v>2.8292402699985623E-2</v>
      </c>
      <c r="V52">
        <v>-0.13582813582813588</v>
      </c>
      <c r="W52">
        <v>-6.5585331452750431E-2</v>
      </c>
      <c r="X52">
        <v>-4.6242774566474028E-2</v>
      </c>
      <c r="Y52">
        <v>-5.2215189873417785E-2</v>
      </c>
      <c r="Z52">
        <v>-6.4327485380117039E-2</v>
      </c>
      <c r="AA52">
        <v>-2.7700831024930747E-2</v>
      </c>
      <c r="AB52">
        <v>-2.3628048780487763E-2</v>
      </c>
      <c r="AC52">
        <v>-4.5891931902294514E-2</v>
      </c>
      <c r="AD52">
        <v>-3.1473533619456408E-2</v>
      </c>
      <c r="AE52" t="s">
        <v>162</v>
      </c>
    </row>
    <row r="53" spans="1:31" hidden="1" x14ac:dyDescent="0.3">
      <c r="A53">
        <v>2018</v>
      </c>
      <c r="B53" t="s">
        <v>38</v>
      </c>
      <c r="C53" t="s">
        <v>34</v>
      </c>
      <c r="D53">
        <v>1.185185185185181E-2</v>
      </c>
      <c r="E53">
        <v>-1.0796221322537075E-2</v>
      </c>
      <c r="F53">
        <v>2.3754789272030608E-2</v>
      </c>
      <c r="G53">
        <v>9.9502487562189469E-3</v>
      </c>
      <c r="H53">
        <v>3.9518900343642561E-2</v>
      </c>
      <c r="I53">
        <v>2.1810971579642978E-2</v>
      </c>
      <c r="J53">
        <v>3.1963470319634618E-2</v>
      </c>
      <c r="K53">
        <v>8.4219858156028365E-2</v>
      </c>
      <c r="L53">
        <v>4.0835707502374141E-2</v>
      </c>
      <c r="M53">
        <v>-1.0744985673352437E-2</v>
      </c>
      <c r="N53">
        <v>2.6066350710900566E-2</v>
      </c>
      <c r="O53">
        <v>2.0174848688634835E-2</v>
      </c>
      <c r="P53">
        <v>1.2463343108504315E-2</v>
      </c>
      <c r="Q53">
        <v>-1.4971927635683129E-2</v>
      </c>
      <c r="R53">
        <v>5.3391053391053434E-2</v>
      </c>
      <c r="S53">
        <v>7.4276778733385451E-2</v>
      </c>
      <c r="T53">
        <v>5.6204379562043716E-2</v>
      </c>
      <c r="U53">
        <v>0</v>
      </c>
      <c r="V53">
        <v>9.783480352846835E-2</v>
      </c>
      <c r="W53">
        <v>3.698113207547174E-2</v>
      </c>
      <c r="X53">
        <v>3.0303030303030304E-2</v>
      </c>
      <c r="Y53">
        <v>2.5876460767946651E-2</v>
      </c>
      <c r="Z53">
        <v>2.9687500000000089E-2</v>
      </c>
      <c r="AA53">
        <v>1.2108262108262028E-2</v>
      </c>
      <c r="AB53">
        <v>1.405152224824365E-2</v>
      </c>
      <c r="AC53">
        <v>2.48254460822342E-2</v>
      </c>
      <c r="AD53">
        <v>1.7725258493353071E-2</v>
      </c>
      <c r="AE53" t="s">
        <v>162</v>
      </c>
    </row>
    <row r="54" spans="1:31" hidden="1" x14ac:dyDescent="0.3">
      <c r="A54">
        <v>2018</v>
      </c>
      <c r="B54" t="s">
        <v>39</v>
      </c>
      <c r="C54" t="s">
        <v>30</v>
      </c>
      <c r="D54">
        <v>7.320644216691069E-3</v>
      </c>
      <c r="E54">
        <v>1.0231923601637109E-2</v>
      </c>
      <c r="F54">
        <v>2.3203592814371215E-2</v>
      </c>
      <c r="G54">
        <v>7.7410274454609036E-3</v>
      </c>
      <c r="H54">
        <v>2.4793388429752067E-2</v>
      </c>
      <c r="I54">
        <v>-3.2341526520051748E-3</v>
      </c>
      <c r="J54">
        <v>5.8259587020649012E-2</v>
      </c>
      <c r="K54">
        <v>3.0253475061324635E-2</v>
      </c>
      <c r="L54">
        <v>2.5547445255474557E-2</v>
      </c>
      <c r="M54">
        <v>-3.6205648081100651E-3</v>
      </c>
      <c r="N54">
        <v>2.2324865280985415E-2</v>
      </c>
      <c r="O54">
        <v>1.7139090309822167E-2</v>
      </c>
      <c r="P54">
        <v>1.3758146270818289E-2</v>
      </c>
      <c r="Q54">
        <v>-3.7998733375553787E-3</v>
      </c>
      <c r="R54">
        <v>3.6301369863013778E-2</v>
      </c>
      <c r="S54">
        <v>5.3129548762736407E-2</v>
      </c>
      <c r="T54">
        <v>3.8700760193503964E-2</v>
      </c>
      <c r="U54">
        <v>-2.7513966480446912E-2</v>
      </c>
      <c r="V54">
        <v>5.9897735573411166E-2</v>
      </c>
      <c r="W54">
        <v>3.493449781659376E-2</v>
      </c>
      <c r="X54">
        <v>1.7647058823529453E-2</v>
      </c>
      <c r="Y54">
        <v>3.6615134255492267E-2</v>
      </c>
      <c r="Z54">
        <v>4.5523520485584217E-2</v>
      </c>
      <c r="AA54">
        <v>2.1111893033075299E-2</v>
      </c>
      <c r="AB54">
        <v>1.1547344110854504E-2</v>
      </c>
      <c r="AC54">
        <v>2.6495079485238458E-2</v>
      </c>
      <c r="AD54">
        <v>1.9593613933236491E-2</v>
      </c>
      <c r="AE54" t="s">
        <v>163</v>
      </c>
    </row>
    <row r="55" spans="1:31" hidden="1" x14ac:dyDescent="0.3">
      <c r="A55">
        <v>2018</v>
      </c>
      <c r="B55" t="s">
        <v>39</v>
      </c>
      <c r="C55" t="s">
        <v>33</v>
      </c>
      <c r="D55">
        <v>-1.6715116279069644E-2</v>
      </c>
      <c r="E55">
        <v>1.0803511141120827E-2</v>
      </c>
      <c r="F55">
        <v>-2.0482809070958181E-2</v>
      </c>
      <c r="G55">
        <v>-1.6759776536312693E-2</v>
      </c>
      <c r="H55">
        <v>-5.9677419354838758E-2</v>
      </c>
      <c r="I55">
        <v>-1.2329656067488681E-2</v>
      </c>
      <c r="J55">
        <v>3.4843205574912892E-3</v>
      </c>
      <c r="K55">
        <v>-0.10873015873015875</v>
      </c>
      <c r="L55">
        <v>-3.5587188612099641E-2</v>
      </c>
      <c r="M55">
        <v>1.744186046511632E-2</v>
      </c>
      <c r="N55">
        <v>-4.5933734939759094E-2</v>
      </c>
      <c r="O55">
        <v>-3.4348671419313095E-2</v>
      </c>
      <c r="P55">
        <v>-1.1428571428571389E-2</v>
      </c>
      <c r="Q55">
        <v>2.352193261284163E-2</v>
      </c>
      <c r="R55">
        <v>-8.1956378056840751E-2</v>
      </c>
      <c r="S55">
        <v>-0.11057360055286801</v>
      </c>
      <c r="T55">
        <v>-8.5828343313373287E-2</v>
      </c>
      <c r="U55">
        <v>2.3265833692374043E-2</v>
      </c>
      <c r="V55">
        <v>-0.12818745692625771</v>
      </c>
      <c r="W55">
        <v>-6.3994374120956363E-2</v>
      </c>
      <c r="X55">
        <v>-4.1907514450867135E-2</v>
      </c>
      <c r="Y55">
        <v>-5.4945054945054944E-2</v>
      </c>
      <c r="Z55">
        <v>-6.7489114658926055E-2</v>
      </c>
      <c r="AA55">
        <v>-2.687801516195731E-2</v>
      </c>
      <c r="AB55">
        <v>-2.4353120243531329E-2</v>
      </c>
      <c r="AC55">
        <v>-4.4985250737463088E-2</v>
      </c>
      <c r="AD55">
        <v>-3.0604982206405774E-2</v>
      </c>
      <c r="AE55" t="s">
        <v>163</v>
      </c>
    </row>
    <row r="56" spans="1:31" hidden="1" x14ac:dyDescent="0.3">
      <c r="A56">
        <v>2018</v>
      </c>
      <c r="B56" t="s">
        <v>39</v>
      </c>
      <c r="C56" t="s">
        <v>34</v>
      </c>
      <c r="D56">
        <v>1.1825572801182514E-2</v>
      </c>
      <c r="E56">
        <v>-6.6800267201068807E-3</v>
      </c>
      <c r="F56">
        <v>1.269604182225533E-2</v>
      </c>
      <c r="G56">
        <v>1.065340909090909E-2</v>
      </c>
      <c r="H56">
        <v>4.0308747855917697E-2</v>
      </c>
      <c r="I56">
        <v>6.5703022339027601E-3</v>
      </c>
      <c r="J56">
        <v>-2.0833333333334122E-3</v>
      </c>
      <c r="K56">
        <v>8.1032947462155017E-2</v>
      </c>
      <c r="L56">
        <v>2.490774907749067E-2</v>
      </c>
      <c r="M56">
        <v>-1.1428571428571389E-2</v>
      </c>
      <c r="N56">
        <v>2.8413575374901408E-2</v>
      </c>
      <c r="O56">
        <v>1.8791946308724907E-2</v>
      </c>
      <c r="P56">
        <v>7.2254335260115606E-3</v>
      </c>
      <c r="Q56">
        <v>-1.6770186335403656E-2</v>
      </c>
      <c r="R56">
        <v>5.3995680345572353E-2</v>
      </c>
      <c r="S56">
        <v>7.3038073038073095E-2</v>
      </c>
      <c r="T56">
        <v>5.6768558951964941E-2</v>
      </c>
      <c r="U56">
        <v>0</v>
      </c>
      <c r="V56">
        <v>9.169960474308296E-2</v>
      </c>
      <c r="W56">
        <v>3.6063110443275821E-2</v>
      </c>
      <c r="X56">
        <v>2.7149321266968285E-2</v>
      </c>
      <c r="Y56">
        <v>2.7408637873754128E-2</v>
      </c>
      <c r="Z56">
        <v>3.1906614785992174E-2</v>
      </c>
      <c r="AA56">
        <v>1.1331444759206961E-2</v>
      </c>
      <c r="AB56">
        <v>1.4820592823712994E-2</v>
      </c>
      <c r="AC56">
        <v>2.3938223938223896E-2</v>
      </c>
      <c r="AD56">
        <v>1.688693098384737E-2</v>
      </c>
      <c r="AE56" t="s">
        <v>163</v>
      </c>
    </row>
    <row r="57" spans="1:31" hidden="1" x14ac:dyDescent="0.3">
      <c r="A57">
        <v>2018</v>
      </c>
      <c r="B57" t="s">
        <v>40</v>
      </c>
      <c r="C57" t="s">
        <v>30</v>
      </c>
      <c r="D57">
        <v>1.095690284879474E-2</v>
      </c>
      <c r="E57">
        <v>4.0349697377271201E-3</v>
      </c>
      <c r="F57">
        <v>2.7286135693215467E-2</v>
      </c>
      <c r="G57">
        <v>7.7301475755445831E-3</v>
      </c>
      <c r="H57">
        <v>2.3083264633140949E-2</v>
      </c>
      <c r="I57">
        <v>6.5274151436046175E-4</v>
      </c>
      <c r="J57">
        <v>7.3068893528183729E-2</v>
      </c>
      <c r="K57">
        <v>4.118616144975288E-2</v>
      </c>
      <c r="L57">
        <v>2.8802880288028829E-2</v>
      </c>
      <c r="M57">
        <v>-1.4450867052024352E-3</v>
      </c>
      <c r="N57">
        <v>1.9186492709132769E-2</v>
      </c>
      <c r="O57">
        <v>1.9762845849802368E-2</v>
      </c>
      <c r="P57">
        <v>1.8651362984218035E-2</v>
      </c>
      <c r="Q57">
        <v>-1.3897662665824491E-2</v>
      </c>
      <c r="R57">
        <v>3.4836065573770454E-2</v>
      </c>
      <c r="S57">
        <v>5.0687907313540913E-2</v>
      </c>
      <c r="T57">
        <v>3.7190082644628142E-2</v>
      </c>
      <c r="U57">
        <v>-2.2736842105263222E-2</v>
      </c>
      <c r="V57">
        <v>6.2997827661115266E-2</v>
      </c>
      <c r="W57">
        <v>3.7708484408991938E-2</v>
      </c>
      <c r="X57">
        <v>2.0558002936857649E-2</v>
      </c>
      <c r="Y57">
        <v>3.0719482619240072E-2</v>
      </c>
      <c r="Z57">
        <v>4.3740573152337946E-2</v>
      </c>
      <c r="AA57">
        <v>2.1008403361344536E-2</v>
      </c>
      <c r="AB57">
        <v>9.9923136049193811E-3</v>
      </c>
      <c r="AC57">
        <v>2.5641025641025685E-2</v>
      </c>
      <c r="AD57">
        <v>2.3826714801444125E-2</v>
      </c>
      <c r="AE57" t="s">
        <v>164</v>
      </c>
    </row>
    <row r="58" spans="1:31" hidden="1" x14ac:dyDescent="0.3">
      <c r="A58">
        <v>2018</v>
      </c>
      <c r="B58" t="s">
        <v>40</v>
      </c>
      <c r="C58" t="s">
        <v>33</v>
      </c>
      <c r="D58">
        <v>-2.023121387283245E-2</v>
      </c>
      <c r="E58">
        <v>-4.6885465505694373E-3</v>
      </c>
      <c r="F58">
        <v>-1.4357501794688948E-3</v>
      </c>
      <c r="G58">
        <v>-1.6736401673640208E-2</v>
      </c>
      <c r="H58">
        <v>-5.9629331184528539E-2</v>
      </c>
      <c r="I58">
        <v>-2.3483365949119522E-2</v>
      </c>
      <c r="J58">
        <v>3.2425421530479899E-2</v>
      </c>
      <c r="K58">
        <v>-0.1091772151898735</v>
      </c>
      <c r="L58">
        <v>-2.1872265966754158E-2</v>
      </c>
      <c r="M58">
        <v>1.5195369030390904E-2</v>
      </c>
      <c r="N58">
        <v>-4.5180722891566369E-2</v>
      </c>
      <c r="O58">
        <v>-3.4883720930232592E-2</v>
      </c>
      <c r="P58">
        <v>-1.1971830985915413E-2</v>
      </c>
      <c r="Q58">
        <v>3.3952594490711155E-2</v>
      </c>
      <c r="R58">
        <v>-7.8547854785478585E-2</v>
      </c>
      <c r="S58">
        <v>-0.11164713990351474</v>
      </c>
      <c r="T58">
        <v>-8.4329349269588239E-2</v>
      </c>
      <c r="U58">
        <v>3.116472784719233E-2</v>
      </c>
      <c r="V58">
        <v>-0.12738419618528621</v>
      </c>
      <c r="W58">
        <v>-6.6387141858839968E-2</v>
      </c>
      <c r="X58">
        <v>-3.8848920863309391E-2</v>
      </c>
      <c r="Y58">
        <v>-5.8039215686274556E-2</v>
      </c>
      <c r="Z58">
        <v>-6.7919075144508706E-2</v>
      </c>
      <c r="AA58">
        <v>-1.2345679012345756E-2</v>
      </c>
      <c r="AB58">
        <v>-2.4353120243531329E-2</v>
      </c>
      <c r="AC58">
        <v>-4.2647058823529496E-2</v>
      </c>
      <c r="AD58">
        <v>-3.0324400564174972E-2</v>
      </c>
      <c r="AE58" t="s">
        <v>164</v>
      </c>
    </row>
    <row r="59" spans="1:31" hidden="1" x14ac:dyDescent="0.3">
      <c r="A59">
        <v>2018</v>
      </c>
      <c r="B59" t="s">
        <v>40</v>
      </c>
      <c r="C59" t="s">
        <v>34</v>
      </c>
      <c r="D59">
        <v>1.4011799410029542E-2</v>
      </c>
      <c r="E59">
        <v>3.3647375504710633E-3</v>
      </c>
      <c r="F59">
        <v>7.1890726096329489E-4</v>
      </c>
      <c r="G59">
        <v>1.0638297872340425E-2</v>
      </c>
      <c r="H59">
        <v>4.0274207369323071E-2</v>
      </c>
      <c r="I59">
        <v>1.2692050768203112E-2</v>
      </c>
      <c r="J59">
        <v>-2.0728643216080297E-2</v>
      </c>
      <c r="K59">
        <v>8.0817051509769172E-2</v>
      </c>
      <c r="L59">
        <v>1.5205724508050114E-2</v>
      </c>
      <c r="M59">
        <v>-9.9786172487527133E-3</v>
      </c>
      <c r="N59">
        <v>2.7602523659306107E-2</v>
      </c>
      <c r="O59">
        <v>1.941097724230258E-2</v>
      </c>
      <c r="P59">
        <v>7.840342124019916E-3</v>
      </c>
      <c r="Q59">
        <v>-2.4163568773234233E-2</v>
      </c>
      <c r="R59">
        <v>5.1575931232091816E-2</v>
      </c>
      <c r="S59">
        <v>7.3700543056633039E-2</v>
      </c>
      <c r="T59">
        <v>5.5837563451776567E-2</v>
      </c>
      <c r="U59">
        <v>0</v>
      </c>
      <c r="V59">
        <v>9.055425448868068E-2</v>
      </c>
      <c r="W59">
        <v>3.7425149700598806E-2</v>
      </c>
      <c r="X59">
        <v>2.544910179640723E-2</v>
      </c>
      <c r="Y59">
        <v>2.9142381348875937E-2</v>
      </c>
      <c r="Z59">
        <v>3.1782945736434066E-2</v>
      </c>
      <c r="AA59">
        <v>4.8611111111110323E-3</v>
      </c>
      <c r="AB59">
        <v>1.4820592823712994E-2</v>
      </c>
      <c r="AC59">
        <v>2.3041474654377881E-2</v>
      </c>
      <c r="AD59">
        <v>1.6727272727272809E-2</v>
      </c>
      <c r="AE59" t="s">
        <v>164</v>
      </c>
    </row>
    <row r="60" spans="1:31" hidden="1" x14ac:dyDescent="0.3">
      <c r="A60">
        <v>2018</v>
      </c>
      <c r="B60" t="s">
        <v>41</v>
      </c>
      <c r="C60" t="s">
        <v>30</v>
      </c>
      <c r="D60">
        <v>1.2363636363636282E-2</v>
      </c>
      <c r="E60">
        <v>-2.0120724346075316E-3</v>
      </c>
      <c r="F60">
        <v>-7.1839080459766037E-4</v>
      </c>
      <c r="G60">
        <v>7.0175438596491229E-3</v>
      </c>
      <c r="H60">
        <v>2.9654036243822027E-2</v>
      </c>
      <c r="I60">
        <v>1.8469656992084509E-2</v>
      </c>
      <c r="J60">
        <v>2.5657472738935577E-3</v>
      </c>
      <c r="K60">
        <v>4.190632703368935E-2</v>
      </c>
      <c r="L60">
        <v>1.6740088105726924E-2</v>
      </c>
      <c r="M60">
        <v>-2.1598272138229758E-3</v>
      </c>
      <c r="N60">
        <v>2.6861089792785876E-2</v>
      </c>
      <c r="O60">
        <v>1.9041365725541545E-2</v>
      </c>
      <c r="P60">
        <v>9.1937765205090723E-3</v>
      </c>
      <c r="Q60">
        <v>-6.9841269841269477E-3</v>
      </c>
      <c r="R60">
        <v>3.6103542234332306E-2</v>
      </c>
      <c r="S60">
        <v>5.3468208092485585E-2</v>
      </c>
      <c r="T60">
        <v>3.9148351648351766E-2</v>
      </c>
      <c r="U60">
        <v>-3.0222841225626768E-2</v>
      </c>
      <c r="V60">
        <v>5.7265569076592707E-2</v>
      </c>
      <c r="W60">
        <v>3.7518037518037645E-2</v>
      </c>
      <c r="X60">
        <v>1.7518248175182525E-2</v>
      </c>
      <c r="Y60">
        <v>3.8025889967637679E-2</v>
      </c>
      <c r="Z60">
        <v>4.1322314049586778E-2</v>
      </c>
      <c r="AA60">
        <v>1.520387007601947E-2</v>
      </c>
      <c r="AB60">
        <v>9.223674096848709E-3</v>
      </c>
      <c r="AC60">
        <v>2.5525525525525571E-2</v>
      </c>
      <c r="AD60">
        <v>1.9313304721029961E-2</v>
      </c>
      <c r="AE60" t="s">
        <v>165</v>
      </c>
    </row>
    <row r="61" spans="1:31" hidden="1" x14ac:dyDescent="0.3">
      <c r="A61">
        <v>2018</v>
      </c>
      <c r="B61" t="s">
        <v>41</v>
      </c>
      <c r="C61" t="s">
        <v>33</v>
      </c>
      <c r="D61">
        <v>-1.9396551724137852E-2</v>
      </c>
      <c r="E61">
        <v>-1.6129032258064554E-2</v>
      </c>
      <c r="F61">
        <v>-1.7972681524083396E-2</v>
      </c>
      <c r="G61">
        <v>-1.6027874564460011E-2</v>
      </c>
      <c r="H61">
        <v>-6.0799999999999951E-2</v>
      </c>
      <c r="I61">
        <v>-5.2461139896373021E-2</v>
      </c>
      <c r="J61">
        <v>6.3979526551503517E-3</v>
      </c>
      <c r="K61">
        <v>-0.10410094637223977</v>
      </c>
      <c r="L61">
        <v>-1.8197573656845826E-2</v>
      </c>
      <c r="M61">
        <v>1.803751803751804E-2</v>
      </c>
      <c r="N61">
        <v>-4.7832585949177914E-2</v>
      </c>
      <c r="O61">
        <v>-3.0927835051546285E-2</v>
      </c>
      <c r="P61">
        <v>-1.8220042046250839E-2</v>
      </c>
      <c r="Q61">
        <v>3.6445012787723712E-2</v>
      </c>
      <c r="R61">
        <v>-7.9552925706771832E-2</v>
      </c>
      <c r="S61">
        <v>-0.11522633744855974</v>
      </c>
      <c r="T61">
        <v>-8.5922009253139447E-2</v>
      </c>
      <c r="U61">
        <v>3.8345540715208987E-2</v>
      </c>
      <c r="V61">
        <v>-0.12119160460392674</v>
      </c>
      <c r="W61">
        <v>-6.5368567454798368E-2</v>
      </c>
      <c r="X61">
        <v>-3.2281205164992825E-2</v>
      </c>
      <c r="Y61">
        <v>-5.9236165237724146E-2</v>
      </c>
      <c r="Z61">
        <v>-6.3492063492063378E-2</v>
      </c>
      <c r="AA61">
        <v>-1.0891763104152446E-2</v>
      </c>
      <c r="AB61">
        <v>-2.2848438690022847E-2</v>
      </c>
      <c r="AC61">
        <v>-4.0995607613469945E-2</v>
      </c>
      <c r="AD61">
        <v>-3.1578947368421054E-2</v>
      </c>
      <c r="AE61" t="s">
        <v>165</v>
      </c>
    </row>
    <row r="62" spans="1:31" hidden="1" x14ac:dyDescent="0.3">
      <c r="A62">
        <v>2018</v>
      </c>
      <c r="B62" t="s">
        <v>41</v>
      </c>
      <c r="C62" t="s">
        <v>34</v>
      </c>
      <c r="D62">
        <v>1.318681318681327E-2</v>
      </c>
      <c r="E62">
        <v>1.092896174863384E-2</v>
      </c>
      <c r="F62">
        <v>1.0980966325036604E-2</v>
      </c>
      <c r="G62">
        <v>9.9150141643059905E-3</v>
      </c>
      <c r="H62">
        <v>4.0885860306643929E-2</v>
      </c>
      <c r="I62">
        <v>2.9391660970608219E-2</v>
      </c>
      <c r="J62">
        <v>-4.4500953591863762E-3</v>
      </c>
      <c r="K62">
        <v>7.7464788732394471E-2</v>
      </c>
      <c r="L62">
        <v>1.2356575463371631E-2</v>
      </c>
      <c r="M62">
        <v>-1.2048192771084256E-2</v>
      </c>
      <c r="N62">
        <v>2.9042386185243237E-2</v>
      </c>
      <c r="O62">
        <v>1.7287234042553154E-2</v>
      </c>
      <c r="P62">
        <v>1.1420413990007098E-2</v>
      </c>
      <c r="Q62">
        <v>-2.590993214065385E-2</v>
      </c>
      <c r="R62">
        <v>5.2142857142857227E-2</v>
      </c>
      <c r="S62">
        <v>7.5968992248062098E-2</v>
      </c>
      <c r="T62">
        <v>5.6399132321041087E-2</v>
      </c>
      <c r="U62">
        <v>0</v>
      </c>
      <c r="V62">
        <v>8.5516178736517665E-2</v>
      </c>
      <c r="W62">
        <v>3.7202380952380952E-2</v>
      </c>
      <c r="X62">
        <v>2.075611564121559E-2</v>
      </c>
      <c r="Y62">
        <v>2.9826014913007407E-2</v>
      </c>
      <c r="Z62">
        <v>2.9275808936825753E-2</v>
      </c>
      <c r="AA62">
        <v>4.8176187198898041E-3</v>
      </c>
      <c r="AB62">
        <v>1.4029618082618728E-2</v>
      </c>
      <c r="AC62">
        <v>2.2137404580152713E-2</v>
      </c>
      <c r="AD62">
        <v>1.7391304347826129E-2</v>
      </c>
      <c r="AE62" t="s">
        <v>165</v>
      </c>
    </row>
    <row r="63" spans="1:31" hidden="1" x14ac:dyDescent="0.3">
      <c r="A63">
        <v>2018</v>
      </c>
      <c r="B63" t="s">
        <v>42</v>
      </c>
      <c r="C63" t="s">
        <v>30</v>
      </c>
      <c r="D63">
        <v>7.9537237888647454E-3</v>
      </c>
      <c r="E63">
        <v>-5.405405405405482E-3</v>
      </c>
      <c r="F63">
        <v>-1.0861694424330196E-2</v>
      </c>
      <c r="G63">
        <v>7.713884992987338E-3</v>
      </c>
      <c r="H63">
        <v>1.9639934533551485E-2</v>
      </c>
      <c r="I63">
        <v>-3.3200531208499337E-3</v>
      </c>
      <c r="J63">
        <v>-4.5977011494252804E-2</v>
      </c>
      <c r="K63">
        <v>2.4509803921568627E-2</v>
      </c>
      <c r="L63">
        <v>-2.6155187445509776E-3</v>
      </c>
      <c r="M63">
        <v>-5.0215208034434505E-3</v>
      </c>
      <c r="N63">
        <v>1.5255530129672007E-2</v>
      </c>
      <c r="O63">
        <v>1.8954248366013109E-2</v>
      </c>
      <c r="P63">
        <v>-2.8228652081861488E-3</v>
      </c>
      <c r="Q63">
        <v>-1.2666244458519129E-3</v>
      </c>
      <c r="R63">
        <v>3.2586558044806396E-2</v>
      </c>
      <c r="S63">
        <v>5.2593659942362987E-2</v>
      </c>
      <c r="T63">
        <v>3.5592060232717437E-2</v>
      </c>
      <c r="U63">
        <v>-3.6929460580912891E-2</v>
      </c>
      <c r="V63">
        <v>5.7487579843860853E-2</v>
      </c>
      <c r="W63">
        <v>3.2998565279770402E-2</v>
      </c>
      <c r="X63">
        <v>1.6702977487291298E-2</v>
      </c>
      <c r="Y63">
        <v>4.5052292839903529E-2</v>
      </c>
      <c r="Z63">
        <v>4.7904191616766512E-2</v>
      </c>
      <c r="AA63">
        <v>1.0958904109589003E-2</v>
      </c>
      <c r="AB63">
        <v>1.4604150653343625E-2</v>
      </c>
      <c r="AC63">
        <v>2.6138909634055265E-2</v>
      </c>
      <c r="AD63">
        <v>1.2108262108262028E-2</v>
      </c>
      <c r="AE63" t="s">
        <v>166</v>
      </c>
    </row>
    <row r="64" spans="1:31" hidden="1" x14ac:dyDescent="0.3">
      <c r="A64">
        <v>2018</v>
      </c>
      <c r="B64" t="s">
        <v>42</v>
      </c>
      <c r="C64" t="s">
        <v>33</v>
      </c>
      <c r="D64">
        <v>-1.7216642754662882E-2</v>
      </c>
      <c r="E64">
        <v>-2.7853260869565181E-2</v>
      </c>
      <c r="F64">
        <v>-2.7818448023425937E-2</v>
      </c>
      <c r="G64">
        <v>-1.5309672929714606E-2</v>
      </c>
      <c r="H64">
        <v>-5.4574638844301748E-2</v>
      </c>
      <c r="I64">
        <v>-6.7288474350433003E-2</v>
      </c>
      <c r="J64">
        <v>1.2717536813922393E-2</v>
      </c>
      <c r="K64">
        <v>-9.4896331738437048E-2</v>
      </c>
      <c r="L64">
        <v>-1.8356643356643429E-2</v>
      </c>
      <c r="M64">
        <v>1.8024513338139873E-2</v>
      </c>
      <c r="N64">
        <v>-4.0570999248685138E-2</v>
      </c>
      <c r="O64">
        <v>-2.950609364977546E-2</v>
      </c>
      <c r="P64">
        <v>-1.6985138004246322E-2</v>
      </c>
      <c r="Q64">
        <v>3.5510462904248717E-2</v>
      </c>
      <c r="R64">
        <v>-7.429322813938187E-2</v>
      </c>
      <c r="S64">
        <v>-0.11498973305954814</v>
      </c>
      <c r="T64">
        <v>-8.0634500991407912E-2</v>
      </c>
      <c r="U64">
        <v>4.3372109722820774E-2</v>
      </c>
      <c r="V64">
        <v>-0.11946308724832222</v>
      </c>
      <c r="W64">
        <v>-6.31944444444444E-2</v>
      </c>
      <c r="X64">
        <v>-3.0714285714285795E-2</v>
      </c>
      <c r="Y64">
        <v>-5.6966897613548922E-2</v>
      </c>
      <c r="Z64">
        <v>-7.0000000000000076E-2</v>
      </c>
      <c r="AA64">
        <v>-1.6260162601626056E-2</v>
      </c>
      <c r="AB64">
        <v>-2.0454545454545368E-2</v>
      </c>
      <c r="AC64">
        <v>-4.0029112081513829E-2</v>
      </c>
      <c r="AD64">
        <v>-2.8149190710767068E-2</v>
      </c>
      <c r="AE64" t="s">
        <v>166</v>
      </c>
    </row>
    <row r="65" spans="1:31" hidden="1" x14ac:dyDescent="0.3">
      <c r="A65">
        <v>2018</v>
      </c>
      <c r="B65" t="s">
        <v>42</v>
      </c>
      <c r="C65" t="s">
        <v>34</v>
      </c>
      <c r="D65">
        <v>1.1678832116788281E-2</v>
      </c>
      <c r="E65">
        <v>1.8867924528302008E-2</v>
      </c>
      <c r="F65">
        <v>1.7319277108433603E-2</v>
      </c>
      <c r="G65">
        <v>9.8939929328622309E-3</v>
      </c>
      <c r="H65">
        <v>3.6502546689303882E-2</v>
      </c>
      <c r="I65">
        <v>3.8571428571428611E-2</v>
      </c>
      <c r="J65">
        <v>-8.5922009253140211E-3</v>
      </c>
      <c r="K65">
        <v>6.960352422907494E-2</v>
      </c>
      <c r="L65">
        <v>1.2466607301870042E-2</v>
      </c>
      <c r="M65">
        <v>-1.2039660056657145E-2</v>
      </c>
      <c r="N65">
        <v>2.4275646045419017E-2</v>
      </c>
      <c r="O65">
        <v>1.6523463317911432E-2</v>
      </c>
      <c r="P65">
        <v>1.079913606911447E-2</v>
      </c>
      <c r="Q65">
        <v>-2.5107164727495544E-2</v>
      </c>
      <c r="R65">
        <v>4.900568181818165E-2</v>
      </c>
      <c r="S65">
        <v>7.579273008507334E-2</v>
      </c>
      <c r="T65">
        <v>5.3199137311286886E-2</v>
      </c>
      <c r="U65">
        <v>0</v>
      </c>
      <c r="V65">
        <v>8.4603658536585552E-2</v>
      </c>
      <c r="W65">
        <v>3.5581912527798243E-2</v>
      </c>
      <c r="X65">
        <v>1.9896831245394379E-2</v>
      </c>
      <c r="Y65">
        <v>2.8571428571428571E-2</v>
      </c>
      <c r="Z65">
        <v>3.3026113671275052E-2</v>
      </c>
      <c r="AA65">
        <v>6.8870523415977963E-3</v>
      </c>
      <c r="AB65">
        <v>1.2374323279195625E-2</v>
      </c>
      <c r="AC65">
        <v>2.1228203184230347E-2</v>
      </c>
      <c r="AD65">
        <v>1.5206372194062233E-2</v>
      </c>
      <c r="AE65" t="s">
        <v>166</v>
      </c>
    </row>
    <row r="66" spans="1:31" hidden="1" x14ac:dyDescent="0.3">
      <c r="A66">
        <v>2018</v>
      </c>
      <c r="B66" t="s">
        <v>43</v>
      </c>
      <c r="C66" t="s">
        <v>30</v>
      </c>
      <c r="D66">
        <v>5.0505050505051741E-3</v>
      </c>
      <c r="E66">
        <v>1.234567901234556E-2</v>
      </c>
      <c r="F66">
        <v>-3.7009622501850484E-3</v>
      </c>
      <c r="G66">
        <v>-6.9979006298110562E-3</v>
      </c>
      <c r="H66">
        <v>1.1466011466011512E-2</v>
      </c>
      <c r="I66">
        <v>-6.1898211829436427E-3</v>
      </c>
      <c r="J66">
        <v>-1.6000000000000038E-2</v>
      </c>
      <c r="K66">
        <v>0</v>
      </c>
      <c r="L66">
        <v>-1.2313104661389672E-2</v>
      </c>
      <c r="M66">
        <v>0</v>
      </c>
      <c r="N66">
        <v>2.9051987767583966E-2</v>
      </c>
      <c r="O66">
        <v>9.102730819245626E-3</v>
      </c>
      <c r="P66">
        <v>-1.424501424501546E-3</v>
      </c>
      <c r="Q66">
        <v>2.5125628140703878E-3</v>
      </c>
      <c r="R66">
        <v>2.0311442112389982E-2</v>
      </c>
      <c r="S66">
        <v>3.8820992092020175E-2</v>
      </c>
      <c r="T66">
        <v>2.252559726962465E-2</v>
      </c>
      <c r="U66">
        <v>-4.1569167240192842E-2</v>
      </c>
      <c r="V66">
        <v>5.2002810962754581E-2</v>
      </c>
      <c r="W66">
        <v>5.5833929849677964E-2</v>
      </c>
      <c r="X66">
        <v>4.6242774566474028E-2</v>
      </c>
      <c r="Y66">
        <v>3.8095238095238189E-2</v>
      </c>
      <c r="Z66">
        <v>4.1635687732341962E-2</v>
      </c>
      <c r="AA66">
        <v>1.231190150478804E-2</v>
      </c>
      <c r="AB66">
        <v>2.6737967914438502E-2</v>
      </c>
      <c r="AC66">
        <v>3.786191536748347E-2</v>
      </c>
      <c r="AD66">
        <v>1.4265335235378032E-2</v>
      </c>
      <c r="AE66" t="s">
        <v>167</v>
      </c>
    </row>
    <row r="67" spans="1:31" hidden="1" x14ac:dyDescent="0.3">
      <c r="A67">
        <v>2018</v>
      </c>
      <c r="B67" t="s">
        <v>43</v>
      </c>
      <c r="C67" t="s">
        <v>33</v>
      </c>
      <c r="D67">
        <v>-1.2203876525484688E-2</v>
      </c>
      <c r="E67">
        <v>-1.8292682926829191E-2</v>
      </c>
      <c r="F67">
        <v>-8.1723625557206126E-3</v>
      </c>
      <c r="G67">
        <v>-2.8188865398168124E-3</v>
      </c>
      <c r="H67">
        <v>-4.4534412955465584E-2</v>
      </c>
      <c r="I67">
        <v>-3.4602076124567477E-2</v>
      </c>
      <c r="J67">
        <v>3.6585365853658576E-2</v>
      </c>
      <c r="K67">
        <v>-6.7545304777594753E-2</v>
      </c>
      <c r="L67">
        <v>4.4523597506678537E-3</v>
      </c>
      <c r="M67">
        <v>1.1469534050179172E-2</v>
      </c>
      <c r="N67">
        <v>-5.2005943536404163E-2</v>
      </c>
      <c r="O67">
        <v>-2.0618556701030855E-2</v>
      </c>
      <c r="P67">
        <v>-5.7061340941510913E-3</v>
      </c>
      <c r="Q67">
        <v>2.7568922305764448E-2</v>
      </c>
      <c r="R67">
        <v>-6.1048440610484332E-2</v>
      </c>
      <c r="S67">
        <v>-0.10173010380622829</v>
      </c>
      <c r="T67">
        <v>-6.7423230974632986E-2</v>
      </c>
      <c r="U67">
        <v>5.0552922590837435E-2</v>
      </c>
      <c r="V67">
        <v>-0.10888443553774205</v>
      </c>
      <c r="W67">
        <v>-8.4067796610169526E-2</v>
      </c>
      <c r="X67">
        <v>-5.9392265193370319E-2</v>
      </c>
      <c r="Y67">
        <v>-5.7339449541284504E-2</v>
      </c>
      <c r="Z67">
        <v>-6.7094932191291978E-2</v>
      </c>
      <c r="AA67">
        <v>-1.6891891891891893E-2</v>
      </c>
      <c r="AB67">
        <v>-2.976190476190476E-2</v>
      </c>
      <c r="AC67">
        <v>-5.2217453505007227E-2</v>
      </c>
      <c r="AD67">
        <v>-2.3206751054852204E-2</v>
      </c>
      <c r="AE67" t="s">
        <v>167</v>
      </c>
    </row>
    <row r="68" spans="1:31" hidden="1" x14ac:dyDescent="0.3">
      <c r="A68">
        <v>2018</v>
      </c>
      <c r="B68" t="s">
        <v>43</v>
      </c>
      <c r="C68" t="s">
        <v>34</v>
      </c>
      <c r="D68">
        <v>-1.4534883720929406E-3</v>
      </c>
      <c r="E68">
        <v>3.1746031746031703E-2</v>
      </c>
      <c r="F68">
        <v>2.8464419475655516E-2</v>
      </c>
      <c r="G68">
        <v>2.8268551236749519E-3</v>
      </c>
      <c r="H68">
        <v>2.6271186440677916E-2</v>
      </c>
      <c r="I68">
        <v>2.1505376344086023E-2</v>
      </c>
      <c r="J68">
        <v>-4.117647058823537E-2</v>
      </c>
      <c r="K68">
        <v>5.212014134275611E-2</v>
      </c>
      <c r="L68">
        <v>-7.9787234042552439E-3</v>
      </c>
      <c r="M68">
        <v>-7.0871722182845012E-4</v>
      </c>
      <c r="N68">
        <v>4.7021943573667714E-2</v>
      </c>
      <c r="O68">
        <v>1.6447368421052631E-2</v>
      </c>
      <c r="P68">
        <v>2.1520803443327327E-3</v>
      </c>
      <c r="Q68">
        <v>-8.5365853658536939E-3</v>
      </c>
      <c r="R68">
        <v>4.5936395759717315E-2</v>
      </c>
      <c r="S68">
        <v>7.2419106317411219E-2</v>
      </c>
      <c r="T68">
        <v>5.0823192555476189E-2</v>
      </c>
      <c r="U68">
        <v>4.1011619958987991E-3</v>
      </c>
      <c r="V68">
        <v>8.9205397301349368E-2</v>
      </c>
      <c r="W68">
        <v>5.2553663952627644E-2</v>
      </c>
      <c r="X68">
        <v>4.3318649045521337E-2</v>
      </c>
      <c r="Y68">
        <v>1.7842660178426624E-2</v>
      </c>
      <c r="Z68">
        <v>4.4376434583014629E-2</v>
      </c>
      <c r="AA68">
        <v>1.5807560137457124E-2</v>
      </c>
      <c r="AB68">
        <v>1.2269938650306704E-2</v>
      </c>
      <c r="AC68">
        <v>2.8679245283018955E-2</v>
      </c>
      <c r="AD68">
        <v>1.3678905687545036E-2</v>
      </c>
      <c r="AE68" t="s">
        <v>167</v>
      </c>
    </row>
    <row r="69" spans="1:31" hidden="1" x14ac:dyDescent="0.3">
      <c r="A69">
        <v>2018</v>
      </c>
      <c r="B69" t="s">
        <v>45</v>
      </c>
      <c r="C69" t="s">
        <v>30</v>
      </c>
      <c r="D69">
        <v>-2.1834061135372006E-3</v>
      </c>
      <c r="E69">
        <v>8.6956521739131199E-3</v>
      </c>
      <c r="F69">
        <v>-4.369992716678971E-3</v>
      </c>
      <c r="G69">
        <v>0</v>
      </c>
      <c r="H69">
        <v>1.4037985136251057E-2</v>
      </c>
      <c r="I69">
        <v>9.8245614035088122E-3</v>
      </c>
      <c r="J69">
        <v>5.4533060668030776E-3</v>
      </c>
      <c r="K69">
        <v>1.5952980688497109E-2</v>
      </c>
      <c r="L69">
        <v>-2.6809651474531846E-3</v>
      </c>
      <c r="M69">
        <v>-2.836879432624154E-3</v>
      </c>
      <c r="N69">
        <v>2.9191616766467109E-2</v>
      </c>
      <c r="O69">
        <v>1.0355987055016145E-2</v>
      </c>
      <c r="P69">
        <v>2.1474588403723079E-3</v>
      </c>
      <c r="Q69">
        <v>-4.3050430504304347E-3</v>
      </c>
      <c r="R69">
        <v>2.4999999999999922E-2</v>
      </c>
      <c r="S69">
        <v>4.5258620689655256E-2</v>
      </c>
      <c r="T69">
        <v>2.7247956403269751E-2</v>
      </c>
      <c r="U69">
        <v>-5.2008168822328213E-2</v>
      </c>
      <c r="V69">
        <v>3.4411562284927734E-2</v>
      </c>
      <c r="W69">
        <v>4.0787623066104159E-2</v>
      </c>
      <c r="X69">
        <v>2.322308233638291E-2</v>
      </c>
      <c r="Y69">
        <v>3.8247011952191323E-2</v>
      </c>
      <c r="Z69">
        <v>4.8351648351648312E-2</v>
      </c>
      <c r="AA69">
        <v>1.623815967523665E-2</v>
      </c>
      <c r="AB69">
        <v>8.3333333333332898E-3</v>
      </c>
      <c r="AC69">
        <v>2.7879677182685126E-2</v>
      </c>
      <c r="AD69">
        <v>1.1363636363636322E-2</v>
      </c>
      <c r="AE69" t="s">
        <v>168</v>
      </c>
    </row>
    <row r="70" spans="1:31" hidden="1" x14ac:dyDescent="0.3">
      <c r="A70">
        <v>2018</v>
      </c>
      <c r="B70" t="s">
        <v>45</v>
      </c>
      <c r="C70" t="s">
        <v>33</v>
      </c>
      <c r="D70">
        <v>7.2939460247994168E-3</v>
      </c>
      <c r="E70">
        <v>-2.9840848806366047E-2</v>
      </c>
      <c r="F70">
        <v>8.0468178493052142E-3</v>
      </c>
      <c r="G70">
        <v>-2.1141649048626592E-3</v>
      </c>
      <c r="H70">
        <v>-3.8273615635179177E-2</v>
      </c>
      <c r="I70">
        <v>-1.6678248783877733E-2</v>
      </c>
      <c r="J70">
        <v>-1.5593220338983128E-2</v>
      </c>
      <c r="K70">
        <v>-4.7107438016528946E-2</v>
      </c>
      <c r="L70">
        <v>8.0645161290323099E-3</v>
      </c>
      <c r="M70">
        <v>5.6899004267426129E-3</v>
      </c>
      <c r="N70">
        <v>-6.9090909090909092E-2</v>
      </c>
      <c r="O70">
        <v>-2.2421524663677132E-2</v>
      </c>
      <c r="P70">
        <v>-6.4285714285714692E-3</v>
      </c>
      <c r="Q70">
        <v>1.5441630636195181E-2</v>
      </c>
      <c r="R70">
        <v>-6.1305207646670953E-2</v>
      </c>
      <c r="S70">
        <v>-0.10515463917525782</v>
      </c>
      <c r="T70">
        <v>-6.830238726790458E-2</v>
      </c>
      <c r="U70">
        <v>5.4861410311647388E-2</v>
      </c>
      <c r="V70">
        <v>-9.0485695276114581E-2</v>
      </c>
      <c r="W70">
        <v>-8.2432432432432354E-2</v>
      </c>
      <c r="X70">
        <v>-5.9147180192572174E-2</v>
      </c>
      <c r="Y70">
        <v>-6.9838833461243338E-2</v>
      </c>
      <c r="Z70">
        <v>-8.2459818308874791E-2</v>
      </c>
      <c r="AA70">
        <v>-2.7296937416777595E-2</v>
      </c>
      <c r="AB70">
        <v>-1.9534184823440982E-2</v>
      </c>
      <c r="AC70">
        <v>-5.6388294075660282E-2</v>
      </c>
      <c r="AD70">
        <v>-2.387640449438206E-2</v>
      </c>
      <c r="AE70" t="s">
        <v>168</v>
      </c>
    </row>
    <row r="71" spans="1:31" hidden="1" x14ac:dyDescent="0.3">
      <c r="A71">
        <v>2018</v>
      </c>
      <c r="B71" t="s">
        <v>45</v>
      </c>
      <c r="C71" t="s">
        <v>34</v>
      </c>
      <c r="D71">
        <v>-5.0687907313540087E-3</v>
      </c>
      <c r="E71">
        <v>1.9822282980177561E-2</v>
      </c>
      <c r="F71">
        <v>-5.0798258345429387E-3</v>
      </c>
      <c r="G71">
        <v>1.412429378531194E-3</v>
      </c>
      <c r="H71">
        <v>2.5402201524132091E-2</v>
      </c>
      <c r="I71">
        <v>9.1872791519435424E-3</v>
      </c>
      <c r="J71">
        <v>1.0330578512396695E-2</v>
      </c>
      <c r="K71">
        <v>3.29575021682567E-2</v>
      </c>
      <c r="L71">
        <v>-5.3333333333332828E-3</v>
      </c>
      <c r="M71">
        <v>-3.5360678925035359E-3</v>
      </c>
      <c r="N71">
        <v>4.296875E-2</v>
      </c>
      <c r="O71">
        <v>1.2450851900393222E-2</v>
      </c>
      <c r="P71">
        <v>4.3134435657799734E-3</v>
      </c>
      <c r="Q71">
        <v>-1.0948905109489119E-2</v>
      </c>
      <c r="R71">
        <v>3.9325842696629171E-2</v>
      </c>
      <c r="S71">
        <v>6.8356374807987758E-2</v>
      </c>
      <c r="T71">
        <v>4.4128113879003478E-2</v>
      </c>
      <c r="U71">
        <v>0</v>
      </c>
      <c r="V71">
        <v>6.1448427212874954E-2</v>
      </c>
      <c r="W71">
        <v>4.7128129602356232E-2</v>
      </c>
      <c r="X71">
        <v>3.8742690058479405E-2</v>
      </c>
      <c r="Y71">
        <v>3.5478547854785457E-2</v>
      </c>
      <c r="Z71">
        <v>3.9603960396039514E-2</v>
      </c>
      <c r="AA71">
        <v>1.1635865845311547E-2</v>
      </c>
      <c r="AB71">
        <v>1.1494252873563218E-2</v>
      </c>
      <c r="AC71">
        <v>3.1013615733736937E-2</v>
      </c>
      <c r="AD71">
        <v>1.2949640287769865E-2</v>
      </c>
      <c r="AE71" t="s">
        <v>168</v>
      </c>
    </row>
    <row r="72" spans="1:31" hidden="1" x14ac:dyDescent="0.3">
      <c r="A72">
        <v>2018</v>
      </c>
      <c r="B72" t="s">
        <v>46</v>
      </c>
      <c r="C72" t="s">
        <v>30</v>
      </c>
      <c r="D72">
        <v>-2.1834061135372006E-3</v>
      </c>
      <c r="E72">
        <v>1.8096514745308427E-2</v>
      </c>
      <c r="F72">
        <v>2.1881838074399081E-3</v>
      </c>
      <c r="G72">
        <v>4.2313117066290146E-3</v>
      </c>
      <c r="H72">
        <v>2.5598678777869602E-2</v>
      </c>
      <c r="I72">
        <v>-1.8207282913165423E-2</v>
      </c>
      <c r="J72">
        <v>-6.8847989093387837E-2</v>
      </c>
      <c r="K72">
        <v>1.5113350125944681E-2</v>
      </c>
      <c r="L72">
        <v>-1.7873100983020553E-2</v>
      </c>
      <c r="M72">
        <v>-4.9680624556424201E-3</v>
      </c>
      <c r="N72">
        <v>3.220973782771544E-2</v>
      </c>
      <c r="O72">
        <v>9.7087378640776691E-3</v>
      </c>
      <c r="P72">
        <v>-8.5898353614888238E-3</v>
      </c>
      <c r="Q72">
        <v>-1.2300123001229314E-3</v>
      </c>
      <c r="R72">
        <v>2.4324324324324288E-2</v>
      </c>
      <c r="S72">
        <v>4.8885693745506914E-2</v>
      </c>
      <c r="T72">
        <v>2.7948193592365528E-2</v>
      </c>
      <c r="U72">
        <v>-5.2008168822328213E-2</v>
      </c>
      <c r="V72">
        <v>2.687801516195731E-2</v>
      </c>
      <c r="W72">
        <v>5.1336146272855217E-2</v>
      </c>
      <c r="X72">
        <v>5.2779732582688248E-2</v>
      </c>
      <c r="Y72">
        <v>2.7091633466135502E-2</v>
      </c>
      <c r="Z72">
        <v>4.9816849816849904E-2</v>
      </c>
      <c r="AA72">
        <v>4.9391069012178504E-2</v>
      </c>
      <c r="AB72">
        <v>9.0909090909090055E-3</v>
      </c>
      <c r="AC72">
        <v>3.8884812912692461E-2</v>
      </c>
      <c r="AD72">
        <v>7.8124999999999592E-3</v>
      </c>
      <c r="AE72" t="s">
        <v>169</v>
      </c>
    </row>
    <row r="73" spans="1:31" hidden="1" x14ac:dyDescent="0.3">
      <c r="A73">
        <v>2018</v>
      </c>
      <c r="B73" t="s">
        <v>46</v>
      </c>
      <c r="C73" t="s">
        <v>33</v>
      </c>
      <c r="D73">
        <v>1.0211524434719225E-2</v>
      </c>
      <c r="E73">
        <v>-2.699144173798548E-2</v>
      </c>
      <c r="F73">
        <v>2.6928675400291036E-2</v>
      </c>
      <c r="G73">
        <v>-5.6179775280899673E-3</v>
      </c>
      <c r="H73">
        <v>-4.9114331723027441E-2</v>
      </c>
      <c r="I73">
        <v>-1.2125534950071246E-2</v>
      </c>
      <c r="J73">
        <v>-3.0746705710102407E-2</v>
      </c>
      <c r="K73">
        <v>-2.812241521918946E-2</v>
      </c>
      <c r="L73">
        <v>1.0009099181073651E-2</v>
      </c>
      <c r="M73">
        <v>9.2724679029958026E-3</v>
      </c>
      <c r="N73">
        <v>-7.0391872278664849E-2</v>
      </c>
      <c r="O73">
        <v>-1.9871794871794836E-2</v>
      </c>
      <c r="P73">
        <v>-6.4981949458484166E-3</v>
      </c>
      <c r="Q73">
        <v>1.354679802955658E-2</v>
      </c>
      <c r="R73">
        <v>-5.8707124010554126E-2</v>
      </c>
      <c r="S73">
        <v>-0.10692254969156953</v>
      </c>
      <c r="T73">
        <v>-6.6312997347480099E-2</v>
      </c>
      <c r="U73">
        <v>5.1989085164440681E-2</v>
      </c>
      <c r="V73">
        <v>-0.11140939597315433</v>
      </c>
      <c r="W73">
        <v>-8.8963210702341214E-2</v>
      </c>
      <c r="X73">
        <v>-8.221925133689828E-2</v>
      </c>
      <c r="Y73">
        <v>-7.8355314197052037E-2</v>
      </c>
      <c r="Z73">
        <v>-8.0949057920446765E-2</v>
      </c>
      <c r="AA73">
        <v>-5.5448098001289456E-2</v>
      </c>
      <c r="AB73">
        <v>-1.8018018018017848E-2</v>
      </c>
      <c r="AC73">
        <v>-6.9915254237288185E-2</v>
      </c>
      <c r="AD73">
        <v>-2.7484143763213571E-2</v>
      </c>
      <c r="AE73" t="s">
        <v>169</v>
      </c>
    </row>
    <row r="74" spans="1:31" hidden="1" x14ac:dyDescent="0.3">
      <c r="A74">
        <v>2018</v>
      </c>
      <c r="B74" t="s">
        <v>46</v>
      </c>
      <c r="C74" t="s">
        <v>34</v>
      </c>
      <c r="D74">
        <v>-7.2202166064981952E-3</v>
      </c>
      <c r="E74">
        <v>1.8267929634641328E-2</v>
      </c>
      <c r="F74">
        <v>-1.6300496102055161E-2</v>
      </c>
      <c r="G74">
        <v>3.5310734463276836E-3</v>
      </c>
      <c r="H74">
        <v>3.3022861981371769E-2</v>
      </c>
      <c r="I74">
        <v>6.4981949458484166E-3</v>
      </c>
      <c r="J74">
        <v>2.1148036253776304E-2</v>
      </c>
      <c r="K74">
        <v>1.9574468085106357E-2</v>
      </c>
      <c r="L74">
        <v>-6.3063063063063321E-3</v>
      </c>
      <c r="M74">
        <v>-6.3604240282685914E-3</v>
      </c>
      <c r="N74">
        <v>4.4496487119438072E-2</v>
      </c>
      <c r="O74">
        <v>1.1118378024852771E-2</v>
      </c>
      <c r="P74">
        <v>4.3604651162790289E-3</v>
      </c>
      <c r="Q74">
        <v>-9.7205346294045834E-3</v>
      </c>
      <c r="R74">
        <v>3.784162578836725E-2</v>
      </c>
      <c r="S74">
        <v>6.9838833461243241E-2</v>
      </c>
      <c r="T74">
        <v>4.261363636363636E-2</v>
      </c>
      <c r="U74">
        <v>0</v>
      </c>
      <c r="V74">
        <v>7.7794561933534609E-2</v>
      </c>
      <c r="W74">
        <v>5.139500734214391E-2</v>
      </c>
      <c r="X74">
        <v>5.5353241077931492E-2</v>
      </c>
      <c r="Y74">
        <v>4.040404040404038E-2</v>
      </c>
      <c r="Z74">
        <v>3.8724373576309971E-2</v>
      </c>
      <c r="AA74">
        <v>2.4573378839590404E-2</v>
      </c>
      <c r="AB74">
        <v>1.0703363914372915E-2</v>
      </c>
      <c r="AC74">
        <v>3.8724373576309971E-2</v>
      </c>
      <c r="AD74">
        <v>1.5217391304347785E-2</v>
      </c>
      <c r="AE74" t="s">
        <v>169</v>
      </c>
    </row>
    <row r="75" spans="1:31" hidden="1" x14ac:dyDescent="0.3">
      <c r="A75">
        <v>2019</v>
      </c>
      <c r="B75" t="s">
        <v>31</v>
      </c>
      <c r="C75" t="s">
        <v>30</v>
      </c>
      <c r="D75">
        <v>-6.5454545454545869E-3</v>
      </c>
      <c r="E75">
        <v>1.3289036544850499E-2</v>
      </c>
      <c r="F75">
        <v>-4.3227665706053508E-3</v>
      </c>
      <c r="G75">
        <v>2.1111893033076098E-3</v>
      </c>
      <c r="H75">
        <v>1.5573770491803324E-2</v>
      </c>
      <c r="I75">
        <v>-2.7977044476327154E-2</v>
      </c>
      <c r="J75">
        <v>-2.5887573964497045E-2</v>
      </c>
      <c r="K75">
        <v>1.2520868113522538E-2</v>
      </c>
      <c r="L75">
        <v>-1.7225747960108718E-2</v>
      </c>
      <c r="M75">
        <v>-1.2091038406827801E-2</v>
      </c>
      <c r="N75">
        <v>2.3916292974588853E-2</v>
      </c>
      <c r="O75">
        <v>7.7619663648125295E-3</v>
      </c>
      <c r="P75">
        <v>-5.7887120115773013E-3</v>
      </c>
      <c r="Q75">
        <v>-1.8404907975460821E-3</v>
      </c>
      <c r="R75">
        <v>1.6880486158001352E-2</v>
      </c>
      <c r="S75">
        <v>4.088952654232416E-2</v>
      </c>
      <c r="T75">
        <v>2.1117166212534018E-2</v>
      </c>
      <c r="U75">
        <v>-4.9419795221843067E-2</v>
      </c>
      <c r="V75">
        <v>2.4526979677645413E-2</v>
      </c>
      <c r="W75">
        <v>4.8184357541899488E-2</v>
      </c>
      <c r="X75">
        <v>3.2436162870945397E-2</v>
      </c>
      <c r="Y75">
        <v>4.0453074433656963E-2</v>
      </c>
      <c r="Z75">
        <v>4.4590643274853757E-2</v>
      </c>
      <c r="AA75">
        <v>3.3977348434377046E-2</v>
      </c>
      <c r="AB75">
        <v>9.8335854765507682E-3</v>
      </c>
      <c r="AC75">
        <v>3.5818713450292229E-2</v>
      </c>
      <c r="AD75">
        <v>6.4239828693790557E-3</v>
      </c>
      <c r="AE75" t="s">
        <v>170</v>
      </c>
    </row>
    <row r="76" spans="1:31" hidden="1" x14ac:dyDescent="0.3">
      <c r="A76">
        <v>2019</v>
      </c>
      <c r="B76" t="s">
        <v>31</v>
      </c>
      <c r="C76" t="s">
        <v>33</v>
      </c>
      <c r="D76">
        <v>1.2445095168374942E-2</v>
      </c>
      <c r="E76">
        <v>-2.0327868852458981E-2</v>
      </c>
      <c r="F76">
        <v>3.835021707670052E-2</v>
      </c>
      <c r="G76">
        <v>-4.9157303370787712E-3</v>
      </c>
      <c r="H76">
        <v>-4.6811945117029956E-2</v>
      </c>
      <c r="I76">
        <v>-2.2140221402214863E-3</v>
      </c>
      <c r="J76">
        <v>-9.1116173120728075E-3</v>
      </c>
      <c r="K76">
        <v>-2.5556471558120318E-2</v>
      </c>
      <c r="L76">
        <v>1.8450184501845018E-2</v>
      </c>
      <c r="M76">
        <v>1.079913606911447E-2</v>
      </c>
      <c r="N76">
        <v>-6.4963503649635074E-2</v>
      </c>
      <c r="O76">
        <v>-1.6688061617458425E-2</v>
      </c>
      <c r="P76">
        <v>-7.2780203784566459E-4</v>
      </c>
      <c r="Q76">
        <v>1.2292562999385373E-2</v>
      </c>
      <c r="R76">
        <v>-5.0464807436918953E-2</v>
      </c>
      <c r="S76">
        <v>-0.10130944176430041</v>
      </c>
      <c r="T76">
        <v>-5.8705803869246238E-2</v>
      </c>
      <c r="U76">
        <v>6.0606060606060594E-2</v>
      </c>
      <c r="V76">
        <v>-0.12038303693570448</v>
      </c>
      <c r="W76">
        <v>-9.1938707528314345E-2</v>
      </c>
      <c r="X76">
        <v>-7.8877005347593468E-2</v>
      </c>
      <c r="Y76">
        <v>-7.7760497667185069E-2</v>
      </c>
      <c r="Z76">
        <v>-7.6976906927921626E-2</v>
      </c>
      <c r="AA76">
        <v>-5.5412371134020588E-2</v>
      </c>
      <c r="AB76">
        <v>-1.3483146067415816E-2</v>
      </c>
      <c r="AC76">
        <v>-6.9865913902611002E-2</v>
      </c>
      <c r="AD76">
        <v>-2.1276595744680851E-2</v>
      </c>
      <c r="AE76" t="s">
        <v>170</v>
      </c>
    </row>
    <row r="77" spans="1:31" hidden="1" x14ac:dyDescent="0.3">
      <c r="A77">
        <v>2019</v>
      </c>
      <c r="B77" t="s">
        <v>31</v>
      </c>
      <c r="C77" t="s">
        <v>34</v>
      </c>
      <c r="D77">
        <v>-8.676789587852618E-3</v>
      </c>
      <c r="E77">
        <v>1.3386880856760375E-2</v>
      </c>
      <c r="F77">
        <v>-2.2996515679442588E-2</v>
      </c>
      <c r="G77">
        <v>2.8228652081863496E-3</v>
      </c>
      <c r="H77">
        <v>3.1329381879762939E-2</v>
      </c>
      <c r="I77">
        <v>1.4792899408285285E-3</v>
      </c>
      <c r="J77">
        <v>6.1302681992338034E-3</v>
      </c>
      <c r="K77">
        <v>1.7766497461928887E-2</v>
      </c>
      <c r="L77">
        <v>-1.1775362318840682E-2</v>
      </c>
      <c r="M77">
        <v>-7.1225071225071226E-3</v>
      </c>
      <c r="N77">
        <v>4.0593286494925974E-2</v>
      </c>
      <c r="O77">
        <v>9.1383812010444234E-3</v>
      </c>
      <c r="P77">
        <v>7.283321194464261E-4</v>
      </c>
      <c r="Q77">
        <v>-9.1074681238615673E-3</v>
      </c>
      <c r="R77">
        <v>3.2167832167832131E-2</v>
      </c>
      <c r="S77">
        <v>6.5950920245398725E-2</v>
      </c>
      <c r="T77">
        <v>3.7562012756910075E-2</v>
      </c>
      <c r="U77">
        <v>0</v>
      </c>
      <c r="V77">
        <v>8.475894245723177E-2</v>
      </c>
      <c r="W77">
        <v>5.3558327219368908E-2</v>
      </c>
      <c r="X77">
        <v>5.2975326560232093E-2</v>
      </c>
      <c r="Y77">
        <v>3.9629005059021949E-2</v>
      </c>
      <c r="Z77">
        <v>3.6391205458680687E-2</v>
      </c>
      <c r="AA77">
        <v>2.4556616643929021E-2</v>
      </c>
      <c r="AB77">
        <v>8.3523158694003251E-3</v>
      </c>
      <c r="AC77">
        <v>3.8694992412746536E-2</v>
      </c>
      <c r="AD77">
        <v>1.1594202898550683E-2</v>
      </c>
      <c r="AE77" t="s">
        <v>170</v>
      </c>
    </row>
    <row r="78" spans="1:31" hidden="1" x14ac:dyDescent="0.3">
      <c r="A78">
        <v>2019</v>
      </c>
      <c r="B78" t="s">
        <v>35</v>
      </c>
      <c r="C78" t="s">
        <v>30</v>
      </c>
      <c r="D78">
        <v>-2.1881838074397008E-3</v>
      </c>
      <c r="E78">
        <v>1.0568031704095074E-2</v>
      </c>
      <c r="F78">
        <v>-7.8459343794578772E-3</v>
      </c>
      <c r="G78">
        <v>2.8149190710767468E-3</v>
      </c>
      <c r="H78">
        <v>1.888341543513955E-2</v>
      </c>
      <c r="I78">
        <v>2.9542097488922132E-3</v>
      </c>
      <c r="J78">
        <v>-1.9801980198019972E-2</v>
      </c>
      <c r="K78">
        <v>9.9750623441396749E-3</v>
      </c>
      <c r="L78">
        <v>-7.3327222731438789E-3</v>
      </c>
      <c r="M78">
        <v>-1.4347202295553591E-3</v>
      </c>
      <c r="N78">
        <v>3.0757689422355544E-2</v>
      </c>
      <c r="O78">
        <v>1.0349288486416523E-2</v>
      </c>
      <c r="P78">
        <v>-1.455604075691536E-3</v>
      </c>
      <c r="Q78">
        <v>-2.4509803921567235E-3</v>
      </c>
      <c r="R78">
        <v>1.9647696476964811E-2</v>
      </c>
      <c r="S78">
        <v>5.1079136690647439E-2</v>
      </c>
      <c r="T78">
        <v>2.3907103825136611E-2</v>
      </c>
      <c r="U78">
        <v>-5.7142857142857134E-2</v>
      </c>
      <c r="V78">
        <v>4.1577060931899723E-2</v>
      </c>
      <c r="W78">
        <v>4.5264623955431758E-2</v>
      </c>
      <c r="X78">
        <v>3.3080634045485953E-2</v>
      </c>
      <c r="Y78">
        <v>4.7850770478507637E-2</v>
      </c>
      <c r="Z78">
        <v>4.9012435991221785E-2</v>
      </c>
      <c r="AA78">
        <v>3.5286284953395551E-2</v>
      </c>
      <c r="AB78">
        <v>1.581325301204815E-2</v>
      </c>
      <c r="AC78">
        <v>3.8714390065741289E-2</v>
      </c>
      <c r="AD78">
        <v>1.0028653295128981E-2</v>
      </c>
      <c r="AE78" t="s">
        <v>171</v>
      </c>
    </row>
    <row r="79" spans="1:31" hidden="1" x14ac:dyDescent="0.3">
      <c r="A79">
        <v>2019</v>
      </c>
      <c r="B79" t="s">
        <v>35</v>
      </c>
      <c r="C79" t="s">
        <v>33</v>
      </c>
      <c r="D79">
        <v>1.9005847953216332E-2</v>
      </c>
      <c r="E79">
        <v>-1.8954248366013109E-2</v>
      </c>
      <c r="F79">
        <v>4.4572250179726942E-2</v>
      </c>
      <c r="G79">
        <v>-5.6140350877193776E-3</v>
      </c>
      <c r="H79">
        <v>-4.5930701047542218E-2</v>
      </c>
      <c r="I79">
        <v>8.836524300441741E-3</v>
      </c>
      <c r="J79">
        <v>2.2533022533022581E-2</v>
      </c>
      <c r="K79">
        <v>-1.3168724279835344E-2</v>
      </c>
      <c r="L79">
        <v>1.9390581717451602E-2</v>
      </c>
      <c r="M79">
        <v>1.1494252873563383E-2</v>
      </c>
      <c r="N79">
        <v>-6.6229985443959194E-2</v>
      </c>
      <c r="O79">
        <v>-1.728553137003834E-2</v>
      </c>
      <c r="P79">
        <v>5.8309037900875467E-3</v>
      </c>
      <c r="Q79">
        <v>1.2899262899262864E-2</v>
      </c>
      <c r="R79">
        <v>-4.7840531561461716E-2</v>
      </c>
      <c r="S79">
        <v>-0.10472279260780276</v>
      </c>
      <c r="T79">
        <v>-5.6704469646430951E-2</v>
      </c>
      <c r="U79">
        <v>6.6350710900474008E-2</v>
      </c>
      <c r="V79">
        <v>-0.12525808671713706</v>
      </c>
      <c r="W79">
        <v>-8.9940039973351107E-2</v>
      </c>
      <c r="X79">
        <v>-7.6050700466978025E-2</v>
      </c>
      <c r="Y79">
        <v>-7.7399380804953455E-2</v>
      </c>
      <c r="Z79">
        <v>-7.8103207810320902E-2</v>
      </c>
      <c r="AA79">
        <v>-5.7234726688102928E-2</v>
      </c>
      <c r="AB79">
        <v>-1.4084507042253563E-2</v>
      </c>
      <c r="AC79">
        <v>-6.8917018284106776E-2</v>
      </c>
      <c r="AD79">
        <v>-1.7021276595744723E-2</v>
      </c>
      <c r="AE79" t="s">
        <v>171</v>
      </c>
    </row>
    <row r="80" spans="1:31" hidden="1" x14ac:dyDescent="0.3">
      <c r="A80">
        <v>2019</v>
      </c>
      <c r="B80" t="s">
        <v>35</v>
      </c>
      <c r="C80" t="s">
        <v>34</v>
      </c>
      <c r="D80">
        <v>-1.2912482065997212E-2</v>
      </c>
      <c r="E80">
        <v>1.2658227848101304E-2</v>
      </c>
      <c r="F80">
        <v>-2.6152787336545157E-2</v>
      </c>
      <c r="G80">
        <v>3.5285815102328866E-3</v>
      </c>
      <c r="H80">
        <v>3.0405405405405355E-2</v>
      </c>
      <c r="I80">
        <v>-4.3795620437955792E-3</v>
      </c>
      <c r="J80">
        <v>-1.4437689969604907E-2</v>
      </c>
      <c r="K80">
        <v>9.1743119266054565E-3</v>
      </c>
      <c r="L80">
        <v>-1.2681159420289906E-2</v>
      </c>
      <c r="M80">
        <v>-7.8125000000001613E-3</v>
      </c>
      <c r="N80">
        <v>4.1309431021044292E-2</v>
      </c>
      <c r="O80">
        <v>9.1205211726384742E-3</v>
      </c>
      <c r="P80">
        <v>-3.6231884057971015E-3</v>
      </c>
      <c r="Q80">
        <v>-9.0964220739842318E-3</v>
      </c>
      <c r="R80">
        <v>3.0704815073272693E-2</v>
      </c>
      <c r="S80">
        <v>6.8042813455657311E-2</v>
      </c>
      <c r="T80">
        <v>3.606789250353603E-2</v>
      </c>
      <c r="U80">
        <v>0</v>
      </c>
      <c r="V80">
        <v>8.8906372934697178E-2</v>
      </c>
      <c r="W80">
        <v>5.1976573938506548E-2</v>
      </c>
      <c r="X80">
        <v>5.1263537906137142E-2</v>
      </c>
      <c r="Y80">
        <v>3.9429530201342308E-2</v>
      </c>
      <c r="Z80">
        <v>3.7065052950075686E-2</v>
      </c>
      <c r="AA80">
        <v>2.5238744884038315E-2</v>
      </c>
      <c r="AB80">
        <v>8.2706766917292809E-3</v>
      </c>
      <c r="AC80">
        <v>3.7764350453172203E-2</v>
      </c>
      <c r="AD80">
        <v>9.3795093795094615E-3</v>
      </c>
      <c r="AE80" t="s">
        <v>171</v>
      </c>
    </row>
    <row r="81" spans="1:31" hidden="1" x14ac:dyDescent="0.3">
      <c r="A81">
        <v>2019</v>
      </c>
      <c r="B81" t="s">
        <v>36</v>
      </c>
      <c r="C81" t="s">
        <v>30</v>
      </c>
      <c r="D81">
        <v>-5.0872093023254994E-3</v>
      </c>
      <c r="E81">
        <v>1.3815789473684174E-2</v>
      </c>
      <c r="F81">
        <v>-1.9787985865724462E-2</v>
      </c>
      <c r="G81">
        <v>2.109704641350291E-3</v>
      </c>
      <c r="H81">
        <v>1.7213114754098313E-2</v>
      </c>
      <c r="I81">
        <v>-2.1994134897361534E-3</v>
      </c>
      <c r="J81">
        <v>-1.1565150346954512E-2</v>
      </c>
      <c r="K81">
        <v>1.0743801652892538E-2</v>
      </c>
      <c r="L81">
        <v>-6.4220183486238796E-3</v>
      </c>
      <c r="M81">
        <v>-5.7265569076591482E-3</v>
      </c>
      <c r="N81">
        <v>2.8443113772455175E-2</v>
      </c>
      <c r="O81">
        <v>9.6836668818592632E-3</v>
      </c>
      <c r="P81">
        <v>-1.4545454545453718E-3</v>
      </c>
      <c r="Q81">
        <v>-3.0599755201958382E-3</v>
      </c>
      <c r="R81">
        <v>2.0988490182803136E-2</v>
      </c>
      <c r="S81">
        <v>4.5812455261274206E-2</v>
      </c>
      <c r="T81">
        <v>2.4573378839590404E-2</v>
      </c>
      <c r="U81">
        <v>-6.2222222222222283E-2</v>
      </c>
      <c r="V81">
        <v>5.7803468208092484E-2</v>
      </c>
      <c r="W81">
        <v>4.3841336116910309E-2</v>
      </c>
      <c r="X81">
        <v>3.2967032967033044E-2</v>
      </c>
      <c r="Y81">
        <v>4.8426150121065374E-2</v>
      </c>
      <c r="Z81">
        <v>4.8869438366156218E-2</v>
      </c>
      <c r="AA81">
        <v>3.4597471723220148E-2</v>
      </c>
      <c r="AB81">
        <v>-7.4571215510808593E-4</v>
      </c>
      <c r="AC81">
        <v>3.6390101892285295E-2</v>
      </c>
      <c r="AD81">
        <v>9.2923516797711429E-3</v>
      </c>
      <c r="AE81" t="s">
        <v>172</v>
      </c>
    </row>
    <row r="82" spans="1:31" hidden="1" x14ac:dyDescent="0.3">
      <c r="A82">
        <v>2019</v>
      </c>
      <c r="B82" t="s">
        <v>36</v>
      </c>
      <c r="C82" t="s">
        <v>33</v>
      </c>
      <c r="D82">
        <v>2.0452885317750056E-2</v>
      </c>
      <c r="E82">
        <v>-1.9467878001297859E-2</v>
      </c>
      <c r="F82">
        <v>3.0281182408075109E-2</v>
      </c>
      <c r="G82">
        <v>-4.2105263157894337E-3</v>
      </c>
      <c r="H82">
        <v>-4.5930701047542218E-2</v>
      </c>
      <c r="I82">
        <v>2.424687729610589E-2</v>
      </c>
      <c r="J82">
        <v>0.1014040561622465</v>
      </c>
      <c r="K82">
        <v>-1.3082583810302488E-2</v>
      </c>
      <c r="L82">
        <v>1.9390581717451602E-2</v>
      </c>
      <c r="M82">
        <v>1.2958963282937242E-2</v>
      </c>
      <c r="N82">
        <v>-6.4774381368267867E-2</v>
      </c>
      <c r="O82">
        <v>-1.5984654731457801E-2</v>
      </c>
      <c r="P82">
        <v>1.6751638747268628E-2</v>
      </c>
      <c r="Q82">
        <v>1.4732965009208138E-2</v>
      </c>
      <c r="R82">
        <v>-4.8408488063660549E-2</v>
      </c>
      <c r="S82">
        <v>-0.10198494182067082</v>
      </c>
      <c r="T82">
        <v>-5.6628914057295136E-2</v>
      </c>
      <c r="U82">
        <v>6.9941117334482328E-2</v>
      </c>
      <c r="V82">
        <v>-0.12021857923497263</v>
      </c>
      <c r="W82">
        <v>-8.7999999999999926E-2</v>
      </c>
      <c r="X82">
        <v>-7.4468085106383086E-2</v>
      </c>
      <c r="Y82">
        <v>-7.6982294072363358E-2</v>
      </c>
      <c r="Z82">
        <v>-7.510431154381092E-2</v>
      </c>
      <c r="AA82">
        <v>-5.6591639871382708E-2</v>
      </c>
      <c r="AB82">
        <v>-1.1194029850746268E-2</v>
      </c>
      <c r="AC82">
        <v>-6.7415730337078608E-2</v>
      </c>
      <c r="AD82">
        <v>-1.2039660056657145E-2</v>
      </c>
      <c r="AE82" t="s">
        <v>172</v>
      </c>
    </row>
    <row r="83" spans="1:31" hidden="1" x14ac:dyDescent="0.3">
      <c r="A83">
        <v>2019</v>
      </c>
      <c r="B83" t="s">
        <v>36</v>
      </c>
      <c r="C83" t="s">
        <v>34</v>
      </c>
      <c r="D83">
        <v>-1.3600572655690604E-2</v>
      </c>
      <c r="E83">
        <v>1.2574454003970918E-2</v>
      </c>
      <c r="F83">
        <v>-1.8194541637508707E-2</v>
      </c>
      <c r="G83">
        <v>2.8188865398168124E-3</v>
      </c>
      <c r="H83">
        <v>3.0405405405405355E-2</v>
      </c>
      <c r="I83">
        <v>-1.2912482065997212E-2</v>
      </c>
      <c r="J83">
        <v>-6.0906515580736509E-2</v>
      </c>
      <c r="K83">
        <v>9.1135045567522308E-3</v>
      </c>
      <c r="L83">
        <v>-1.2681159420289906E-2</v>
      </c>
      <c r="M83">
        <v>-8.5287846481875533E-3</v>
      </c>
      <c r="N83">
        <v>4.0466926070038822E-2</v>
      </c>
      <c r="O83">
        <v>8.4470435347627215E-3</v>
      </c>
      <c r="P83">
        <v>-1.0744985673352437E-2</v>
      </c>
      <c r="Q83">
        <v>-1.0889292196007327E-2</v>
      </c>
      <c r="R83">
        <v>3.0662020905923383E-2</v>
      </c>
      <c r="S83">
        <v>6.631097560975624E-2</v>
      </c>
      <c r="T83">
        <v>3.6016949152542332E-2</v>
      </c>
      <c r="U83">
        <v>0</v>
      </c>
      <c r="V83">
        <v>8.4627329192546397E-2</v>
      </c>
      <c r="W83">
        <v>5.1169590643274851E-2</v>
      </c>
      <c r="X83">
        <v>5.0287356321839081E-2</v>
      </c>
      <c r="Y83">
        <v>3.9199332777314334E-2</v>
      </c>
      <c r="Z83">
        <v>3.5338345864661572E-2</v>
      </c>
      <c r="AA83">
        <v>2.4539877300613654E-2</v>
      </c>
      <c r="AB83">
        <v>6.7924528301887225E-3</v>
      </c>
      <c r="AC83">
        <v>3.689759036144561E-2</v>
      </c>
      <c r="AD83">
        <v>6.4516129032258472E-3</v>
      </c>
      <c r="AE83" t="s">
        <v>172</v>
      </c>
    </row>
    <row r="84" spans="1:31" hidden="1" x14ac:dyDescent="0.3">
      <c r="A84">
        <v>2019</v>
      </c>
      <c r="B84" t="s">
        <v>38</v>
      </c>
      <c r="C84" t="s">
        <v>30</v>
      </c>
      <c r="D84">
        <v>-2.902757619738793E-3</v>
      </c>
      <c r="E84">
        <v>4.2483660130718956E-2</v>
      </c>
      <c r="F84">
        <v>-4.133998574483258E-2</v>
      </c>
      <c r="G84">
        <v>2.1082220660575048E-3</v>
      </c>
      <c r="H84">
        <v>1.6393442622950821E-2</v>
      </c>
      <c r="I84">
        <v>4.433139534883717E-2</v>
      </c>
      <c r="J84">
        <v>6.0331825037708252E-3</v>
      </c>
      <c r="K84">
        <v>2.7093596059113278E-2</v>
      </c>
      <c r="L84">
        <v>2.7522935779816255E-3</v>
      </c>
      <c r="M84">
        <v>-1.4336917562723199E-3</v>
      </c>
      <c r="N84">
        <v>2.991772625280479E-2</v>
      </c>
      <c r="O84">
        <v>7.7319587628867084E-3</v>
      </c>
      <c r="P84">
        <v>7.9652425778421031E-3</v>
      </c>
      <c r="Q84">
        <v>-1.2232415902139978E-3</v>
      </c>
      <c r="R84">
        <v>2.2988505747126475E-2</v>
      </c>
      <c r="S84">
        <v>4.7891350964974898E-2</v>
      </c>
      <c r="T84">
        <v>2.7266530334015E-2</v>
      </c>
      <c r="U84">
        <v>-6.5369127516778591E-2</v>
      </c>
      <c r="V84">
        <v>5.1539012168933557E-2</v>
      </c>
      <c r="W84">
        <v>3.963838664812231E-2</v>
      </c>
      <c r="X84">
        <v>3.4883720930232717E-2</v>
      </c>
      <c r="Y84">
        <v>4.4943820224719058E-2</v>
      </c>
      <c r="Z84">
        <v>5.9549745824255755E-2</v>
      </c>
      <c r="AA84">
        <v>4.2581503659347819E-2</v>
      </c>
      <c r="AB84">
        <v>3.7481259370314842E-3</v>
      </c>
      <c r="AC84">
        <v>3.7763253449528085E-2</v>
      </c>
      <c r="AD84">
        <v>1.4245014245014245E-2</v>
      </c>
      <c r="AE84" t="s">
        <v>173</v>
      </c>
    </row>
    <row r="85" spans="1:31" hidden="1" x14ac:dyDescent="0.3">
      <c r="A85">
        <v>2019</v>
      </c>
      <c r="B85" t="s">
        <v>38</v>
      </c>
      <c r="C85" t="s">
        <v>33</v>
      </c>
      <c r="D85">
        <v>2.1834061135371178E-2</v>
      </c>
      <c r="E85">
        <v>-1.7554858934169349E-2</v>
      </c>
      <c r="F85">
        <v>2.8252788104089304E-2</v>
      </c>
      <c r="G85">
        <v>-1.4025245441794435E-3</v>
      </c>
      <c r="H85">
        <v>-4.3548387096774242E-2</v>
      </c>
      <c r="I85">
        <v>4.1753653444676415E-2</v>
      </c>
      <c r="J85">
        <v>0.2113943028485756</v>
      </c>
      <c r="K85">
        <v>-5.595523581135001E-3</v>
      </c>
      <c r="L85">
        <v>1.7383348581884773E-2</v>
      </c>
      <c r="M85">
        <v>1.2203876525484483E-2</v>
      </c>
      <c r="N85">
        <v>-6.3907044299201049E-2</v>
      </c>
      <c r="O85">
        <v>-1.2148337595907964E-2</v>
      </c>
      <c r="P85">
        <v>3.3045977011494421E-2</v>
      </c>
      <c r="Q85">
        <v>1.7758726270667342E-2</v>
      </c>
      <c r="R85">
        <v>-4.8248512888301461E-2</v>
      </c>
      <c r="S85">
        <v>-0.10163710777626198</v>
      </c>
      <c r="T85">
        <v>-5.6403450564034507E-2</v>
      </c>
      <c r="U85">
        <v>7.7840011489300615E-2</v>
      </c>
      <c r="V85">
        <v>-0.1191286589516678</v>
      </c>
      <c r="W85">
        <v>-8.2274247491638877E-2</v>
      </c>
      <c r="X85">
        <v>-7.6007931262392595E-2</v>
      </c>
      <c r="Y85">
        <v>-7.7572964669738828E-2</v>
      </c>
      <c r="Z85">
        <v>-8.1562714187799895E-2</v>
      </c>
      <c r="AA85">
        <v>-5.5520102105934839E-2</v>
      </c>
      <c r="AB85">
        <v>-9.7087378640777541E-3</v>
      </c>
      <c r="AC85">
        <v>-6.7179846046186098E-2</v>
      </c>
      <c r="AD85">
        <v>-6.3202247191011633E-3</v>
      </c>
      <c r="AE85" t="s">
        <v>173</v>
      </c>
    </row>
    <row r="86" spans="1:31" hidden="1" x14ac:dyDescent="0.3">
      <c r="A86">
        <v>2019</v>
      </c>
      <c r="B86" t="s">
        <v>38</v>
      </c>
      <c r="C86" t="s">
        <v>34</v>
      </c>
      <c r="D86">
        <v>-1.4957264957264916E-2</v>
      </c>
      <c r="E86">
        <v>1.1486917677090053E-2</v>
      </c>
      <c r="F86">
        <v>-1.6630513376717362E-2</v>
      </c>
      <c r="G86">
        <v>7.0224719101119604E-4</v>
      </c>
      <c r="H86">
        <v>2.8667790893760588E-2</v>
      </c>
      <c r="I86">
        <v>-2.1376085504341943E-2</v>
      </c>
      <c r="J86">
        <v>-0.11509900990099006</v>
      </c>
      <c r="K86">
        <v>4.0192926045016075E-3</v>
      </c>
      <c r="L86">
        <v>-1.1690647482014363E-2</v>
      </c>
      <c r="M86">
        <v>-7.8014184397162721E-3</v>
      </c>
      <c r="N86">
        <v>3.9565554693560857E-2</v>
      </c>
      <c r="O86">
        <v>6.4724919093851136E-3</v>
      </c>
      <c r="P86">
        <v>-2.0166898470097394E-2</v>
      </c>
      <c r="Q86">
        <v>-1.2635379061371807E-2</v>
      </c>
      <c r="R86">
        <v>3.0555555555555596E-2</v>
      </c>
      <c r="S86">
        <v>6.6059225512528602E-2</v>
      </c>
      <c r="T86">
        <v>3.5864978902953752E-2</v>
      </c>
      <c r="U86">
        <v>0</v>
      </c>
      <c r="V86">
        <v>8.4234930448222611E-2</v>
      </c>
      <c r="W86">
        <v>4.7376093294460644E-2</v>
      </c>
      <c r="X86">
        <v>5.0786838340486362E-2</v>
      </c>
      <c r="Y86">
        <v>3.9966694421315667E-2</v>
      </c>
      <c r="Z86">
        <v>3.8805970149253646E-2</v>
      </c>
      <c r="AA86">
        <v>2.4324324324324288E-2</v>
      </c>
      <c r="AB86">
        <v>6.0331825037708252E-3</v>
      </c>
      <c r="AC86">
        <v>3.6759189797449188E-2</v>
      </c>
      <c r="AD86">
        <v>3.5335689045936395E-3</v>
      </c>
      <c r="AE86" t="s">
        <v>173</v>
      </c>
    </row>
    <row r="87" spans="1:31" hidden="1" x14ac:dyDescent="0.3">
      <c r="A87">
        <v>2019</v>
      </c>
      <c r="B87" t="s">
        <v>39</v>
      </c>
      <c r="C87" t="s">
        <v>30</v>
      </c>
      <c r="D87">
        <v>-3.6153289949385392E-3</v>
      </c>
      <c r="E87">
        <v>3.1545741324921134E-2</v>
      </c>
      <c r="F87">
        <v>1.4705882352940341E-3</v>
      </c>
      <c r="G87">
        <v>4.9122807017543063E-3</v>
      </c>
      <c r="H87">
        <v>1.885245901639342E-2</v>
      </c>
      <c r="I87">
        <v>-2.1843003412969207E-2</v>
      </c>
      <c r="J87">
        <v>-1.6783216783216821E-2</v>
      </c>
      <c r="K87">
        <v>3.0424339471577123E-2</v>
      </c>
      <c r="L87">
        <v>6.3694267515922529E-3</v>
      </c>
      <c r="M87">
        <v>3.5739814152966403E-3</v>
      </c>
      <c r="N87">
        <v>2.9850746268656716E-2</v>
      </c>
      <c r="O87">
        <v>7.0739549839227934E-3</v>
      </c>
      <c r="P87">
        <v>7.0972320794885952E-4</v>
      </c>
      <c r="Q87">
        <v>6.0938452163311586E-4</v>
      </c>
      <c r="R87">
        <v>2.0215633423180591E-2</v>
      </c>
      <c r="S87">
        <v>4.3447293447293402E-2</v>
      </c>
      <c r="T87">
        <v>2.3082145281737795E-2</v>
      </c>
      <c r="U87">
        <v>-7.2218520986009352E-2</v>
      </c>
      <c r="V87">
        <v>5.3456878118317883E-2</v>
      </c>
      <c r="W87">
        <v>4.1057759220598511E-2</v>
      </c>
      <c r="X87">
        <v>3.2675289312457334E-2</v>
      </c>
      <c r="Y87">
        <v>4.243394715772604E-2</v>
      </c>
      <c r="Z87">
        <v>5.1724137931034607E-2</v>
      </c>
      <c r="AA87">
        <v>4.0237467018469621E-2</v>
      </c>
      <c r="AB87">
        <v>1.0494752623688198E-2</v>
      </c>
      <c r="AC87">
        <v>3.6903039073806244E-2</v>
      </c>
      <c r="AD87">
        <v>1.1267605633802778E-2</v>
      </c>
      <c r="AE87" t="s">
        <v>174</v>
      </c>
    </row>
    <row r="88" spans="1:31" hidden="1" x14ac:dyDescent="0.3">
      <c r="A88">
        <v>2019</v>
      </c>
      <c r="B88" t="s">
        <v>39</v>
      </c>
      <c r="C88" t="s">
        <v>33</v>
      </c>
      <c r="D88">
        <v>2.1044992743105784E-2</v>
      </c>
      <c r="E88">
        <v>-2.3853211009174348E-2</v>
      </c>
      <c r="F88">
        <v>3.0837004405286472E-2</v>
      </c>
      <c r="G88">
        <v>1.3966480446928565E-3</v>
      </c>
      <c r="H88">
        <v>-4.5856798069187472E-2</v>
      </c>
      <c r="I88">
        <v>5.3035589672016707E-2</v>
      </c>
      <c r="J88">
        <v>0.20768136557610256</v>
      </c>
      <c r="K88">
        <v>-1.010101010100997E-2</v>
      </c>
      <c r="L88">
        <v>1.0849909584086825E-2</v>
      </c>
      <c r="M88">
        <v>4.2735042735042332E-3</v>
      </c>
      <c r="N88">
        <v>-6.5217391304347824E-2</v>
      </c>
      <c r="O88">
        <v>-9.578544061302683E-3</v>
      </c>
      <c r="P88">
        <v>3.2624113475177262E-2</v>
      </c>
      <c r="Q88">
        <v>1.5225334957369063E-2</v>
      </c>
      <c r="R88">
        <v>-4.6895640686922022E-2</v>
      </c>
      <c r="S88">
        <v>-0.10102389078498301</v>
      </c>
      <c r="T88">
        <v>-5.5076310550762994E-2</v>
      </c>
      <c r="U88">
        <v>7.2813442481689042E-2</v>
      </c>
      <c r="V88">
        <v>-0.11705006765899871</v>
      </c>
      <c r="W88">
        <v>-8.1550802139037357E-2</v>
      </c>
      <c r="X88">
        <v>-7.5148319050757931E-2</v>
      </c>
      <c r="Y88">
        <v>-8.1413210445468467E-2</v>
      </c>
      <c r="Z88">
        <v>-8.2650273224043669E-2</v>
      </c>
      <c r="AA88">
        <v>-5.5802155992390509E-2</v>
      </c>
      <c r="AB88">
        <v>-8.1602373887242029E-3</v>
      </c>
      <c r="AC88">
        <v>-6.7690160502442545E-2</v>
      </c>
      <c r="AD88">
        <v>-1.0445682451253482E-2</v>
      </c>
      <c r="AE88" t="s">
        <v>174</v>
      </c>
    </row>
    <row r="89" spans="1:31" hidden="1" x14ac:dyDescent="0.3">
      <c r="A89">
        <v>2019</v>
      </c>
      <c r="B89" t="s">
        <v>39</v>
      </c>
      <c r="C89" t="s">
        <v>34</v>
      </c>
      <c r="D89">
        <v>-1.4214641080312724E-2</v>
      </c>
      <c r="E89">
        <v>1.5664160401002505E-2</v>
      </c>
      <c r="F89">
        <v>-1.8518518518518476E-2</v>
      </c>
      <c r="G89">
        <v>-6.9735006973496727E-4</v>
      </c>
      <c r="H89">
        <v>3.0354131534570058E-2</v>
      </c>
      <c r="I89">
        <v>-2.7170311464546019E-2</v>
      </c>
      <c r="J89">
        <v>-0.11366313309776213</v>
      </c>
      <c r="K89">
        <v>7.0643642072213946E-3</v>
      </c>
      <c r="L89">
        <v>-7.1556350626117817E-3</v>
      </c>
      <c r="M89">
        <v>-2.836879432624154E-3</v>
      </c>
      <c r="N89">
        <v>4.0310077519379754E-2</v>
      </c>
      <c r="O89">
        <v>5.1579626047711892E-3</v>
      </c>
      <c r="P89">
        <v>-1.9917582417582458E-2</v>
      </c>
      <c r="Q89">
        <v>-1.0797840431913515E-2</v>
      </c>
      <c r="R89">
        <v>2.9799029799029677E-2</v>
      </c>
      <c r="S89">
        <v>6.6059225512528602E-2</v>
      </c>
      <c r="T89">
        <v>3.5112359550561793E-2</v>
      </c>
      <c r="U89">
        <v>0</v>
      </c>
      <c r="V89">
        <v>8.1992337164750864E-2</v>
      </c>
      <c r="W89">
        <v>4.6579330422125219E-2</v>
      </c>
      <c r="X89">
        <v>5.0605844618674227E-2</v>
      </c>
      <c r="Y89">
        <v>4.1806020066889632E-2</v>
      </c>
      <c r="Z89">
        <v>3.9463886820550874E-2</v>
      </c>
      <c r="AA89">
        <v>2.4177300201477462E-2</v>
      </c>
      <c r="AB89">
        <v>4.4876589379208888E-3</v>
      </c>
      <c r="AC89">
        <v>3.7425149700598806E-2</v>
      </c>
      <c r="AD89">
        <v>5.6298381421534937E-3</v>
      </c>
      <c r="AE89" t="s">
        <v>174</v>
      </c>
    </row>
    <row r="90" spans="1:31" hidden="1" x14ac:dyDescent="0.3">
      <c r="A90">
        <v>2019</v>
      </c>
      <c r="B90" t="s">
        <v>40</v>
      </c>
      <c r="C90" t="s">
        <v>30</v>
      </c>
      <c r="D90">
        <v>-2.1629416005766616E-3</v>
      </c>
      <c r="E90">
        <v>1.1721159777914903E-2</v>
      </c>
      <c r="F90">
        <v>4.3541364296080859E-3</v>
      </c>
      <c r="G90">
        <v>4.1870202372644404E-3</v>
      </c>
      <c r="H90">
        <v>1.800327332242228E-2</v>
      </c>
      <c r="I90">
        <v>-2.724795640327014E-3</v>
      </c>
      <c r="J90">
        <v>-2.6578073089701375E-3</v>
      </c>
      <c r="K90">
        <v>1.7926734216679521E-2</v>
      </c>
      <c r="L90">
        <v>-1.8018018018018274E-3</v>
      </c>
      <c r="M90">
        <v>7.8236130867709412E-3</v>
      </c>
      <c r="N90">
        <v>3.2041728763040324E-2</v>
      </c>
      <c r="O90">
        <v>5.1314945477869333E-3</v>
      </c>
      <c r="P90">
        <v>2.102312543798258E-3</v>
      </c>
      <c r="Q90">
        <v>-2.4257125530624964E-3</v>
      </c>
      <c r="R90">
        <v>2.0188425302826381E-2</v>
      </c>
      <c r="S90">
        <v>4.4159544159544074E-2</v>
      </c>
      <c r="T90">
        <v>2.3744911804613297E-2</v>
      </c>
      <c r="U90">
        <v>-6.7871485943775192E-2</v>
      </c>
      <c r="V90">
        <v>3.9660056657223962E-2</v>
      </c>
      <c r="W90">
        <v>4.3115438108483922E-2</v>
      </c>
      <c r="X90">
        <v>3.2564450474898123E-2</v>
      </c>
      <c r="Y90">
        <v>5.2969502407704615E-2</v>
      </c>
      <c r="Z90">
        <v>5.65902578796562E-2</v>
      </c>
      <c r="AA90">
        <v>4.3278688524590124E-2</v>
      </c>
      <c r="AB90">
        <v>1.3402829486224741E-2</v>
      </c>
      <c r="AC90">
        <v>4.0404040404040366E-2</v>
      </c>
      <c r="AD90">
        <v>1.3995801259622112E-2</v>
      </c>
      <c r="AE90" t="s">
        <v>175</v>
      </c>
    </row>
    <row r="91" spans="1:31" hidden="1" x14ac:dyDescent="0.3">
      <c r="A91">
        <v>2019</v>
      </c>
      <c r="B91" t="s">
        <v>40</v>
      </c>
      <c r="C91" t="s">
        <v>33</v>
      </c>
      <c r="D91">
        <v>2.1676300578034682E-2</v>
      </c>
      <c r="E91">
        <v>-2.3170731707317142E-2</v>
      </c>
      <c r="F91">
        <v>2.9624277456647356E-2</v>
      </c>
      <c r="G91">
        <v>1.3898540653230621E-3</v>
      </c>
      <c r="H91">
        <v>-4.0996784565916468E-2</v>
      </c>
      <c r="I91">
        <v>5.6693989071038134E-2</v>
      </c>
      <c r="J91">
        <v>0.19986675549633579</v>
      </c>
      <c r="K91">
        <v>-1.3016845329249531E-2</v>
      </c>
      <c r="L91">
        <v>9.0252707581227436E-3</v>
      </c>
      <c r="M91">
        <v>-7.057163020465372E-4</v>
      </c>
      <c r="N91">
        <v>-6.4981949458483748E-2</v>
      </c>
      <c r="O91">
        <v>-7.0197830248882858E-3</v>
      </c>
      <c r="P91">
        <v>3.2867132867132789E-2</v>
      </c>
      <c r="Q91">
        <v>1.6413373860182302E-2</v>
      </c>
      <c r="R91">
        <v>-4.5514511873350962E-2</v>
      </c>
      <c r="S91">
        <v>-0.10027285129604359</v>
      </c>
      <c r="T91">
        <v>-5.4340622929092225E-2</v>
      </c>
      <c r="U91">
        <v>8.1430417923308948E-2</v>
      </c>
      <c r="V91">
        <v>-0.13487738419618536</v>
      </c>
      <c r="W91">
        <v>-8.2000000000000073E-2</v>
      </c>
      <c r="X91">
        <v>-7.4901445466491315E-2</v>
      </c>
      <c r="Y91">
        <v>-8.0792682926829229E-2</v>
      </c>
      <c r="Z91">
        <v>-8.4745762711864403E-2</v>
      </c>
      <c r="AA91">
        <v>-5.4682589566310426E-2</v>
      </c>
      <c r="AB91">
        <v>-7.3475385745775165E-3</v>
      </c>
      <c r="AC91">
        <v>-6.726768377253807E-2</v>
      </c>
      <c r="AD91">
        <v>-1.1042097998619698E-2</v>
      </c>
      <c r="AE91" t="s">
        <v>175</v>
      </c>
    </row>
    <row r="92" spans="1:31" hidden="1" x14ac:dyDescent="0.3">
      <c r="A92">
        <v>2019</v>
      </c>
      <c r="B92" t="s">
        <v>40</v>
      </c>
      <c r="C92" t="s">
        <v>34</v>
      </c>
      <c r="D92">
        <v>-1.4851485148514811E-2</v>
      </c>
      <c r="E92">
        <v>1.5605493133583023E-2</v>
      </c>
      <c r="F92">
        <v>-1.7543859649122806E-2</v>
      </c>
      <c r="G92">
        <v>-6.9396252602355534E-4</v>
      </c>
      <c r="H92">
        <v>2.6823134953897761E-2</v>
      </c>
      <c r="I92">
        <v>-2.8442146089204767E-2</v>
      </c>
      <c r="J92">
        <v>-0.10993892282065509</v>
      </c>
      <c r="K92">
        <v>8.5337470907679933E-3</v>
      </c>
      <c r="L92">
        <v>-6.2611806797853563E-3</v>
      </c>
      <c r="M92">
        <v>7.0621468926549661E-4</v>
      </c>
      <c r="N92">
        <v>4.0154440154440064E-2</v>
      </c>
      <c r="O92">
        <v>3.856041131105362E-3</v>
      </c>
      <c r="P92">
        <v>-2.0311442112389982E-2</v>
      </c>
      <c r="Q92">
        <v>-1.1961722488038277E-2</v>
      </c>
      <c r="R92">
        <v>2.9025570145127969E-2</v>
      </c>
      <c r="S92">
        <v>6.5200909780136415E-2</v>
      </c>
      <c r="T92">
        <v>3.4337771548703613E-2</v>
      </c>
      <c r="U92">
        <v>0</v>
      </c>
      <c r="V92">
        <v>9.685039370078749E-2</v>
      </c>
      <c r="W92">
        <v>4.7204066811909952E-2</v>
      </c>
      <c r="X92">
        <v>5.0426136363636319E-2</v>
      </c>
      <c r="Y92">
        <v>4.1459369817578771E-2</v>
      </c>
      <c r="Z92">
        <v>4.0740740740740744E-2</v>
      </c>
      <c r="AA92">
        <v>2.3936170212765919E-2</v>
      </c>
      <c r="AB92">
        <v>4.4411547002220159E-3</v>
      </c>
      <c r="AC92">
        <v>3.717472118959108E-2</v>
      </c>
      <c r="AD92">
        <v>6.2805303558965608E-3</v>
      </c>
      <c r="AE92" t="s">
        <v>175</v>
      </c>
    </row>
    <row r="93" spans="1:31" hidden="1" x14ac:dyDescent="0.3">
      <c r="A93">
        <v>2019</v>
      </c>
      <c r="B93" t="s">
        <v>41</v>
      </c>
      <c r="C93" t="s">
        <v>30</v>
      </c>
      <c r="D93">
        <v>-7.1787508973454942E-4</v>
      </c>
      <c r="E93">
        <v>-4.9170251997540442E-3</v>
      </c>
      <c r="F93">
        <v>-2.0714285714285754E-2</v>
      </c>
      <c r="G93">
        <v>4.1666666666666276E-3</v>
      </c>
      <c r="H93">
        <v>1.7959183673469412E-2</v>
      </c>
      <c r="I93">
        <v>-3.1936127744511052E-2</v>
      </c>
      <c r="J93">
        <v>-2.5577043044292092E-2</v>
      </c>
      <c r="K93">
        <v>1.1538461538461539E-2</v>
      </c>
      <c r="L93">
        <v>5.4005400540054777E-3</v>
      </c>
      <c r="M93">
        <v>7.0571630204657732E-3</v>
      </c>
      <c r="N93">
        <v>2.821083890126215E-2</v>
      </c>
      <c r="O93">
        <v>4.4814340588989572E-3</v>
      </c>
      <c r="P93">
        <v>-4.8375950241878966E-3</v>
      </c>
      <c r="Q93">
        <v>-6.0532687651328285E-4</v>
      </c>
      <c r="R93">
        <v>1.947615849563469E-2</v>
      </c>
      <c r="S93">
        <v>4.3416370106761526E-2</v>
      </c>
      <c r="T93">
        <v>2.3712737127371274E-2</v>
      </c>
      <c r="U93">
        <v>-7.5298804780876513E-2</v>
      </c>
      <c r="V93">
        <v>5.0969131371141375E-2</v>
      </c>
      <c r="W93">
        <v>4.1608876560332873E-2</v>
      </c>
      <c r="X93">
        <v>3.2454361054766616E-2</v>
      </c>
      <c r="Y93">
        <v>4.617834394904468E-2</v>
      </c>
      <c r="Z93">
        <v>5.3380782918149468E-2</v>
      </c>
      <c r="AA93">
        <v>3.7012987012986942E-2</v>
      </c>
      <c r="AB93">
        <v>2.2844509948415793E-2</v>
      </c>
      <c r="AC93">
        <v>3.8709677419354882E-2</v>
      </c>
      <c r="AD93">
        <v>1.0402219140083218E-2</v>
      </c>
      <c r="AE93" t="s">
        <v>176</v>
      </c>
    </row>
    <row r="94" spans="1:31" hidden="1" x14ac:dyDescent="0.3">
      <c r="A94">
        <v>2019</v>
      </c>
      <c r="B94" t="s">
        <v>41</v>
      </c>
      <c r="C94" t="s">
        <v>33</v>
      </c>
      <c r="D94">
        <v>2.0833333333333377E-2</v>
      </c>
      <c r="E94">
        <v>-2.2235948116121028E-2</v>
      </c>
      <c r="F94">
        <v>2.6987600291757965E-2</v>
      </c>
      <c r="G94">
        <v>2.0746887966805764E-3</v>
      </c>
      <c r="H94">
        <v>-3.8492381716118663E-2</v>
      </c>
      <c r="I94">
        <v>5.7731958762886636E-2</v>
      </c>
      <c r="J94">
        <v>0.2106274007682459</v>
      </c>
      <c r="K94">
        <v>-1.2927756653992309E-2</v>
      </c>
      <c r="L94">
        <v>8.9525514771709933E-3</v>
      </c>
      <c r="M94">
        <v>-1.4015416958653723E-3</v>
      </c>
      <c r="N94">
        <v>-6.2815884476534217E-2</v>
      </c>
      <c r="O94">
        <v>-4.4614404079032317E-3</v>
      </c>
      <c r="P94">
        <v>3.5416666666666624E-2</v>
      </c>
      <c r="Q94">
        <v>1.6959418534221754E-2</v>
      </c>
      <c r="R94">
        <v>-4.4795783926218781E-2</v>
      </c>
      <c r="S94">
        <v>-9.8226466575716279E-2</v>
      </c>
      <c r="T94">
        <v>-5.3606882859033714E-2</v>
      </c>
      <c r="U94">
        <v>8.8611230791325601E-2</v>
      </c>
      <c r="V94">
        <v>-0.14275956284153007</v>
      </c>
      <c r="W94">
        <v>-8.0559254327563223E-2</v>
      </c>
      <c r="X94">
        <v>-7.3346430910281535E-2</v>
      </c>
      <c r="Y94">
        <v>-8.0669710806697173E-2</v>
      </c>
      <c r="Z94">
        <v>-8.5135135135135098E-2</v>
      </c>
      <c r="AA94">
        <v>-5.1346274264245394E-2</v>
      </c>
      <c r="AB94">
        <v>-7.2046109510086453E-3</v>
      </c>
      <c r="AC94">
        <v>-6.625258799171839E-2</v>
      </c>
      <c r="AD94">
        <v>-1.0295126973232671E-2</v>
      </c>
      <c r="AE94" t="s">
        <v>176</v>
      </c>
    </row>
    <row r="95" spans="1:31" hidden="1" x14ac:dyDescent="0.3">
      <c r="A95">
        <v>2019</v>
      </c>
      <c r="B95" t="s">
        <v>41</v>
      </c>
      <c r="C95" t="s">
        <v>34</v>
      </c>
      <c r="D95">
        <v>-1.4074595355383534E-2</v>
      </c>
      <c r="E95">
        <v>1.452937460517993E-2</v>
      </c>
      <c r="F95">
        <v>-1.6335227272727352E-2</v>
      </c>
      <c r="G95">
        <v>-1.3802622498275848E-3</v>
      </c>
      <c r="H95">
        <v>2.5020850708924101E-2</v>
      </c>
      <c r="I95">
        <v>-2.9239766081871343E-2</v>
      </c>
      <c r="J95">
        <v>-0.11475409836065568</v>
      </c>
      <c r="K95">
        <v>8.4745762711863955E-3</v>
      </c>
      <c r="L95">
        <v>-6.2111801242236272E-3</v>
      </c>
      <c r="M95">
        <v>7.0175438596487244E-4</v>
      </c>
      <c r="N95">
        <v>3.9291217257318906E-2</v>
      </c>
      <c r="O95">
        <v>2.5608194622279497E-3</v>
      </c>
      <c r="P95">
        <v>-2.1462105969148146E-2</v>
      </c>
      <c r="Q95">
        <v>-1.250744490768311E-2</v>
      </c>
      <c r="R95">
        <v>2.8275862068965478E-2</v>
      </c>
      <c r="S95">
        <v>6.3540090771558297E-2</v>
      </c>
      <c r="T95">
        <v>3.4265734265734309E-2</v>
      </c>
      <c r="U95">
        <v>0</v>
      </c>
      <c r="V95">
        <v>0.10358565737051793</v>
      </c>
      <c r="W95">
        <v>4.634322954380888E-2</v>
      </c>
      <c r="X95">
        <v>4.9469964664310952E-2</v>
      </c>
      <c r="Y95">
        <v>4.1390728476821195E-2</v>
      </c>
      <c r="Z95">
        <v>4.0620384047267352E-2</v>
      </c>
      <c r="AA95">
        <v>2.2442244224422481E-2</v>
      </c>
      <c r="AB95">
        <v>4.3541364296080859E-3</v>
      </c>
      <c r="AC95">
        <v>3.6215816703621409E-2</v>
      </c>
      <c r="AD95">
        <v>5.5478502080444619E-3</v>
      </c>
      <c r="AE95" t="s">
        <v>176</v>
      </c>
    </row>
    <row r="96" spans="1:31" hidden="1" x14ac:dyDescent="0.3">
      <c r="A96">
        <v>2019</v>
      </c>
      <c r="B96" t="s">
        <v>42</v>
      </c>
      <c r="C96" t="s">
        <v>30</v>
      </c>
      <c r="D96">
        <v>0</v>
      </c>
      <c r="E96">
        <v>8.0946450809465213E-3</v>
      </c>
      <c r="F96">
        <v>-1.4440433212995569E-3</v>
      </c>
      <c r="G96">
        <v>6.9108500345542506E-3</v>
      </c>
      <c r="H96">
        <v>1.7900732302685015E-2</v>
      </c>
      <c r="I96">
        <v>-3.7483266398929009E-2</v>
      </c>
      <c r="J96">
        <v>-2.3894862604540022E-2</v>
      </c>
      <c r="K96">
        <v>9.9312452253627424E-3</v>
      </c>
      <c r="L96">
        <v>7.1428571428571175E-3</v>
      </c>
      <c r="M96">
        <v>1.1220196353436145E-2</v>
      </c>
      <c r="N96">
        <v>2.6686434395848734E-2</v>
      </c>
      <c r="O96">
        <v>3.8314176245210366E-3</v>
      </c>
      <c r="P96">
        <v>-2.7416038382454123E-3</v>
      </c>
      <c r="Q96">
        <v>-6.0313630880592722E-4</v>
      </c>
      <c r="R96">
        <v>1.7437961099932894E-2</v>
      </c>
      <c r="S96">
        <v>4.2674253200568994E-2</v>
      </c>
      <c r="T96">
        <v>2.0960108181203477E-2</v>
      </c>
      <c r="U96">
        <v>-8.1398416886543562E-2</v>
      </c>
      <c r="V96">
        <v>6.0649819494584881E-2</v>
      </c>
      <c r="W96">
        <v>4.0138408304498351E-2</v>
      </c>
      <c r="X96">
        <v>3.2996632996633038E-2</v>
      </c>
      <c r="Y96">
        <v>4.6104928457869614E-2</v>
      </c>
      <c r="Z96">
        <v>5.2519517388218633E-2</v>
      </c>
      <c r="AA96">
        <v>3.4215622982569291E-2</v>
      </c>
      <c r="AB96">
        <v>1.3005780346820685E-2</v>
      </c>
      <c r="AC96">
        <v>3.7089871611983009E-2</v>
      </c>
      <c r="AD96">
        <v>1.1724137931034405E-2</v>
      </c>
      <c r="AE96" t="s">
        <v>177</v>
      </c>
    </row>
    <row r="97" spans="1:31" hidden="1" x14ac:dyDescent="0.3">
      <c r="A97">
        <v>2019</v>
      </c>
      <c r="B97" t="s">
        <v>42</v>
      </c>
      <c r="C97" t="s">
        <v>33</v>
      </c>
      <c r="D97">
        <v>1.855817273376156E-2</v>
      </c>
      <c r="E97">
        <v>-1.9765287214329939E-2</v>
      </c>
      <c r="F97">
        <v>2.3861171366594235E-2</v>
      </c>
      <c r="G97">
        <v>-5.4907343857239742E-3</v>
      </c>
      <c r="H97">
        <v>-3.4372501998401257E-2</v>
      </c>
      <c r="I97">
        <v>4.1724617524339355E-2</v>
      </c>
      <c r="J97">
        <v>0.17747858017135862</v>
      </c>
      <c r="K97">
        <v>-1.4372163388804671E-2</v>
      </c>
      <c r="L97">
        <v>1.0638297872340451E-2</v>
      </c>
      <c r="M97">
        <v>-2.773925104022034E-3</v>
      </c>
      <c r="N97">
        <v>-6.1371841155234655E-2</v>
      </c>
      <c r="O97">
        <v>-5.0890585241729199E-3</v>
      </c>
      <c r="P97">
        <v>2.7491408934707903E-2</v>
      </c>
      <c r="Q97">
        <v>1.7501508750754412E-2</v>
      </c>
      <c r="R97">
        <v>-4.2188529993407893E-2</v>
      </c>
      <c r="S97">
        <v>-9.8226466575716279E-2</v>
      </c>
      <c r="T97">
        <v>-5.0993377483443632E-2</v>
      </c>
      <c r="U97">
        <v>9.2919718512135568E-2</v>
      </c>
      <c r="V97">
        <v>-0.13818924438393473</v>
      </c>
      <c r="W97">
        <v>-7.9840319361277445E-2</v>
      </c>
      <c r="X97">
        <v>-7.4967405475880045E-2</v>
      </c>
      <c r="Y97">
        <v>-7.9027355623100246E-2</v>
      </c>
      <c r="Z97">
        <v>-8.361429534726908E-2</v>
      </c>
      <c r="AA97">
        <v>-5.3682896379525565E-2</v>
      </c>
      <c r="AB97">
        <v>-8.5592011412267393E-3</v>
      </c>
      <c r="AC97">
        <v>-6.6712517193947843E-2</v>
      </c>
      <c r="AD97">
        <v>-1.36332651670075E-2</v>
      </c>
      <c r="AE97" t="s">
        <v>177</v>
      </c>
    </row>
    <row r="98" spans="1:31" hidden="1" x14ac:dyDescent="0.3">
      <c r="A98">
        <v>2019</v>
      </c>
      <c r="B98" t="s">
        <v>42</v>
      </c>
      <c r="C98" t="s">
        <v>34</v>
      </c>
      <c r="D98">
        <v>-1.2613875262788949E-2</v>
      </c>
      <c r="E98">
        <v>1.3232514177693906E-2</v>
      </c>
      <c r="F98">
        <v>-1.4124293785310734E-2</v>
      </c>
      <c r="G98">
        <v>3.450655624568668E-3</v>
      </c>
      <c r="H98">
        <v>2.2350993377483468E-2</v>
      </c>
      <c r="I98">
        <v>-2.1361815754339233E-2</v>
      </c>
      <c r="J98">
        <v>-9.9792099792099881E-2</v>
      </c>
      <c r="K98">
        <v>9.976976208748909E-3</v>
      </c>
      <c r="L98">
        <v>-7.0175438596490978E-3</v>
      </c>
      <c r="M98">
        <v>2.0862308762168492E-3</v>
      </c>
      <c r="N98">
        <v>3.8461538461538464E-2</v>
      </c>
      <c r="O98">
        <v>2.5575447570332843E-3</v>
      </c>
      <c r="P98">
        <v>-1.6722408026755852E-2</v>
      </c>
      <c r="Q98">
        <v>-1.2455516014234842E-2</v>
      </c>
      <c r="R98">
        <v>2.6841018582243477E-2</v>
      </c>
      <c r="S98">
        <v>6.3540090771558297E-2</v>
      </c>
      <c r="T98">
        <v>3.2100488485694308E-2</v>
      </c>
      <c r="U98">
        <v>0</v>
      </c>
      <c r="V98">
        <v>9.9526066350710859E-2</v>
      </c>
      <c r="W98">
        <v>4.5553145336225467E-2</v>
      </c>
      <c r="X98">
        <v>5.0035236081747668E-2</v>
      </c>
      <c r="Y98">
        <v>4.0429042904290356E-2</v>
      </c>
      <c r="Z98">
        <v>3.9735099337748388E-2</v>
      </c>
      <c r="AA98">
        <v>2.3746701846965663E-2</v>
      </c>
      <c r="AB98">
        <v>5.0359712230215008E-3</v>
      </c>
      <c r="AC98">
        <v>3.6845983787767135E-2</v>
      </c>
      <c r="AD98">
        <v>7.6019350380098329E-3</v>
      </c>
      <c r="AE98" t="s">
        <v>177</v>
      </c>
    </row>
    <row r="99" spans="1:31" hidden="1" x14ac:dyDescent="0.3">
      <c r="A99">
        <v>2019</v>
      </c>
      <c r="B99" t="s">
        <v>43</v>
      </c>
      <c r="C99" t="s">
        <v>30</v>
      </c>
      <c r="D99">
        <v>7.0972320794885952E-4</v>
      </c>
      <c r="E99">
        <v>4.975124378109346E-3</v>
      </c>
      <c r="F99">
        <v>1.1461318051575891E-2</v>
      </c>
      <c r="G99">
        <v>7.5653370013754762E-3</v>
      </c>
      <c r="H99">
        <v>1.7004048582995906E-2</v>
      </c>
      <c r="I99">
        <v>-6.1391541609823038E-3</v>
      </c>
      <c r="J99">
        <v>3.2332563510392744E-2</v>
      </c>
      <c r="K99">
        <v>1.1398176291793313E-2</v>
      </c>
      <c r="L99">
        <v>3.5335689045935641E-3</v>
      </c>
      <c r="M99">
        <v>9.7154753643303657E-3</v>
      </c>
      <c r="N99">
        <v>2.6666666666666623E-2</v>
      </c>
      <c r="O99">
        <v>3.8265306122448614E-3</v>
      </c>
      <c r="P99">
        <v>8.8435374149660635E-3</v>
      </c>
      <c r="Q99">
        <v>-1.2012012012011328E-3</v>
      </c>
      <c r="R99">
        <v>1.675603217158177E-2</v>
      </c>
      <c r="S99">
        <v>4.3385490753911765E-2</v>
      </c>
      <c r="T99">
        <v>2.0960108181203477E-2</v>
      </c>
      <c r="U99">
        <v>-8.5019710906701698E-2</v>
      </c>
      <c r="V99">
        <v>6.1063218390804599E-2</v>
      </c>
      <c r="W99">
        <v>4.1493775933609957E-2</v>
      </c>
      <c r="X99">
        <v>3.1543624161073751E-2</v>
      </c>
      <c r="Y99">
        <v>4.4409199048374266E-2</v>
      </c>
      <c r="Z99">
        <v>5.2370842179759215E-2</v>
      </c>
      <c r="AA99">
        <v>3.5438144329896913E-2</v>
      </c>
      <c r="AB99">
        <v>4.2949176807446157E-3</v>
      </c>
      <c r="AC99">
        <v>3.5536602700781808E-2</v>
      </c>
      <c r="AD99">
        <v>1.7146776406035662E-2</v>
      </c>
      <c r="AE99" t="s">
        <v>178</v>
      </c>
    </row>
    <row r="100" spans="1:31" hidden="1" x14ac:dyDescent="0.3">
      <c r="A100">
        <v>2019</v>
      </c>
      <c r="B100" t="s">
        <v>43</v>
      </c>
      <c r="C100" t="s">
        <v>33</v>
      </c>
      <c r="D100">
        <v>1.7730496453900711E-2</v>
      </c>
      <c r="E100">
        <v>-1.1138613861386034E-2</v>
      </c>
      <c r="F100">
        <v>2.4787535410764873E-2</v>
      </c>
      <c r="G100">
        <v>-6.1433447098976496E-3</v>
      </c>
      <c r="H100">
        <v>-3.5828025477707005E-2</v>
      </c>
      <c r="I100">
        <v>3.3630748112560095E-2</v>
      </c>
      <c r="J100">
        <v>0.15883668903803119</v>
      </c>
      <c r="K100">
        <v>-1.4274981217130021E-2</v>
      </c>
      <c r="L100">
        <v>1.0563380281690167E-2</v>
      </c>
      <c r="M100">
        <v>-2.0618556701031709E-3</v>
      </c>
      <c r="N100">
        <v>-6.0606060606060649E-2</v>
      </c>
      <c r="O100">
        <v>-3.8119440914866219E-3</v>
      </c>
      <c r="P100">
        <v>2.4275118004045814E-2</v>
      </c>
      <c r="Q100">
        <v>1.8039687312086588E-2</v>
      </c>
      <c r="R100">
        <v>-3.8233355306525926E-2</v>
      </c>
      <c r="S100">
        <v>-9.7477845944103497E-2</v>
      </c>
      <c r="T100">
        <v>-4.7019867549668838E-2</v>
      </c>
      <c r="U100">
        <v>9.8664368806548969E-2</v>
      </c>
      <c r="V100">
        <v>-0.12728503723764376</v>
      </c>
      <c r="W100">
        <v>-7.901726427622846E-2</v>
      </c>
      <c r="X100">
        <v>-7.3519843851658967E-2</v>
      </c>
      <c r="Y100">
        <v>-7.7448747152619513E-2</v>
      </c>
      <c r="Z100">
        <v>-8.4061869535978481E-2</v>
      </c>
      <c r="AA100">
        <v>-5.6004978220286251E-2</v>
      </c>
      <c r="AB100">
        <v>-5.7020669992873226E-3</v>
      </c>
      <c r="AC100">
        <v>-6.6575154426904523E-2</v>
      </c>
      <c r="AD100">
        <v>-1.5509103169251593E-2</v>
      </c>
      <c r="AE100" t="s">
        <v>178</v>
      </c>
    </row>
    <row r="101" spans="1:31" hidden="1" x14ac:dyDescent="0.3">
      <c r="A101">
        <v>2019</v>
      </c>
      <c r="B101" t="s">
        <v>43</v>
      </c>
      <c r="C101" t="s">
        <v>34</v>
      </c>
      <c r="D101">
        <v>-1.1846689895470304E-2</v>
      </c>
      <c r="E101">
        <v>7.5093867334166996E-3</v>
      </c>
      <c r="F101">
        <v>-1.4512785072563887E-2</v>
      </c>
      <c r="G101">
        <v>4.120879120879082E-3</v>
      </c>
      <c r="H101">
        <v>2.312138728323709E-2</v>
      </c>
      <c r="I101">
        <v>-1.7264276228419619E-2</v>
      </c>
      <c r="J101">
        <v>-9.0733590733590649E-2</v>
      </c>
      <c r="K101">
        <v>9.9085365853659405E-3</v>
      </c>
      <c r="L101">
        <v>-6.9686411149825541E-3</v>
      </c>
      <c r="M101">
        <v>1.3774104683196768E-3</v>
      </c>
      <c r="N101">
        <v>3.7634408602150587E-2</v>
      </c>
      <c r="O101">
        <v>1.9132653061223401E-3</v>
      </c>
      <c r="P101">
        <v>-1.5141540487162682E-2</v>
      </c>
      <c r="Q101">
        <v>-1.2994683992912091E-2</v>
      </c>
      <c r="R101">
        <v>2.3989033584647018E-2</v>
      </c>
      <c r="S101">
        <v>6.3444108761329346E-2</v>
      </c>
      <c r="T101">
        <v>2.9881862404447412E-2</v>
      </c>
      <c r="U101">
        <v>0</v>
      </c>
      <c r="V101">
        <v>9.0768037238169036E-2</v>
      </c>
      <c r="W101">
        <v>4.5421773612112561E-2</v>
      </c>
      <c r="X101">
        <v>4.9157303370786512E-2</v>
      </c>
      <c r="Y101">
        <v>3.9506172839506151E-2</v>
      </c>
      <c r="Z101">
        <v>4.0381791483113071E-2</v>
      </c>
      <c r="AA101">
        <v>2.439024390243914E-2</v>
      </c>
      <c r="AB101">
        <v>3.5842293906810036E-3</v>
      </c>
      <c r="AC101">
        <v>3.6764705882352942E-2</v>
      </c>
      <c r="AD101">
        <v>8.2191780821917037E-3</v>
      </c>
      <c r="AE101" t="s">
        <v>178</v>
      </c>
    </row>
    <row r="102" spans="1:31" hidden="1" x14ac:dyDescent="0.3">
      <c r="A102">
        <v>2019</v>
      </c>
      <c r="B102" t="s">
        <v>45</v>
      </c>
      <c r="C102" t="s">
        <v>30</v>
      </c>
      <c r="D102">
        <v>0</v>
      </c>
      <c r="E102">
        <v>1.6770186335403656E-2</v>
      </c>
      <c r="F102">
        <v>8.4151472650772583E-3</v>
      </c>
      <c r="G102">
        <v>6.1559507523940198E-3</v>
      </c>
      <c r="H102">
        <v>1.6949152542372836E-2</v>
      </c>
      <c r="I102">
        <v>-1.2162162162162239E-2</v>
      </c>
      <c r="J102">
        <v>1.5923566878980892E-2</v>
      </c>
      <c r="K102">
        <v>2.7924528301886707E-2</v>
      </c>
      <c r="L102">
        <v>-1.7543859649123057E-3</v>
      </c>
      <c r="M102">
        <v>1.3067400275103202E-2</v>
      </c>
      <c r="N102">
        <v>2.6646928201332305E-2</v>
      </c>
      <c r="O102">
        <v>3.8192234245703013E-3</v>
      </c>
      <c r="P102">
        <v>8.6898395721925897E-3</v>
      </c>
      <c r="Q102">
        <v>5.9844404548171351E-4</v>
      </c>
      <c r="R102">
        <v>1.941097724230258E-2</v>
      </c>
      <c r="S102">
        <v>4.4034090909090821E-2</v>
      </c>
      <c r="T102">
        <v>2.2267206477732872E-2</v>
      </c>
      <c r="U102">
        <v>-8.9803921568627515E-2</v>
      </c>
      <c r="V102">
        <v>5.5476529160739772E-2</v>
      </c>
      <c r="W102">
        <v>4.0689655172413831E-2</v>
      </c>
      <c r="X102">
        <v>3.2797858099062958E-2</v>
      </c>
      <c r="Y102">
        <v>4.5922406967537591E-2</v>
      </c>
      <c r="Z102">
        <v>5.2223006351446763E-2</v>
      </c>
      <c r="AA102">
        <v>3.4749034749034784E-2</v>
      </c>
      <c r="AB102">
        <v>4.2857142857142452E-3</v>
      </c>
      <c r="AC102">
        <v>3.6170212765957409E-2</v>
      </c>
      <c r="AD102">
        <v>1.8342391304347942E-2</v>
      </c>
      <c r="AE102" t="s">
        <v>179</v>
      </c>
    </row>
    <row r="103" spans="1:31" hidden="1" x14ac:dyDescent="0.3">
      <c r="A103">
        <v>2019</v>
      </c>
      <c r="B103" t="s">
        <v>45</v>
      </c>
      <c r="C103" t="s">
        <v>33</v>
      </c>
      <c r="D103">
        <v>1.6220028208744589E-2</v>
      </c>
      <c r="E103">
        <v>-7.9413561392790658E-3</v>
      </c>
      <c r="F103">
        <v>3.1988873435326803E-2</v>
      </c>
      <c r="G103">
        <v>-8.1577158395648441E-3</v>
      </c>
      <c r="H103">
        <v>-3.5714285714285712E-2</v>
      </c>
      <c r="I103">
        <v>1.7783857729138323E-2</v>
      </c>
      <c r="J103">
        <v>0.12695924764890273</v>
      </c>
      <c r="K103">
        <v>-1.1747430249632852E-2</v>
      </c>
      <c r="L103">
        <v>1.0544815465729374E-2</v>
      </c>
      <c r="M103">
        <v>-6.7888662593346902E-3</v>
      </c>
      <c r="N103">
        <v>-5.9120403749098695E-2</v>
      </c>
      <c r="O103">
        <v>-3.1705770450221942E-3</v>
      </c>
      <c r="P103">
        <v>1.789264413518879E-2</v>
      </c>
      <c r="Q103">
        <v>1.6148325358851776E-2</v>
      </c>
      <c r="R103">
        <v>-3.9395929087327641E-2</v>
      </c>
      <c r="S103">
        <v>-9.7959183673469424E-2</v>
      </c>
      <c r="T103">
        <v>-4.818481848184826E-2</v>
      </c>
      <c r="U103">
        <v>0.1022547752405573</v>
      </c>
      <c r="V103">
        <v>-0.10916442048517531</v>
      </c>
      <c r="W103">
        <v>-7.8197481776010672E-2</v>
      </c>
      <c r="X103">
        <v>-7.4530136098509392E-2</v>
      </c>
      <c r="Y103">
        <v>-7.8728236184708492E-2</v>
      </c>
      <c r="Z103">
        <v>-8.3165660630449403E-2</v>
      </c>
      <c r="AA103">
        <v>-5.5970149253731338E-2</v>
      </c>
      <c r="AB103">
        <v>-5.6899004267424108E-3</v>
      </c>
      <c r="AC103">
        <v>-6.707734428473637E-2</v>
      </c>
      <c r="AD103">
        <v>-1.934623082054707E-2</v>
      </c>
      <c r="AE103" t="s">
        <v>179</v>
      </c>
    </row>
    <row r="104" spans="1:31" hidden="1" x14ac:dyDescent="0.3">
      <c r="A104">
        <v>2019</v>
      </c>
      <c r="B104" t="s">
        <v>45</v>
      </c>
      <c r="C104" t="s">
        <v>34</v>
      </c>
      <c r="D104">
        <v>-1.1103400416377477E-2</v>
      </c>
      <c r="E104">
        <v>4.9261083743841316E-3</v>
      </c>
      <c r="F104">
        <v>-1.8867924528301962E-2</v>
      </c>
      <c r="G104">
        <v>5.4832076764906304E-3</v>
      </c>
      <c r="H104">
        <v>2.3045267489711911E-2</v>
      </c>
      <c r="I104">
        <v>-9.4086021505376712E-3</v>
      </c>
      <c r="J104">
        <v>-7.4640704682429282E-2</v>
      </c>
      <c r="K104">
        <v>8.1723625557206126E-3</v>
      </c>
      <c r="L104">
        <v>-6.9565217391304099E-3</v>
      </c>
      <c r="M104">
        <v>4.7846889952152328E-3</v>
      </c>
      <c r="N104">
        <v>3.6781609195402389E-2</v>
      </c>
      <c r="O104">
        <v>1.9083969465649578E-3</v>
      </c>
      <c r="P104">
        <v>-1.1067708333333259E-2</v>
      </c>
      <c r="Q104">
        <v>-1.1771630370806356E-2</v>
      </c>
      <c r="R104">
        <v>2.4606971975392987E-2</v>
      </c>
      <c r="S104">
        <v>6.3348416289592813E-2</v>
      </c>
      <c r="T104">
        <v>3.0513176144244147E-2</v>
      </c>
      <c r="U104">
        <v>0</v>
      </c>
      <c r="V104">
        <v>7.6399394856278544E-2</v>
      </c>
      <c r="W104">
        <v>4.4572250179726942E-2</v>
      </c>
      <c r="X104">
        <v>4.9719887955182028E-2</v>
      </c>
      <c r="Y104">
        <v>4.0262941659819154E-2</v>
      </c>
      <c r="Z104">
        <v>3.9502560351133913E-2</v>
      </c>
      <c r="AA104">
        <v>2.4374176548089516E-2</v>
      </c>
      <c r="AB104">
        <v>3.5765379113018594E-3</v>
      </c>
      <c r="AC104">
        <v>3.6683785766691117E-2</v>
      </c>
      <c r="AD104">
        <v>1.088435374149656E-2</v>
      </c>
      <c r="AE104" t="s">
        <v>179</v>
      </c>
    </row>
    <row r="105" spans="1:31" hidden="1" x14ac:dyDescent="0.3">
      <c r="A105">
        <v>2019</v>
      </c>
      <c r="B105" t="s">
        <v>46</v>
      </c>
      <c r="C105" t="s">
        <v>30</v>
      </c>
      <c r="D105">
        <v>2.1052631578948166E-3</v>
      </c>
      <c r="E105">
        <v>1.2867647058823669E-2</v>
      </c>
      <c r="F105">
        <v>2.6785714285714326E-2</v>
      </c>
      <c r="G105">
        <v>1.36332651670075E-2</v>
      </c>
      <c r="H105">
        <v>2.5744167337087714E-2</v>
      </c>
      <c r="I105">
        <v>-2.1031207598371737E-2</v>
      </c>
      <c r="J105">
        <v>4.9599198396793616E-2</v>
      </c>
      <c r="K105">
        <v>2.2844509948415793E-2</v>
      </c>
      <c r="L105">
        <v>-5.2539404553415808E-3</v>
      </c>
      <c r="M105">
        <v>1.4285714285714247E-2</v>
      </c>
      <c r="N105">
        <v>2.956393200295639E-2</v>
      </c>
      <c r="O105">
        <v>5.0793650793651514E-3</v>
      </c>
      <c r="P105">
        <v>1.5799868334430582E-2</v>
      </c>
      <c r="Q105">
        <v>-5.9559261465154444E-4</v>
      </c>
      <c r="R105">
        <v>1.8012008005336814E-2</v>
      </c>
      <c r="S105">
        <v>4.4680851063829866E-2</v>
      </c>
      <c r="T105">
        <v>2.2207267833109095E-2</v>
      </c>
      <c r="U105">
        <v>-9.2768729641693873E-2</v>
      </c>
      <c r="V105">
        <v>5.3408292340126451E-2</v>
      </c>
      <c r="W105">
        <v>4.0605643496214566E-2</v>
      </c>
      <c r="X105">
        <v>3.2688458972648472E-2</v>
      </c>
      <c r="Y105">
        <v>6.635071090047398E-2</v>
      </c>
      <c r="Z105">
        <v>5.2076002814919115E-2</v>
      </c>
      <c r="AA105">
        <v>3.6012861736334369E-2</v>
      </c>
      <c r="AB105">
        <v>2.1382751247325939E-3</v>
      </c>
      <c r="AC105">
        <v>4.1047416843595065E-2</v>
      </c>
      <c r="AD105">
        <v>2.4899057873485984E-2</v>
      </c>
      <c r="AE105" t="s">
        <v>180</v>
      </c>
    </row>
    <row r="106" spans="1:31" hidden="1" x14ac:dyDescent="0.3">
      <c r="A106">
        <v>2019</v>
      </c>
      <c r="B106" t="s">
        <v>46</v>
      </c>
      <c r="C106" t="s">
        <v>33</v>
      </c>
      <c r="D106">
        <v>1.4705882352941135E-2</v>
      </c>
      <c r="E106">
        <v>-4.8396854204477389E-3</v>
      </c>
      <c r="F106">
        <v>2.8093645484949758E-2</v>
      </c>
      <c r="G106">
        <v>-8.0699394754538585E-3</v>
      </c>
      <c r="H106">
        <v>-3.7647058823529388E-2</v>
      </c>
      <c r="I106">
        <v>2.0097020097019937E-2</v>
      </c>
      <c r="J106">
        <v>0.10501193317422435</v>
      </c>
      <c r="K106">
        <v>-1.1527377521613995E-2</v>
      </c>
      <c r="L106">
        <v>9.6830985915493713E-3</v>
      </c>
      <c r="M106">
        <v>-7.3775989268946634E-3</v>
      </c>
      <c r="N106">
        <v>-6.1019382627422826E-2</v>
      </c>
      <c r="O106">
        <v>-3.7902716361340664E-3</v>
      </c>
      <c r="P106">
        <v>1.2961762799740763E-2</v>
      </c>
      <c r="Q106">
        <v>1.549463647199043E-2</v>
      </c>
      <c r="R106">
        <v>-3.8007863695936978E-2</v>
      </c>
      <c r="S106">
        <v>-9.8438560760353011E-2</v>
      </c>
      <c r="T106">
        <v>-4.8057932850559655E-2</v>
      </c>
      <c r="U106">
        <v>9.7228206232945716E-2</v>
      </c>
      <c r="V106">
        <v>-0.10873915943962649</v>
      </c>
      <c r="W106">
        <v>-7.5396825396825254E-2</v>
      </c>
      <c r="X106">
        <v>-7.4935400516796008E-2</v>
      </c>
      <c r="Y106">
        <v>-7.259259259259257E-2</v>
      </c>
      <c r="Z106">
        <v>-8.4949832775919651E-2</v>
      </c>
      <c r="AA106">
        <v>-5.7107386716325197E-2</v>
      </c>
      <c r="AB106">
        <v>-2.8449502133713065E-3</v>
      </c>
      <c r="AC106">
        <v>-6.390210740992526E-2</v>
      </c>
      <c r="AD106">
        <v>-2.6263952724885093E-2</v>
      </c>
      <c r="AE106" t="s">
        <v>180</v>
      </c>
    </row>
    <row r="107" spans="1:31" hidden="1" x14ac:dyDescent="0.3">
      <c r="A107">
        <v>2019</v>
      </c>
      <c r="B107" t="s">
        <v>46</v>
      </c>
      <c r="C107" t="s">
        <v>34</v>
      </c>
      <c r="D107">
        <v>-9.66183574879231E-3</v>
      </c>
      <c r="E107">
        <v>3.0395136778115501E-3</v>
      </c>
      <c r="F107">
        <v>-1.6916070266753382E-2</v>
      </c>
      <c r="G107">
        <v>5.4237288135593987E-3</v>
      </c>
      <c r="H107">
        <v>2.4449877750611245E-2</v>
      </c>
      <c r="I107">
        <v>-1.0190217391304348E-2</v>
      </c>
      <c r="J107">
        <v>-6.2634989200863925E-2</v>
      </c>
      <c r="K107">
        <v>8.0174927113704289E-3</v>
      </c>
      <c r="L107">
        <v>-6.1028770706190311E-3</v>
      </c>
      <c r="M107">
        <v>4.7297297297296528E-3</v>
      </c>
      <c r="N107">
        <v>3.82262996941896E-2</v>
      </c>
      <c r="O107">
        <v>1.9023462270133886E-3</v>
      </c>
      <c r="P107">
        <v>-8.3173384516955304E-3</v>
      </c>
      <c r="Q107">
        <v>-1.115023474178407E-2</v>
      </c>
      <c r="R107">
        <v>2.3841961852861034E-2</v>
      </c>
      <c r="S107">
        <v>6.4006024096385533E-2</v>
      </c>
      <c r="T107">
        <v>3.0428769017980677E-2</v>
      </c>
      <c r="U107">
        <v>0</v>
      </c>
      <c r="V107">
        <v>7.5598802395209538E-2</v>
      </c>
      <c r="W107">
        <v>4.2918454935622317E-2</v>
      </c>
      <c r="X107">
        <v>5.0279329608938668E-2</v>
      </c>
      <c r="Y107">
        <v>3.6741214057508055E-2</v>
      </c>
      <c r="Z107">
        <v>4.0204678362573097E-2</v>
      </c>
      <c r="AA107">
        <v>2.5016458196181587E-2</v>
      </c>
      <c r="AB107">
        <v>1.4265335235379248E-3</v>
      </c>
      <c r="AC107">
        <v>3.4858387799564357E-2</v>
      </c>
      <c r="AD107">
        <v>1.4160485502360041E-2</v>
      </c>
      <c r="AE107" t="s">
        <v>180</v>
      </c>
    </row>
    <row r="108" spans="1:31" hidden="1" x14ac:dyDescent="0.3">
      <c r="A108">
        <v>2020</v>
      </c>
      <c r="B108" t="s">
        <v>31</v>
      </c>
      <c r="C108" t="s">
        <v>30</v>
      </c>
      <c r="D108">
        <v>1.3937282229964365E-3</v>
      </c>
      <c r="E108">
        <v>1.3939393939394008E-2</v>
      </c>
      <c r="F108">
        <v>1.5883520847121149E-2</v>
      </c>
      <c r="G108">
        <v>1.4834794335805722E-2</v>
      </c>
      <c r="H108">
        <v>5.0119331742243416E-2</v>
      </c>
      <c r="I108">
        <v>-2.4021962937542898E-2</v>
      </c>
      <c r="J108">
        <v>-0.11751152073732719</v>
      </c>
      <c r="K108">
        <v>2.0245842371655696E-2</v>
      </c>
      <c r="L108">
        <v>-1.7543859649123057E-3</v>
      </c>
      <c r="M108">
        <v>1.9502353732347048E-2</v>
      </c>
      <c r="N108">
        <v>2.8718703976435764E-2</v>
      </c>
      <c r="O108">
        <v>4.4303797468353712E-3</v>
      </c>
      <c r="P108">
        <v>-1.2903225806451613E-2</v>
      </c>
      <c r="Q108">
        <v>5.9347181008898703E-4</v>
      </c>
      <c r="R108">
        <v>1.66333998669328E-2</v>
      </c>
      <c r="S108">
        <v>4.3170559094125927E-2</v>
      </c>
      <c r="T108">
        <v>2.0805369127516741E-2</v>
      </c>
      <c r="U108">
        <v>-8.8612565445026312E-2</v>
      </c>
      <c r="V108">
        <v>4.6624913013222115E-2</v>
      </c>
      <c r="W108">
        <v>4.0466392318244011E-2</v>
      </c>
      <c r="X108">
        <v>3.5239361702127547E-2</v>
      </c>
      <c r="Y108">
        <v>5.007704160246533E-2</v>
      </c>
      <c r="Z108">
        <v>5.481377371749812E-2</v>
      </c>
      <c r="AA108">
        <v>3.8535645472061661E-2</v>
      </c>
      <c r="AB108">
        <v>1.4957264957264916E-2</v>
      </c>
      <c r="AC108">
        <v>3.9298245614035048E-2</v>
      </c>
      <c r="AD108">
        <v>9.9734042553191477E-3</v>
      </c>
      <c r="AE108" t="s">
        <v>181</v>
      </c>
    </row>
    <row r="109" spans="1:31" hidden="1" x14ac:dyDescent="0.3">
      <c r="A109">
        <v>2020</v>
      </c>
      <c r="B109" t="s">
        <v>31</v>
      </c>
      <c r="C109" t="s">
        <v>33</v>
      </c>
      <c r="D109">
        <v>1.3221990257480904E-2</v>
      </c>
      <c r="E109">
        <v>1.7931858936042016E-3</v>
      </c>
      <c r="F109">
        <v>2.2801302931596091E-2</v>
      </c>
      <c r="G109">
        <v>-7.9734219269102236E-3</v>
      </c>
      <c r="H109">
        <v>-4.3181818181818203E-2</v>
      </c>
      <c r="I109">
        <v>1.5471167369901668E-2</v>
      </c>
      <c r="J109">
        <v>8.5117493472584918E-2</v>
      </c>
      <c r="K109">
        <v>-1.417434443656981E-2</v>
      </c>
      <c r="L109">
        <v>8.7873462214411256E-3</v>
      </c>
      <c r="M109">
        <v>-1.3852242744063287E-2</v>
      </c>
      <c r="N109">
        <v>-6.1560486757337114E-2</v>
      </c>
      <c r="O109">
        <v>-1.2602394454945725E-3</v>
      </c>
      <c r="P109">
        <v>9.1503267973856578E-3</v>
      </c>
      <c r="Q109">
        <v>1.3048635824436638E-2</v>
      </c>
      <c r="R109">
        <v>-3.7958115183246148E-2</v>
      </c>
      <c r="S109">
        <v>-9.6336499321574065E-2</v>
      </c>
      <c r="T109">
        <v>-4.7337278106508805E-2</v>
      </c>
      <c r="U109">
        <v>0.105127100387764</v>
      </c>
      <c r="V109">
        <v>-0.10172872340425539</v>
      </c>
      <c r="W109">
        <v>-7.6466710613052047E-2</v>
      </c>
      <c r="X109">
        <v>-7.6429030186255478E-2</v>
      </c>
      <c r="Y109">
        <v>-7.4834922964050005E-2</v>
      </c>
      <c r="Z109">
        <v>-8.5942704863424424E-2</v>
      </c>
      <c r="AA109">
        <v>-5.936920222634505E-2</v>
      </c>
      <c r="AB109">
        <v>-2.8070175438596888E-3</v>
      </c>
      <c r="AC109">
        <v>-6.5496286293045172E-2</v>
      </c>
      <c r="AD109">
        <v>-2.4358130348913869E-2</v>
      </c>
      <c r="AE109" t="s">
        <v>181</v>
      </c>
    </row>
    <row r="110" spans="1:31" hidden="1" x14ac:dyDescent="0.3">
      <c r="A110">
        <v>2020</v>
      </c>
      <c r="B110" t="s">
        <v>31</v>
      </c>
      <c r="C110" t="s">
        <v>34</v>
      </c>
      <c r="D110">
        <v>-8.9285714285713118E-3</v>
      </c>
      <c r="E110">
        <v>-1.1933174224342997E-3</v>
      </c>
      <c r="F110">
        <v>-1.3375796178343913E-2</v>
      </c>
      <c r="G110">
        <v>5.358338914936255E-3</v>
      </c>
      <c r="H110">
        <v>2.8503562945368238E-2</v>
      </c>
      <c r="I110">
        <v>-8.3102493074793428E-3</v>
      </c>
      <c r="J110">
        <v>-5.1973051010587155E-2</v>
      </c>
      <c r="K110">
        <v>9.3457943925234471E-3</v>
      </c>
      <c r="L110">
        <v>-6.0975609756097806E-3</v>
      </c>
      <c r="M110">
        <v>9.3645484949833151E-3</v>
      </c>
      <c r="N110">
        <v>3.8138825324180017E-2</v>
      </c>
      <c r="O110">
        <v>6.3091482649838687E-4</v>
      </c>
      <c r="P110">
        <v>-5.8290155440414871E-3</v>
      </c>
      <c r="Q110">
        <v>-9.3676814988291716E-3</v>
      </c>
      <c r="R110">
        <v>2.3809523809523808E-2</v>
      </c>
      <c r="S110">
        <v>6.23123123123124E-2</v>
      </c>
      <c r="T110">
        <v>2.9675638371290426E-2</v>
      </c>
      <c r="U110">
        <v>0</v>
      </c>
      <c r="V110">
        <v>7.0318282753515912E-2</v>
      </c>
      <c r="W110">
        <v>4.3540328336902176E-2</v>
      </c>
      <c r="X110">
        <v>5.1460361613351713E-2</v>
      </c>
      <c r="Y110">
        <v>3.8065027755749499E-2</v>
      </c>
      <c r="Z110">
        <v>4.0816326530612415E-2</v>
      </c>
      <c r="AA110">
        <v>2.6298487836949377E-2</v>
      </c>
      <c r="AB110">
        <v>1.4074595355384734E-3</v>
      </c>
      <c r="AC110">
        <v>3.6127167630057799E-2</v>
      </c>
      <c r="AD110">
        <v>1.3495276653171391E-2</v>
      </c>
      <c r="AE110" t="s">
        <v>181</v>
      </c>
    </row>
    <row r="111" spans="1:31" hidden="1" x14ac:dyDescent="0.3">
      <c r="A111">
        <v>2020</v>
      </c>
      <c r="B111" t="s">
        <v>35</v>
      </c>
      <c r="C111" t="s">
        <v>30</v>
      </c>
      <c r="D111">
        <v>-6.9300069300085054E-4</v>
      </c>
      <c r="E111">
        <v>5.9737156511346663E-4</v>
      </c>
      <c r="F111">
        <v>-2.5823111684958037E-2</v>
      </c>
      <c r="G111">
        <v>5.3297801465690296E-3</v>
      </c>
      <c r="H111">
        <v>2.9253271747497943E-2</v>
      </c>
      <c r="I111">
        <v>-1.745810055865922E-2</v>
      </c>
      <c r="J111">
        <v>-0.16192893401015232</v>
      </c>
      <c r="K111">
        <v>9.9715099715100113E-3</v>
      </c>
      <c r="L111">
        <v>-8.7642418930762491E-3</v>
      </c>
      <c r="M111">
        <v>1.2591119946984796E-2</v>
      </c>
      <c r="N111">
        <v>2.9390154298310066E-2</v>
      </c>
      <c r="O111">
        <v>3.7831021437578459E-3</v>
      </c>
      <c r="P111">
        <v>-2.4104234527687222E-2</v>
      </c>
      <c r="Q111">
        <v>1.1820330969268148E-3</v>
      </c>
      <c r="R111">
        <v>1.6611295681063124E-2</v>
      </c>
      <c r="S111">
        <v>4.2402826855123678E-2</v>
      </c>
      <c r="T111">
        <v>2.0777479892761547E-2</v>
      </c>
      <c r="U111">
        <v>-9.5126705653021532E-2</v>
      </c>
      <c r="V111">
        <v>5.3250345781466236E-2</v>
      </c>
      <c r="W111">
        <v>3.8303693570451595E-2</v>
      </c>
      <c r="X111">
        <v>3.3068783068783074E-2</v>
      </c>
      <c r="Y111">
        <v>3.8961038961038919E-2</v>
      </c>
      <c r="Z111">
        <v>5.3221288515406119E-2</v>
      </c>
      <c r="AA111">
        <v>3.7155669442665032E-2</v>
      </c>
      <c r="AB111">
        <v>7.7301475755445831E-3</v>
      </c>
      <c r="AC111">
        <v>3.4867503486750349E-2</v>
      </c>
      <c r="AD111">
        <v>1.3315579227697542E-3</v>
      </c>
      <c r="AE111" t="s">
        <v>182</v>
      </c>
    </row>
    <row r="112" spans="1:31" hidden="1" x14ac:dyDescent="0.3">
      <c r="A112">
        <v>2020</v>
      </c>
      <c r="B112" t="s">
        <v>35</v>
      </c>
      <c r="C112" t="s">
        <v>33</v>
      </c>
      <c r="D112">
        <v>1.3869625520110958E-2</v>
      </c>
      <c r="E112">
        <v>5.970149253731004E-4</v>
      </c>
      <c r="F112">
        <v>1.4579191517561223E-2</v>
      </c>
      <c r="G112">
        <v>-1.3253810470511402E-3</v>
      </c>
      <c r="H112">
        <v>-4.7120418848167415E-2</v>
      </c>
      <c r="I112">
        <v>1.7057569296375308E-2</v>
      </c>
      <c r="J112">
        <v>0.10054512416717137</v>
      </c>
      <c r="K112">
        <v>-1.5514809590973322E-2</v>
      </c>
      <c r="L112">
        <v>1.3262599469496022E-2</v>
      </c>
      <c r="M112">
        <v>-1.570680628272255E-2</v>
      </c>
      <c r="N112">
        <v>-6.1384725196288327E-2</v>
      </c>
      <c r="O112">
        <v>-1.2562814070351046E-3</v>
      </c>
      <c r="P112">
        <v>1.2683578104138699E-2</v>
      </c>
      <c r="Q112">
        <v>1.5348288075560769E-2</v>
      </c>
      <c r="R112">
        <v>-3.7254901960784237E-2</v>
      </c>
      <c r="S112">
        <v>-9.4915254237288138E-2</v>
      </c>
      <c r="T112">
        <v>-4.661851608667119E-2</v>
      </c>
      <c r="U112">
        <v>0.11158983196897904</v>
      </c>
      <c r="V112">
        <v>-8.7984241628365101E-2</v>
      </c>
      <c r="W112">
        <v>-7.509881422924905E-2</v>
      </c>
      <c r="X112">
        <v>-7.5544174135723327E-2</v>
      </c>
      <c r="Y112">
        <v>-7.9411764705882334E-2</v>
      </c>
      <c r="Z112">
        <v>-8.4441489361702232E-2</v>
      </c>
      <c r="AA112">
        <v>-5.9913526868437407E-2</v>
      </c>
      <c r="AB112">
        <v>6.9735006973496727E-4</v>
      </c>
      <c r="AC112">
        <v>-6.7385444743935305E-2</v>
      </c>
      <c r="AD112">
        <v>-1.7952127659574581E-2</v>
      </c>
      <c r="AE112" t="s">
        <v>182</v>
      </c>
    </row>
    <row r="113" spans="1:31" hidden="1" x14ac:dyDescent="0.3">
      <c r="A113">
        <v>2020</v>
      </c>
      <c r="B113" t="s">
        <v>35</v>
      </c>
      <c r="C113" t="s">
        <v>34</v>
      </c>
      <c r="D113">
        <v>-9.5759233926127046E-3</v>
      </c>
      <c r="E113">
        <v>-5.9665871121714986E-4</v>
      </c>
      <c r="F113">
        <v>-8.4911822338339851E-3</v>
      </c>
      <c r="G113">
        <v>6.6357000663585099E-4</v>
      </c>
      <c r="H113">
        <v>3.1397174254317109E-2</v>
      </c>
      <c r="I113">
        <v>-9.0845562543674565E-3</v>
      </c>
      <c r="J113">
        <v>-6.0539350577875621E-2</v>
      </c>
      <c r="K113">
        <v>1.0744985673352437E-2</v>
      </c>
      <c r="L113">
        <v>-8.7260034904013961E-3</v>
      </c>
      <c r="M113">
        <v>1.0638297872340387E-2</v>
      </c>
      <c r="N113">
        <v>3.8022813688212927E-2</v>
      </c>
      <c r="O113">
        <v>6.2893081761002719E-4</v>
      </c>
      <c r="P113">
        <v>-7.9103493737639335E-3</v>
      </c>
      <c r="Q113">
        <v>-1.104651162790701E-2</v>
      </c>
      <c r="R113">
        <v>2.3761031907671416E-2</v>
      </c>
      <c r="S113">
        <v>6.1423220973782687E-2</v>
      </c>
      <c r="T113">
        <v>2.9614325068870604E-2</v>
      </c>
      <c r="U113">
        <v>0</v>
      </c>
      <c r="V113">
        <v>5.975521958243328E-2</v>
      </c>
      <c r="W113">
        <v>4.2735042735042736E-2</v>
      </c>
      <c r="X113">
        <v>5.0554016620498493E-2</v>
      </c>
      <c r="Y113">
        <v>4.0734824281150224E-2</v>
      </c>
      <c r="Z113">
        <v>3.9941902687000728E-2</v>
      </c>
      <c r="AA113">
        <v>2.628120893561104E-2</v>
      </c>
      <c r="AB113">
        <v>-6.9686411149821827E-4</v>
      </c>
      <c r="AC113">
        <v>3.7572254335260034E-2</v>
      </c>
      <c r="AD113">
        <v>9.4786729857820294E-3</v>
      </c>
      <c r="AE113" t="s">
        <v>182</v>
      </c>
    </row>
    <row r="114" spans="1:31" hidden="1" x14ac:dyDescent="0.3">
      <c r="A114">
        <v>2020</v>
      </c>
      <c r="B114" t="s">
        <v>36</v>
      </c>
      <c r="C114" t="s">
        <v>30</v>
      </c>
      <c r="D114">
        <v>-2.7624309392265583E-3</v>
      </c>
      <c r="E114">
        <v>-4.1791044776118723E-3</v>
      </c>
      <c r="F114">
        <v>-2.7667984189723431E-2</v>
      </c>
      <c r="G114">
        <v>5.9681697612730582E-3</v>
      </c>
      <c r="H114">
        <v>1.4459665144596694E-2</v>
      </c>
      <c r="I114">
        <v>0</v>
      </c>
      <c r="J114">
        <v>-0.10779144698301101</v>
      </c>
      <c r="K114">
        <v>4.9610205527995544E-3</v>
      </c>
      <c r="L114">
        <v>-8.8028169014084511E-3</v>
      </c>
      <c r="M114">
        <v>1.3157894736842105E-2</v>
      </c>
      <c r="N114">
        <v>2.6373626373626332E-2</v>
      </c>
      <c r="O114">
        <v>5.6568196103080181E-3</v>
      </c>
      <c r="P114">
        <v>-1.5282392026578148E-2</v>
      </c>
      <c r="Q114">
        <v>2.3515579071134961E-3</v>
      </c>
      <c r="R114">
        <v>1.7241379310344789E-2</v>
      </c>
      <c r="S114">
        <v>4.1637261820748103E-2</v>
      </c>
      <c r="T114">
        <v>2.0066889632107024E-2</v>
      </c>
      <c r="U114">
        <v>-0.10038759689922493</v>
      </c>
      <c r="V114">
        <v>4.2119565217391422E-2</v>
      </c>
      <c r="W114">
        <v>3.4836065573770454E-2</v>
      </c>
      <c r="X114">
        <v>3.2959789057350038E-2</v>
      </c>
      <c r="Y114">
        <v>4.221028396009209E-2</v>
      </c>
      <c r="Z114">
        <v>5.5865921787709501E-2</v>
      </c>
      <c r="AA114">
        <v>3.2010243277848911E-2</v>
      </c>
      <c r="AB114">
        <v>1.1854951185495038E-2</v>
      </c>
      <c r="AC114">
        <v>3.4818941504178275E-2</v>
      </c>
      <c r="AD114">
        <v>4.6948356807512883E-3</v>
      </c>
      <c r="AE114" t="s">
        <v>183</v>
      </c>
    </row>
    <row r="115" spans="1:31" hidden="1" x14ac:dyDescent="0.3">
      <c r="A115">
        <v>2020</v>
      </c>
      <c r="B115" t="s">
        <v>36</v>
      </c>
      <c r="C115" t="s">
        <v>33</v>
      </c>
      <c r="D115">
        <v>1.4542936288088603E-2</v>
      </c>
      <c r="E115">
        <v>4.1966426858512504E-3</v>
      </c>
      <c r="F115">
        <v>8.8075880758808362E-3</v>
      </c>
      <c r="G115">
        <v>-3.9551746868819668E-3</v>
      </c>
      <c r="H115">
        <v>-4.3510877719429936E-2</v>
      </c>
      <c r="I115">
        <v>1.0578279266572637E-2</v>
      </c>
      <c r="J115">
        <v>9.6520026263952646E-2</v>
      </c>
      <c r="K115">
        <v>-1.4809590973201852E-2</v>
      </c>
      <c r="L115">
        <v>1.5985790408525855E-2</v>
      </c>
      <c r="M115">
        <v>-1.6233766233766232E-2</v>
      </c>
      <c r="N115">
        <v>-5.8529621698786505E-2</v>
      </c>
      <c r="O115">
        <v>-5.6250000000000354E-3</v>
      </c>
      <c r="P115">
        <v>1.282051282051286E-2</v>
      </c>
      <c r="Q115">
        <v>1.6422287390029391E-2</v>
      </c>
      <c r="R115">
        <v>-3.7157757496740655E-2</v>
      </c>
      <c r="S115">
        <v>-9.3495934959349478E-2</v>
      </c>
      <c r="T115">
        <v>-4.5245901639344298E-2</v>
      </c>
      <c r="U115">
        <v>0.10943558810857397</v>
      </c>
      <c r="V115">
        <v>-7.822685788787484E-2</v>
      </c>
      <c r="W115">
        <v>-7.0627062706270546E-2</v>
      </c>
      <c r="X115">
        <v>-7.4664964901084804E-2</v>
      </c>
      <c r="Y115">
        <v>-8.2474226804123835E-2</v>
      </c>
      <c r="Z115">
        <v>-8.7962962962962854E-2</v>
      </c>
      <c r="AA115">
        <v>-5.3970223325061968E-2</v>
      </c>
      <c r="AB115">
        <v>1.3783597518953622E-3</v>
      </c>
      <c r="AC115">
        <v>-6.6621803499327087E-2</v>
      </c>
      <c r="AD115">
        <v>-1.6688918558077435E-2</v>
      </c>
      <c r="AE115" t="s">
        <v>183</v>
      </c>
    </row>
    <row r="116" spans="1:31" hidden="1" x14ac:dyDescent="0.3">
      <c r="A116">
        <v>2020</v>
      </c>
      <c r="B116" t="s">
        <v>36</v>
      </c>
      <c r="C116" t="s">
        <v>34</v>
      </c>
      <c r="D116">
        <v>-9.5563139931741006E-3</v>
      </c>
      <c r="E116">
        <v>-2.9850746268656717E-3</v>
      </c>
      <c r="F116">
        <v>-5.372733378106188E-3</v>
      </c>
      <c r="G116">
        <v>2.647253474520223E-3</v>
      </c>
      <c r="H116">
        <v>2.9019607843137167E-2</v>
      </c>
      <c r="I116">
        <v>-5.582693649686052E-3</v>
      </c>
      <c r="J116">
        <v>-5.8083832335329273E-2</v>
      </c>
      <c r="K116">
        <v>1.0021474588403764E-2</v>
      </c>
      <c r="L116">
        <v>-1.0489510489510514E-2</v>
      </c>
      <c r="M116">
        <v>1.1221122112211147E-2</v>
      </c>
      <c r="N116">
        <v>3.6391205458680687E-2</v>
      </c>
      <c r="O116">
        <v>3.1426775612822125E-3</v>
      </c>
      <c r="P116">
        <v>-7.9946702198533549E-3</v>
      </c>
      <c r="Q116">
        <v>-1.2117714945181896E-2</v>
      </c>
      <c r="R116">
        <v>2.3696682464454978E-2</v>
      </c>
      <c r="S116">
        <v>6.0538116591928204E-2</v>
      </c>
      <c r="T116">
        <v>2.8846153846153966E-2</v>
      </c>
      <c r="U116">
        <v>0</v>
      </c>
      <c r="V116">
        <v>5.3041018387553041E-2</v>
      </c>
      <c r="W116">
        <v>3.977272727272723E-2</v>
      </c>
      <c r="X116">
        <v>5.0344827586206974E-2</v>
      </c>
      <c r="Y116">
        <v>4.2536115569823528E-2</v>
      </c>
      <c r="Z116">
        <v>4.2059463379260205E-2</v>
      </c>
      <c r="AA116">
        <v>2.3606557377049142E-2</v>
      </c>
      <c r="AB116">
        <v>-6.8823124569871114E-4</v>
      </c>
      <c r="AC116">
        <v>3.67700072098055E-2</v>
      </c>
      <c r="AD116">
        <v>8.8255261371349824E-3</v>
      </c>
      <c r="AE116" t="s">
        <v>183</v>
      </c>
    </row>
    <row r="117" spans="1:31" hidden="1" x14ac:dyDescent="0.3">
      <c r="A117">
        <v>2020</v>
      </c>
      <c r="B117" t="s">
        <v>37</v>
      </c>
      <c r="C117" t="s">
        <v>30</v>
      </c>
      <c r="D117">
        <v>1.447277739490003E-2</v>
      </c>
      <c r="E117">
        <v>-6.4311377245509033E-2</v>
      </c>
      <c r="F117">
        <v>-8.102633355840572E-3</v>
      </c>
      <c r="G117">
        <v>2.7062706270627027E-2</v>
      </c>
      <c r="H117">
        <v>4.4969512195121998E-2</v>
      </c>
      <c r="I117">
        <v>3.3684210526315872E-2</v>
      </c>
      <c r="J117">
        <v>3.432930705657964E-2</v>
      </c>
      <c r="K117">
        <v>6.4493267186392589E-2</v>
      </c>
      <c r="L117">
        <v>5.8303886925795002E-2</v>
      </c>
      <c r="M117">
        <v>3.5900783289817238E-2</v>
      </c>
      <c r="N117">
        <v>1.8288222384784201E-2</v>
      </c>
      <c r="O117">
        <v>-6.591478696741844E-2</v>
      </c>
      <c r="P117">
        <v>8.0591000671590904E-3</v>
      </c>
      <c r="Q117">
        <v>-9.2406542056074736E-2</v>
      </c>
      <c r="R117">
        <v>-5.6481481481481431E-2</v>
      </c>
      <c r="S117">
        <v>-4.1789992952783697E-2</v>
      </c>
      <c r="T117">
        <v>-5.4272363150867982E-2</v>
      </c>
      <c r="U117">
        <v>-9.8640776699029181E-2</v>
      </c>
      <c r="V117">
        <v>-3.3579583613163196E-3</v>
      </c>
      <c r="W117">
        <v>-6.6325136612021912E-2</v>
      </c>
      <c r="X117">
        <v>1.3131976362442547E-2</v>
      </c>
      <c r="Y117">
        <v>-6.7205542725173234E-2</v>
      </c>
      <c r="Z117">
        <v>-6.8267223382045952E-2</v>
      </c>
      <c r="AA117">
        <v>-9.5900064061499035E-2</v>
      </c>
      <c r="AB117">
        <v>-8.1611570247933848E-2</v>
      </c>
      <c r="AC117">
        <v>-6.6550764951321423E-2</v>
      </c>
      <c r="AD117">
        <v>-6.0834454912516774E-2</v>
      </c>
      <c r="AE117" t="s">
        <v>184</v>
      </c>
    </row>
    <row r="118" spans="1:31" hidden="1" x14ac:dyDescent="0.3">
      <c r="A118">
        <v>2020</v>
      </c>
      <c r="B118" t="s">
        <v>37</v>
      </c>
      <c r="C118" t="s">
        <v>33</v>
      </c>
      <c r="D118">
        <v>3.125000000000016E-2</v>
      </c>
      <c r="E118">
        <v>0</v>
      </c>
      <c r="F118">
        <v>3.403675970047651E-2</v>
      </c>
      <c r="G118">
        <v>-6.4267352185086327E-4</v>
      </c>
      <c r="H118">
        <v>-4.0116703136396793E-2</v>
      </c>
      <c r="I118">
        <v>3.8017651052274226E-2</v>
      </c>
      <c r="J118">
        <v>0.10633066994468354</v>
      </c>
      <c r="K118">
        <v>3.9946737683090733E-3</v>
      </c>
      <c r="L118">
        <v>1.1686143572621082E-2</v>
      </c>
      <c r="M118">
        <v>-2.9615626969124065E-2</v>
      </c>
      <c r="N118">
        <v>-4.0948275862068888E-2</v>
      </c>
      <c r="O118">
        <v>0</v>
      </c>
      <c r="P118">
        <v>2.2651565622918094E-2</v>
      </c>
      <c r="Q118">
        <v>0</v>
      </c>
      <c r="R118">
        <v>0</v>
      </c>
      <c r="S118">
        <v>0</v>
      </c>
      <c r="T118">
        <v>0</v>
      </c>
      <c r="U118">
        <v>0.11733448226339224</v>
      </c>
      <c r="V118">
        <v>-7.6145552560646979E-2</v>
      </c>
      <c r="W118">
        <v>0</v>
      </c>
      <c r="X118">
        <v>-6.1568373298768631E-2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184</v>
      </c>
    </row>
    <row r="119" spans="1:31" hidden="1" x14ac:dyDescent="0.3">
      <c r="A119">
        <v>2020</v>
      </c>
      <c r="B119" t="s">
        <v>37</v>
      </c>
      <c r="C119" t="s">
        <v>34</v>
      </c>
      <c r="D119">
        <v>-2.0421607378129265E-2</v>
      </c>
      <c r="E119">
        <v>0</v>
      </c>
      <c r="F119">
        <v>-2.0408163265306083E-2</v>
      </c>
      <c r="G119">
        <v>6.4308681672022071E-4</v>
      </c>
      <c r="H119">
        <v>2.6595744680851064E-2</v>
      </c>
      <c r="I119">
        <v>-1.962066710268149E-2</v>
      </c>
      <c r="J119">
        <v>-6.3333333333333366E-2</v>
      </c>
      <c r="K119">
        <v>-2.6525198938992418E-3</v>
      </c>
      <c r="L119">
        <v>-7.4257425742574722E-3</v>
      </c>
      <c r="M119">
        <v>2.0129870129870091E-2</v>
      </c>
      <c r="N119">
        <v>2.4719101123595592E-2</v>
      </c>
      <c r="O119">
        <v>0</v>
      </c>
      <c r="P119">
        <v>-1.3680781758957618E-2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5.1057622173595919E-2</v>
      </c>
      <c r="W119">
        <v>0</v>
      </c>
      <c r="X119">
        <v>4.0745856353591001E-2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184</v>
      </c>
    </row>
    <row r="120" spans="1:31" hidden="1" x14ac:dyDescent="0.3">
      <c r="A120">
        <v>2020</v>
      </c>
      <c r="B120" t="s">
        <v>38</v>
      </c>
      <c r="C120" t="s">
        <v>30</v>
      </c>
      <c r="D120">
        <v>-8.0833893745796789E-2</v>
      </c>
      <c r="E120">
        <v>0</v>
      </c>
      <c r="F120">
        <v>-5.3783602150537728E-2</v>
      </c>
      <c r="G120">
        <v>-9.8168380462724969E-2</v>
      </c>
      <c r="H120">
        <v>-2.2057735011102812E-2</v>
      </c>
      <c r="I120">
        <v>-6.0440293529019362E-2</v>
      </c>
      <c r="J120">
        <v>-7.6204033214709282E-2</v>
      </c>
      <c r="K120">
        <v>-5.9640957446808501E-2</v>
      </c>
      <c r="L120">
        <v>-7.7971737323358228E-2</v>
      </c>
      <c r="M120">
        <v>-8.1349458943348191E-2</v>
      </c>
      <c r="N120">
        <v>-1.9956140350877324E-2</v>
      </c>
      <c r="O120">
        <v>0</v>
      </c>
      <c r="P120">
        <v>-5.8718626155878563E-2</v>
      </c>
      <c r="Q120">
        <v>0</v>
      </c>
      <c r="R120">
        <v>0</v>
      </c>
      <c r="S120">
        <v>0</v>
      </c>
      <c r="T120">
        <v>0</v>
      </c>
      <c r="U120">
        <v>-0.10501285347043704</v>
      </c>
      <c r="V120">
        <v>-5.2671755725190866E-2</v>
      </c>
      <c r="W120">
        <v>0</v>
      </c>
      <c r="X120">
        <v>-8.0889183808891832E-2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185</v>
      </c>
    </row>
    <row r="121" spans="1:31" hidden="1" x14ac:dyDescent="0.3">
      <c r="A121">
        <v>2020</v>
      </c>
      <c r="B121" t="s">
        <v>38</v>
      </c>
      <c r="C121" t="s">
        <v>33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185</v>
      </c>
    </row>
    <row r="122" spans="1:31" hidden="1" x14ac:dyDescent="0.3">
      <c r="A122">
        <v>2020</v>
      </c>
      <c r="B122" t="s">
        <v>38</v>
      </c>
      <c r="C122" t="s">
        <v>34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185</v>
      </c>
    </row>
    <row r="123" spans="1:31" hidden="1" x14ac:dyDescent="0.3">
      <c r="A123">
        <v>2020</v>
      </c>
      <c r="B123" t="s">
        <v>39</v>
      </c>
      <c r="C123" t="s">
        <v>30</v>
      </c>
      <c r="D123">
        <v>8.4284460052677646E-2</v>
      </c>
      <c r="E123">
        <v>0.21784205810828122</v>
      </c>
      <c r="F123">
        <v>6.1102154165216652E-2</v>
      </c>
      <c r="G123">
        <v>9.24639230358099E-2</v>
      </c>
      <c r="H123">
        <v>4.6018770814411018E-2</v>
      </c>
      <c r="I123">
        <v>1.6756603237716453E-2</v>
      </c>
      <c r="J123">
        <v>-4.3993014535928937E-2</v>
      </c>
      <c r="K123">
        <v>6.2716538216785717E-2</v>
      </c>
      <c r="L123">
        <v>2.0555355210962866E-2</v>
      </c>
      <c r="M123">
        <v>0.1072616407982263</v>
      </c>
      <c r="N123">
        <v>5.9894085179383917E-2</v>
      </c>
      <c r="O123">
        <v>8.5323316340220001E-2</v>
      </c>
      <c r="P123">
        <v>6.8696933548523062E-2</v>
      </c>
      <c r="Q123">
        <v>0.17389625434418851</v>
      </c>
      <c r="R123">
        <v>8.4396467124631933E-2</v>
      </c>
      <c r="S123">
        <v>0.103184525998382</v>
      </c>
      <c r="T123">
        <v>8.7739112020893684E-2</v>
      </c>
      <c r="U123">
        <v>0</v>
      </c>
      <c r="V123">
        <v>6.146069884990122E-2</v>
      </c>
      <c r="W123">
        <v>0.1098105201550954</v>
      </c>
      <c r="X123">
        <v>0.14215580102519673</v>
      </c>
      <c r="Y123">
        <v>0.16695551704217218</v>
      </c>
      <c r="Z123">
        <v>0.14422286951975505</v>
      </c>
      <c r="AA123">
        <v>0.14646070998370309</v>
      </c>
      <c r="AB123">
        <v>0.13385826771653539</v>
      </c>
      <c r="AC123">
        <v>0.13014974297846979</v>
      </c>
      <c r="AD123">
        <v>9.41530524505588E-2</v>
      </c>
      <c r="AE123" t="s">
        <v>186</v>
      </c>
    </row>
    <row r="124" spans="1:31" hidden="1" x14ac:dyDescent="0.3">
      <c r="A124">
        <v>2020</v>
      </c>
      <c r="B124" t="s">
        <v>39</v>
      </c>
      <c r="C124" t="s">
        <v>33</v>
      </c>
      <c r="D124">
        <v>3.036437246963563E-2</v>
      </c>
      <c r="E124">
        <v>3.520756699947445E-2</v>
      </c>
      <c r="F124">
        <v>3.4805890227576894E-2</v>
      </c>
      <c r="G124">
        <v>6.5231572080883438E-4</v>
      </c>
      <c r="H124">
        <v>-3.8350217076700312E-2</v>
      </c>
      <c r="I124">
        <v>6.0055865921787875E-2</v>
      </c>
      <c r="J124">
        <v>0.14976494291470774</v>
      </c>
      <c r="K124">
        <v>1.1310711909514229E-2</v>
      </c>
      <c r="L124">
        <v>2.7385159010600655E-2</v>
      </c>
      <c r="M124">
        <v>-6.2578222778473091E-3</v>
      </c>
      <c r="N124">
        <v>-4.5742434904996486E-2</v>
      </c>
      <c r="O124">
        <v>-6.1804697156997977E-4</v>
      </c>
      <c r="P124">
        <v>3.0860144451739908E-2</v>
      </c>
      <c r="Q124">
        <v>2.3574561403508679E-2</v>
      </c>
      <c r="R124">
        <v>-3.6199095022624403E-2</v>
      </c>
      <c r="S124">
        <v>-8.9333333333333376E-2</v>
      </c>
      <c r="T124">
        <v>-4.4776119402985114E-2</v>
      </c>
      <c r="U124">
        <v>0.11087175068217721</v>
      </c>
      <c r="V124">
        <v>-5.38302277432713E-2</v>
      </c>
      <c r="W124">
        <v>-7.4489123269610963E-2</v>
      </c>
      <c r="X124">
        <v>-6.3843236409608053E-2</v>
      </c>
      <c r="Y124">
        <v>-8.557284299858553E-2</v>
      </c>
      <c r="Z124">
        <v>-5.6788511749347188E-2</v>
      </c>
      <c r="AA124">
        <v>-5.7478368355995124E-2</v>
      </c>
      <c r="AB124">
        <v>6.6137566137566143E-3</v>
      </c>
      <c r="AC124">
        <v>-6.3941990771258991E-2</v>
      </c>
      <c r="AD124">
        <v>-1.2442698100851194E-2</v>
      </c>
      <c r="AE124" t="s">
        <v>186</v>
      </c>
    </row>
    <row r="125" spans="1:31" hidden="1" x14ac:dyDescent="0.3">
      <c r="A125">
        <v>2020</v>
      </c>
      <c r="B125" t="s">
        <v>39</v>
      </c>
      <c r="C125" t="s">
        <v>34</v>
      </c>
      <c r="D125">
        <v>-2.0301244269810049E-2</v>
      </c>
      <c r="E125">
        <v>-2.1827411167512748E-2</v>
      </c>
      <c r="F125">
        <v>-2.0698576972833047E-2</v>
      </c>
      <c r="G125">
        <v>-6.5189048239891988E-4</v>
      </c>
      <c r="H125">
        <v>2.558314522197145E-2</v>
      </c>
      <c r="I125">
        <v>-3.030303030303045E-2</v>
      </c>
      <c r="J125">
        <v>-8.5864485981308344E-2</v>
      </c>
      <c r="K125">
        <v>-7.2368421052631205E-3</v>
      </c>
      <c r="L125">
        <v>-1.8056749785038646E-2</v>
      </c>
      <c r="M125">
        <v>4.4080604534004319E-3</v>
      </c>
      <c r="N125">
        <v>2.8023598820059083E-2</v>
      </c>
      <c r="O125">
        <v>6.1842918985790195E-4</v>
      </c>
      <c r="P125">
        <v>-1.9108280254777069E-2</v>
      </c>
      <c r="Q125">
        <v>-1.713979646491692E-2</v>
      </c>
      <c r="R125">
        <v>2.2803487592220027E-2</v>
      </c>
      <c r="S125">
        <v>5.7101024890190422E-2</v>
      </c>
      <c r="T125">
        <v>2.8532608695652294E-2</v>
      </c>
      <c r="U125">
        <v>0</v>
      </c>
      <c r="V125">
        <v>3.5010940919037281E-2</v>
      </c>
      <c r="W125">
        <v>4.2735042735042736E-2</v>
      </c>
      <c r="X125">
        <v>4.2538825118163481E-2</v>
      </c>
      <c r="Y125">
        <v>4.4083526682134479E-2</v>
      </c>
      <c r="Z125">
        <v>2.6297577854671361E-2</v>
      </c>
      <c r="AA125">
        <v>2.5573770491803316E-2</v>
      </c>
      <c r="AB125">
        <v>-3.9421813403416189E-3</v>
      </c>
      <c r="AC125">
        <v>3.5211267605633804E-2</v>
      </c>
      <c r="AD125">
        <v>6.6312997347480101E-3</v>
      </c>
      <c r="AE125" t="s">
        <v>186</v>
      </c>
    </row>
    <row r="126" spans="1:31" hidden="1" x14ac:dyDescent="0.3">
      <c r="A126">
        <v>2020</v>
      </c>
      <c r="B126" t="s">
        <v>40</v>
      </c>
      <c r="C126" t="s">
        <v>30</v>
      </c>
      <c r="D126">
        <v>-9.3582887700535151E-3</v>
      </c>
      <c r="E126">
        <v>-1.2454592631032576E-2</v>
      </c>
      <c r="F126">
        <v>-1.3210039630118889E-2</v>
      </c>
      <c r="G126">
        <v>0</v>
      </c>
      <c r="H126">
        <v>1.3939838591342459E-2</v>
      </c>
      <c r="I126">
        <v>-2.7173913043478264E-2</v>
      </c>
      <c r="J126">
        <v>-4.8562300319488778E-2</v>
      </c>
      <c r="K126">
        <v>-3.9761431411530438E-3</v>
      </c>
      <c r="L126">
        <v>-8.7565674255691769E-3</v>
      </c>
      <c r="M126">
        <v>1.8808777429467798E-3</v>
      </c>
      <c r="N126">
        <v>1.9368723098995615E-2</v>
      </c>
      <c r="O126">
        <v>0</v>
      </c>
      <c r="P126">
        <v>-1.1038961038960965E-2</v>
      </c>
      <c r="Q126">
        <v>-5.9945504087193149E-3</v>
      </c>
      <c r="R126">
        <v>1.4426229508196647E-2</v>
      </c>
      <c r="S126">
        <v>3.8781163434903003E-2</v>
      </c>
      <c r="T126">
        <v>1.7833553500660425E-2</v>
      </c>
      <c r="U126">
        <v>-9.9806076276664504E-2</v>
      </c>
      <c r="V126">
        <v>2.1141649048625793E-2</v>
      </c>
      <c r="W126">
        <v>3.6202185792349607E-2</v>
      </c>
      <c r="X126">
        <v>2.461139896373046E-2</v>
      </c>
      <c r="Y126">
        <v>4.7407407407407447E-2</v>
      </c>
      <c r="Z126">
        <v>3.3041132838840033E-2</v>
      </c>
      <c r="AA126">
        <v>3.4526854219948881E-2</v>
      </c>
      <c r="AB126">
        <v>-2.6385224274406709E-3</v>
      </c>
      <c r="AC126">
        <v>3.1972789115646182E-2</v>
      </c>
      <c r="AD126">
        <v>5.928853754940561E-3</v>
      </c>
      <c r="AE126" t="s">
        <v>187</v>
      </c>
    </row>
    <row r="127" spans="1:31" hidden="1" x14ac:dyDescent="0.3">
      <c r="A127">
        <v>2020</v>
      </c>
      <c r="B127" t="s">
        <v>40</v>
      </c>
      <c r="C127" t="s">
        <v>33</v>
      </c>
      <c r="D127">
        <v>3.036437246963563E-2</v>
      </c>
      <c r="E127">
        <v>3.520756699947445E-2</v>
      </c>
      <c r="F127">
        <v>3.4805890227576894E-2</v>
      </c>
      <c r="G127">
        <v>6.5231572080883438E-4</v>
      </c>
      <c r="H127">
        <v>-3.8350217076700312E-2</v>
      </c>
      <c r="I127">
        <v>6.0055865921787875E-2</v>
      </c>
      <c r="J127">
        <v>0.14976494291470774</v>
      </c>
      <c r="K127">
        <v>1.1310711909514229E-2</v>
      </c>
      <c r="L127">
        <v>2.7385159010600655E-2</v>
      </c>
      <c r="M127">
        <v>-6.2578222778473091E-3</v>
      </c>
      <c r="N127">
        <v>-4.5742434904996486E-2</v>
      </c>
      <c r="O127">
        <v>-6.1804697156997977E-4</v>
      </c>
      <c r="P127">
        <v>3.0860144451739908E-2</v>
      </c>
      <c r="Q127">
        <v>2.3574561403508679E-2</v>
      </c>
      <c r="R127">
        <v>-3.6199095022624403E-2</v>
      </c>
      <c r="S127">
        <v>-8.9333333333333376E-2</v>
      </c>
      <c r="T127">
        <v>-4.4776119402985114E-2</v>
      </c>
      <c r="U127">
        <v>0.11087175068217721</v>
      </c>
      <c r="V127">
        <v>-5.38302277432713E-2</v>
      </c>
      <c r="W127">
        <v>-7.4489123269610963E-2</v>
      </c>
      <c r="X127">
        <v>-6.3843236409608053E-2</v>
      </c>
      <c r="Y127">
        <v>-8.557284299858553E-2</v>
      </c>
      <c r="Z127">
        <v>-5.6788511749347188E-2</v>
      </c>
      <c r="AA127">
        <v>-5.7478368355995124E-2</v>
      </c>
      <c r="AB127">
        <v>6.6137566137566143E-3</v>
      </c>
      <c r="AC127">
        <v>-6.3941990771258991E-2</v>
      </c>
      <c r="AD127">
        <v>-1.2442698100851194E-2</v>
      </c>
      <c r="AE127" t="s">
        <v>187</v>
      </c>
    </row>
    <row r="128" spans="1:31" hidden="1" x14ac:dyDescent="0.3">
      <c r="A128">
        <v>2020</v>
      </c>
      <c r="B128" t="s">
        <v>40</v>
      </c>
      <c r="C128" t="s">
        <v>34</v>
      </c>
      <c r="D128">
        <v>-2.0301244269810049E-2</v>
      </c>
      <c r="E128">
        <v>-2.1827411167512748E-2</v>
      </c>
      <c r="F128">
        <v>-2.0698576972833047E-2</v>
      </c>
      <c r="G128">
        <v>-6.5189048239891988E-4</v>
      </c>
      <c r="H128">
        <v>2.558314522197145E-2</v>
      </c>
      <c r="I128">
        <v>-3.030303030303045E-2</v>
      </c>
      <c r="J128">
        <v>-8.5864485981308344E-2</v>
      </c>
      <c r="K128">
        <v>-7.2368421052631205E-3</v>
      </c>
      <c r="L128">
        <v>-1.8056749785038646E-2</v>
      </c>
      <c r="M128">
        <v>4.4080604534004319E-3</v>
      </c>
      <c r="N128">
        <v>2.8023598820059083E-2</v>
      </c>
      <c r="O128">
        <v>6.1842918985790195E-4</v>
      </c>
      <c r="P128">
        <v>-1.9108280254777069E-2</v>
      </c>
      <c r="Q128">
        <v>-1.713979646491692E-2</v>
      </c>
      <c r="R128">
        <v>2.2803487592220027E-2</v>
      </c>
      <c r="S128">
        <v>5.7101024890190422E-2</v>
      </c>
      <c r="T128">
        <v>2.8532608695652294E-2</v>
      </c>
      <c r="U128">
        <v>0</v>
      </c>
      <c r="V128">
        <v>3.5010940919037281E-2</v>
      </c>
      <c r="W128">
        <v>4.2735042735042736E-2</v>
      </c>
      <c r="X128">
        <v>4.2538825118163481E-2</v>
      </c>
      <c r="Y128">
        <v>4.4083526682134479E-2</v>
      </c>
      <c r="Z128">
        <v>2.6297577854671361E-2</v>
      </c>
      <c r="AA128">
        <v>2.5573770491803316E-2</v>
      </c>
      <c r="AB128">
        <v>-3.9421813403416189E-3</v>
      </c>
      <c r="AC128">
        <v>3.5211267605633804E-2</v>
      </c>
      <c r="AD128">
        <v>6.6312997347480101E-3</v>
      </c>
      <c r="AE128" t="s">
        <v>187</v>
      </c>
    </row>
    <row r="129" spans="1:31" hidden="1" x14ac:dyDescent="0.3">
      <c r="A129">
        <v>2020</v>
      </c>
      <c r="B129" t="s">
        <v>41</v>
      </c>
      <c r="C129" t="s">
        <v>30</v>
      </c>
      <c r="D129">
        <v>-1.3368983957219251E-2</v>
      </c>
      <c r="E129">
        <v>-2.8541774779449924E-2</v>
      </c>
      <c r="F129">
        <v>-1.9815059445178335E-2</v>
      </c>
      <c r="G129">
        <v>0</v>
      </c>
      <c r="H129">
        <v>2.5678650036683785E-2</v>
      </c>
      <c r="I129">
        <v>-2.0380434782607537E-3</v>
      </c>
      <c r="J129">
        <v>9.2651757188498399E-2</v>
      </c>
      <c r="K129">
        <v>-6.6269052352551355E-3</v>
      </c>
      <c r="L129">
        <v>0</v>
      </c>
      <c r="M129">
        <v>3.134796238244514E-3</v>
      </c>
      <c r="N129">
        <v>2.9411764705882311E-2</v>
      </c>
      <c r="O129">
        <v>-1.854140914709588E-3</v>
      </c>
      <c r="P129">
        <v>8.4415584415585155E-3</v>
      </c>
      <c r="Q129">
        <v>-1.4168937329700242E-2</v>
      </c>
      <c r="R129">
        <v>1.7049180327868816E-2</v>
      </c>
      <c r="S129">
        <v>3.3933518005540203E-2</v>
      </c>
      <c r="T129">
        <v>1.9154557463672429E-2</v>
      </c>
      <c r="U129">
        <v>-9.9806076276664504E-2</v>
      </c>
      <c r="V129">
        <v>2.7484143763213571E-2</v>
      </c>
      <c r="W129">
        <v>3.7568306010928962E-2</v>
      </c>
      <c r="X129">
        <v>2.8497409326424906E-2</v>
      </c>
      <c r="Y129">
        <v>6.3703703703703665E-2</v>
      </c>
      <c r="Z129">
        <v>2.6298044504382851E-2</v>
      </c>
      <c r="AA129">
        <v>4.0281329923273546E-2</v>
      </c>
      <c r="AB129">
        <v>1.3192612137203167E-2</v>
      </c>
      <c r="AC129">
        <v>4.0816326530612242E-2</v>
      </c>
      <c r="AD129">
        <v>1.9104084321475475E-2</v>
      </c>
      <c r="AE129" t="s">
        <v>188</v>
      </c>
    </row>
    <row r="130" spans="1:31" hidden="1" x14ac:dyDescent="0.3">
      <c r="A130">
        <v>2020</v>
      </c>
      <c r="B130" t="s">
        <v>41</v>
      </c>
      <c r="C130" t="s">
        <v>33</v>
      </c>
      <c r="D130">
        <v>2.7100271002710029E-2</v>
      </c>
      <c r="E130">
        <v>5.6623931623931749E-2</v>
      </c>
      <c r="F130">
        <v>4.1105121293800499E-2</v>
      </c>
      <c r="G130">
        <v>6.5231572080883438E-4</v>
      </c>
      <c r="H130">
        <v>-4.577968526466384E-2</v>
      </c>
      <c r="I130">
        <v>5.1735874744724263E-2</v>
      </c>
      <c r="J130">
        <v>0.12222222222222226</v>
      </c>
      <c r="K130">
        <v>9.3395597064710179E-3</v>
      </c>
      <c r="L130">
        <v>2.2767075306479808E-2</v>
      </c>
      <c r="M130">
        <v>0</v>
      </c>
      <c r="N130">
        <v>-4.878048780487805E-2</v>
      </c>
      <c r="O130">
        <v>1.1145510835913383E-2</v>
      </c>
      <c r="P130">
        <v>2.9620090148100412E-2</v>
      </c>
      <c r="Q130">
        <v>3.4825870646766073E-2</v>
      </c>
      <c r="R130">
        <v>-3.2882011605415824E-2</v>
      </c>
      <c r="S130">
        <v>-9.4440723375753655E-2</v>
      </c>
      <c r="T130">
        <v>-4.2125729099157481E-2</v>
      </c>
      <c r="U130">
        <v>0.11661640097659062</v>
      </c>
      <c r="V130">
        <v>-5.1440329218106991E-2</v>
      </c>
      <c r="W130">
        <v>-4.8716260697827557E-2</v>
      </c>
      <c r="X130">
        <v>-6.3602015113350271E-2</v>
      </c>
      <c r="Y130">
        <v>-6.7548746518105773E-2</v>
      </c>
      <c r="Z130">
        <v>-7.2273324572930356E-2</v>
      </c>
      <c r="AA130">
        <v>-4.4253226797787273E-2</v>
      </c>
      <c r="AB130">
        <v>1.041666666666663E-2</v>
      </c>
      <c r="AC130">
        <v>-5.3594771241829993E-2</v>
      </c>
      <c r="AD130">
        <v>-1.1635423400129173E-2</v>
      </c>
      <c r="AE130" t="s">
        <v>188</v>
      </c>
    </row>
    <row r="131" spans="1:31" hidden="1" x14ac:dyDescent="0.3">
      <c r="A131">
        <v>2020</v>
      </c>
      <c r="B131" t="s">
        <v>41</v>
      </c>
      <c r="C131" t="s">
        <v>34</v>
      </c>
      <c r="D131">
        <v>-1.7810026385224199E-2</v>
      </c>
      <c r="E131">
        <v>-3.4883720930232585E-2</v>
      </c>
      <c r="F131">
        <v>-2.3948220064724846E-2</v>
      </c>
      <c r="G131">
        <v>-6.5189048239891988E-4</v>
      </c>
      <c r="H131">
        <v>2.9985007496251874E-2</v>
      </c>
      <c r="I131">
        <v>-2.6537216828478927E-2</v>
      </c>
      <c r="J131">
        <v>-7.191245440333513E-2</v>
      </c>
      <c r="K131">
        <v>-5.9484467944481536E-3</v>
      </c>
      <c r="L131">
        <v>-1.455479452054797E-2</v>
      </c>
      <c r="M131">
        <v>0</v>
      </c>
      <c r="N131">
        <v>3.0036630036629996E-2</v>
      </c>
      <c r="O131">
        <v>-6.1236987140232697E-3</v>
      </c>
      <c r="P131">
        <v>-1.8136335209505975E-2</v>
      </c>
      <c r="Q131">
        <v>-2.4572649572649544E-2</v>
      </c>
      <c r="R131">
        <v>2.0666666666666628E-2</v>
      </c>
      <c r="S131">
        <v>6.0650887573964626E-2</v>
      </c>
      <c r="T131">
        <v>2.6387009472259654E-2</v>
      </c>
      <c r="U131">
        <v>0</v>
      </c>
      <c r="V131">
        <v>3.3984092552422185E-2</v>
      </c>
      <c r="W131">
        <v>2.6989619377162669E-2</v>
      </c>
      <c r="X131">
        <v>4.2367182246133235E-2</v>
      </c>
      <c r="Y131">
        <v>3.4353995519044021E-2</v>
      </c>
      <c r="Z131">
        <v>3.3994334277620483E-2</v>
      </c>
      <c r="AA131">
        <v>1.9292604501607719E-2</v>
      </c>
      <c r="AB131">
        <v>-5.7989690721648021E-3</v>
      </c>
      <c r="AC131">
        <v>2.9005524861878372E-2</v>
      </c>
      <c r="AD131">
        <v>6.5402223675604968E-3</v>
      </c>
      <c r="AE131" t="s">
        <v>188</v>
      </c>
    </row>
    <row r="132" spans="1:31" hidden="1" x14ac:dyDescent="0.3">
      <c r="A132">
        <v>2020</v>
      </c>
      <c r="B132" t="s">
        <v>42</v>
      </c>
      <c r="C132" t="s">
        <v>30</v>
      </c>
      <c r="D132">
        <v>-1.3431833445265278E-2</v>
      </c>
      <c r="E132">
        <v>-3.6668412781561029E-2</v>
      </c>
      <c r="F132">
        <v>-8.6206896551724883E-3</v>
      </c>
      <c r="G132">
        <v>6.5231572080883438E-4</v>
      </c>
      <c r="H132">
        <v>2.1834061135371178E-2</v>
      </c>
      <c r="I132">
        <v>-2.260638297872344E-2</v>
      </c>
      <c r="J132">
        <v>3.9303761931500118E-3</v>
      </c>
      <c r="K132">
        <v>-7.3138297872340045E-3</v>
      </c>
      <c r="L132">
        <v>0</v>
      </c>
      <c r="M132">
        <v>0</v>
      </c>
      <c r="N132">
        <v>3.4139402560455272E-2</v>
      </c>
      <c r="O132">
        <v>-4.3130006161430498E-3</v>
      </c>
      <c r="P132">
        <v>-5.732484076433157E-3</v>
      </c>
      <c r="Q132">
        <v>1.6429353778751993E-3</v>
      </c>
      <c r="R132">
        <v>1.5022860875245013E-2</v>
      </c>
      <c r="S132">
        <v>4.5327754532775454E-2</v>
      </c>
      <c r="T132">
        <v>1.9116677653263057E-2</v>
      </c>
      <c r="U132">
        <v>-0.10443729903536983</v>
      </c>
      <c r="V132">
        <v>2.3776223776223817E-2</v>
      </c>
      <c r="W132">
        <v>2.1563342318059221E-2</v>
      </c>
      <c r="X132">
        <v>2.6451612903225771E-2</v>
      </c>
      <c r="Y132">
        <v>4.4043321299638949E-2</v>
      </c>
      <c r="Z132">
        <v>4.6575342465753504E-2</v>
      </c>
      <c r="AA132">
        <v>1.6403785488958954E-2</v>
      </c>
      <c r="AB132">
        <v>2.0090732339598148E-2</v>
      </c>
      <c r="AC132">
        <v>3.1543624161073751E-2</v>
      </c>
      <c r="AD132">
        <v>9.7465886939571145E-3</v>
      </c>
      <c r="AE132" t="s">
        <v>189</v>
      </c>
    </row>
    <row r="133" spans="1:31" hidden="1" x14ac:dyDescent="0.3">
      <c r="A133">
        <v>2020</v>
      </c>
      <c r="B133" t="s">
        <v>42</v>
      </c>
      <c r="C133" t="s">
        <v>33</v>
      </c>
      <c r="D133">
        <v>3.1313818924438352E-2</v>
      </c>
      <c r="E133">
        <v>5.0027188689505099E-2</v>
      </c>
      <c r="F133">
        <v>5.2173913043478334E-2</v>
      </c>
      <c r="G133">
        <v>3.2594524119947846E-3</v>
      </c>
      <c r="H133">
        <v>-4.2735042735042736E-2</v>
      </c>
      <c r="I133">
        <v>5.7142857142857183E-2</v>
      </c>
      <c r="J133">
        <v>0.12975391498881425</v>
      </c>
      <c r="K133">
        <v>1.0046885465505693E-2</v>
      </c>
      <c r="L133">
        <v>3.3014769765421476E-2</v>
      </c>
      <c r="M133">
        <v>5.6250000000000354E-3</v>
      </c>
      <c r="N133">
        <v>-5.2957359009628724E-2</v>
      </c>
      <c r="O133">
        <v>1.7326732673267398E-2</v>
      </c>
      <c r="P133">
        <v>3.3311979500320416E-2</v>
      </c>
      <c r="Q133">
        <v>3.1711317659923362E-2</v>
      </c>
      <c r="R133">
        <v>-3.3462033462033573E-2</v>
      </c>
      <c r="S133">
        <v>-9.0727151434289485E-2</v>
      </c>
      <c r="T133">
        <v>-4.2043984476067268E-2</v>
      </c>
      <c r="U133">
        <v>0.12236105127100404</v>
      </c>
      <c r="V133">
        <v>-6.284153005464492E-2</v>
      </c>
      <c r="W133">
        <v>-4.089709762532974E-2</v>
      </c>
      <c r="X133">
        <v>-5.7196731615336234E-2</v>
      </c>
      <c r="Y133">
        <v>-6.5698478561549103E-2</v>
      </c>
      <c r="Z133">
        <v>-7.1989528795811511E-2</v>
      </c>
      <c r="AA133">
        <v>-3.8485412787088696E-2</v>
      </c>
      <c r="AB133">
        <v>1.5247776365946668E-2</v>
      </c>
      <c r="AC133">
        <v>-5.009759271307735E-2</v>
      </c>
      <c r="AD133">
        <v>-9.0090090090090454E-3</v>
      </c>
      <c r="AE133" t="s">
        <v>189</v>
      </c>
    </row>
    <row r="134" spans="1:31" hidden="1" x14ac:dyDescent="0.3">
      <c r="A134">
        <v>2020</v>
      </c>
      <c r="B134" t="s">
        <v>42</v>
      </c>
      <c r="C134" t="s">
        <v>34</v>
      </c>
      <c r="D134">
        <v>-2.0462046204620426E-2</v>
      </c>
      <c r="E134">
        <v>-3.1071983428275506E-2</v>
      </c>
      <c r="F134">
        <v>-3.0514939605848768E-2</v>
      </c>
      <c r="G134">
        <v>-1.9493177387914968E-3</v>
      </c>
      <c r="H134">
        <v>2.8273809523809396E-2</v>
      </c>
      <c r="I134">
        <v>-2.8957528957528955E-2</v>
      </c>
      <c r="J134">
        <v>-7.5742574257425796E-2</v>
      </c>
      <c r="K134">
        <v>-6.6312997347480101E-3</v>
      </c>
      <c r="L134">
        <v>-2.1026072329688814E-2</v>
      </c>
      <c r="M134">
        <v>-3.7290242386575157E-3</v>
      </c>
      <c r="N134">
        <v>3.2679738562091505E-2</v>
      </c>
      <c r="O134">
        <v>-9.1240875912408752E-3</v>
      </c>
      <c r="P134">
        <v>-2.0458772473651649E-2</v>
      </c>
      <c r="Q134">
        <v>-2.2787493375728579E-2</v>
      </c>
      <c r="R134">
        <v>2.1304926764314364E-2</v>
      </c>
      <c r="S134">
        <v>5.8694057226705794E-2</v>
      </c>
      <c r="T134">
        <v>2.6333558406482147E-2</v>
      </c>
      <c r="U134">
        <v>0</v>
      </c>
      <c r="V134">
        <v>4.1545189504373303E-2</v>
      </c>
      <c r="W134">
        <v>2.269601100412643E-2</v>
      </c>
      <c r="X134">
        <v>3.7333333333333295E-2</v>
      </c>
      <c r="Y134">
        <v>3.3308660251665435E-2</v>
      </c>
      <c r="Z134">
        <v>3.3850493653032318E-2</v>
      </c>
      <c r="AA134">
        <v>1.6785022595222687E-2</v>
      </c>
      <c r="AB134">
        <v>-8.7609511889862671E-3</v>
      </c>
      <c r="AC134">
        <v>2.7397260273972601E-2</v>
      </c>
      <c r="AD134">
        <v>4.5454545454544715E-3</v>
      </c>
      <c r="AE134" t="s">
        <v>189</v>
      </c>
    </row>
    <row r="135" spans="1:31" hidden="1" x14ac:dyDescent="0.3">
      <c r="A135">
        <v>2020</v>
      </c>
      <c r="B135" t="s">
        <v>43</v>
      </c>
      <c r="C135" t="s">
        <v>30</v>
      </c>
      <c r="D135">
        <v>-1.6172506738544513E-2</v>
      </c>
      <c r="E135">
        <v>-4.275788348476659E-3</v>
      </c>
      <c r="F135">
        <v>4.3934426229508119E-2</v>
      </c>
      <c r="G135">
        <v>0</v>
      </c>
      <c r="H135">
        <v>3.1837916063675878E-2</v>
      </c>
      <c r="I135">
        <v>-2.4519549370444114E-2</v>
      </c>
      <c r="J135">
        <v>7.4450990894483163E-2</v>
      </c>
      <c r="K135">
        <v>3.337783711615487E-3</v>
      </c>
      <c r="L135">
        <v>-9.4501718213059142E-3</v>
      </c>
      <c r="M135">
        <v>3.742981908920738E-3</v>
      </c>
      <c r="N135">
        <v>3.6568213783403782E-2</v>
      </c>
      <c r="O135">
        <v>-6.1387354205033762E-3</v>
      </c>
      <c r="P135">
        <v>1.0126582278480976E-2</v>
      </c>
      <c r="Q135">
        <v>-9.2190889370933685E-3</v>
      </c>
      <c r="R135">
        <v>1.4993481095175898E-2</v>
      </c>
      <c r="S135">
        <v>4.3659043659043537E-2</v>
      </c>
      <c r="T135">
        <v>1.9736842105263157E-2</v>
      </c>
      <c r="U135">
        <v>-0.10902111324376212</v>
      </c>
      <c r="V135">
        <v>2.7291812456263161E-2</v>
      </c>
      <c r="W135">
        <v>2.2192333557498396E-2</v>
      </c>
      <c r="X135">
        <v>2.5064267352185126E-2</v>
      </c>
      <c r="Y135">
        <v>4.8710601719197791E-2</v>
      </c>
      <c r="Z135">
        <v>3.9563437926330228E-2</v>
      </c>
      <c r="AA135">
        <v>3.1746031746031744E-2</v>
      </c>
      <c r="AB135">
        <v>-1.3888888888888996E-2</v>
      </c>
      <c r="AC135">
        <v>2.8666666666666743E-2</v>
      </c>
      <c r="AD135">
        <v>1.8099547511312292E-2</v>
      </c>
      <c r="AE135" t="s">
        <v>190</v>
      </c>
    </row>
    <row r="136" spans="1:31" hidden="1" x14ac:dyDescent="0.3">
      <c r="A136">
        <v>2020</v>
      </c>
      <c r="B136" t="s">
        <v>43</v>
      </c>
      <c r="C136" t="s">
        <v>33</v>
      </c>
      <c r="D136">
        <v>3.1506849315068454E-2</v>
      </c>
      <c r="E136">
        <v>3.9720880300590324E-2</v>
      </c>
      <c r="F136">
        <v>3.517587939698507E-2</v>
      </c>
      <c r="G136">
        <v>6.5104166666662966E-4</v>
      </c>
      <c r="H136">
        <v>-4.8387096774193589E-2</v>
      </c>
      <c r="I136">
        <v>5.7744565217391311E-2</v>
      </c>
      <c r="J136">
        <v>0.12662013958125626</v>
      </c>
      <c r="K136">
        <v>1.2641383898868777E-2</v>
      </c>
      <c r="L136">
        <v>2.4284475281873351E-2</v>
      </c>
      <c r="M136">
        <v>2.4860161591050696E-3</v>
      </c>
      <c r="N136">
        <v>-5.5630936227951268E-2</v>
      </c>
      <c r="O136">
        <v>1.7912291537986447E-2</v>
      </c>
      <c r="P136">
        <v>3.0075187969924883E-2</v>
      </c>
      <c r="Q136">
        <v>3.2840722495894911E-2</v>
      </c>
      <c r="R136">
        <v>-3.339755940912003E-2</v>
      </c>
      <c r="S136">
        <v>-9.6281540504648072E-2</v>
      </c>
      <c r="T136">
        <v>-4.3225806451612829E-2</v>
      </c>
      <c r="U136">
        <v>0.12379721384460728</v>
      </c>
      <c r="V136">
        <v>-6.6076294277929271E-2</v>
      </c>
      <c r="W136">
        <v>-4.53947368421053E-2</v>
      </c>
      <c r="X136">
        <v>-5.329153605015674E-2</v>
      </c>
      <c r="Y136">
        <v>-7.5136612021857924E-2</v>
      </c>
      <c r="Z136">
        <v>-6.8241469816273007E-2</v>
      </c>
      <c r="AA136">
        <v>-4.1846153846153915E-2</v>
      </c>
      <c r="AB136">
        <v>1.2163892445582624E-2</v>
      </c>
      <c r="AC136">
        <v>-5.2495139338950239E-2</v>
      </c>
      <c r="AD136">
        <v>-1.4603174603174675E-2</v>
      </c>
      <c r="AE136" t="s">
        <v>190</v>
      </c>
    </row>
    <row r="137" spans="1:31" hidden="1" x14ac:dyDescent="0.3">
      <c r="A137">
        <v>2020</v>
      </c>
      <c r="B137" t="s">
        <v>43</v>
      </c>
      <c r="C137" t="s">
        <v>34</v>
      </c>
      <c r="D137">
        <v>-2.0584329349269553E-2</v>
      </c>
      <c r="E137">
        <v>-2.4780588538977716E-2</v>
      </c>
      <c r="F137">
        <v>-2.0631067961165081E-2</v>
      </c>
      <c r="G137">
        <v>-6.5061808718278676E-4</v>
      </c>
      <c r="H137">
        <v>3.2424465733235125E-2</v>
      </c>
      <c r="I137">
        <v>-2.8901734104046246E-2</v>
      </c>
      <c r="J137">
        <v>-7.4336283185840762E-2</v>
      </c>
      <c r="K137">
        <v>-8.5413929040734759E-3</v>
      </c>
      <c r="L137">
        <v>-1.6088060965283587E-2</v>
      </c>
      <c r="M137">
        <v>-1.8598884066956685E-3</v>
      </c>
      <c r="N137">
        <v>3.4482758620689738E-2</v>
      </c>
      <c r="O137">
        <v>-9.7087378640778078E-3</v>
      </c>
      <c r="P137">
        <v>-1.824817518248175E-2</v>
      </c>
      <c r="Q137">
        <v>-2.3317435082140844E-2</v>
      </c>
      <c r="R137">
        <v>2.1262458471760722E-2</v>
      </c>
      <c r="S137">
        <v>6.2454077883908894E-2</v>
      </c>
      <c r="T137">
        <v>2.6972353337828724E-2</v>
      </c>
      <c r="U137">
        <v>0</v>
      </c>
      <c r="V137">
        <v>4.3763676148796497E-2</v>
      </c>
      <c r="W137">
        <v>2.4810475534114366E-2</v>
      </c>
      <c r="X137">
        <v>3.5099337748344443E-2</v>
      </c>
      <c r="Y137">
        <v>3.8404726735598145E-2</v>
      </c>
      <c r="Z137">
        <v>3.1690140845070422E-2</v>
      </c>
      <c r="AA137">
        <v>1.7983301220295515E-2</v>
      </c>
      <c r="AB137">
        <v>-6.9576217583807356E-3</v>
      </c>
      <c r="AC137">
        <v>2.8727770177838695E-2</v>
      </c>
      <c r="AD137">
        <v>7.7319587628867084E-3</v>
      </c>
      <c r="AE137" t="s">
        <v>190</v>
      </c>
    </row>
    <row r="138" spans="1:31" hidden="1" x14ac:dyDescent="0.3">
      <c r="A138">
        <v>2020</v>
      </c>
      <c r="B138" t="s">
        <v>45</v>
      </c>
      <c r="C138" t="s">
        <v>30</v>
      </c>
      <c r="D138">
        <v>-1.4237288135593182E-2</v>
      </c>
      <c r="E138">
        <v>-1.5881418740074714E-3</v>
      </c>
      <c r="F138">
        <v>6.3197026022304759E-2</v>
      </c>
      <c r="G138">
        <v>1.3020833333334445E-3</v>
      </c>
      <c r="H138">
        <v>3.7830121341898726E-2</v>
      </c>
      <c r="I138">
        <v>-3.108465608465601E-2</v>
      </c>
      <c r="J138">
        <v>6.2141491395793502E-2</v>
      </c>
      <c r="K138">
        <v>3.3134526176275679E-2</v>
      </c>
      <c r="L138">
        <v>-1.1187607573149717E-2</v>
      </c>
      <c r="M138">
        <v>6.2111801242236021E-3</v>
      </c>
      <c r="N138">
        <v>4.1666666666666664E-2</v>
      </c>
      <c r="O138">
        <v>-3.0637254901960788E-3</v>
      </c>
      <c r="P138">
        <v>1.2391573729863692E-2</v>
      </c>
      <c r="Q138">
        <v>-4.8833423765599869E-3</v>
      </c>
      <c r="R138">
        <v>1.6916070266753565E-2</v>
      </c>
      <c r="S138">
        <v>4.4260027662517333E-2</v>
      </c>
      <c r="T138">
        <v>2.1011162179908002E-2</v>
      </c>
      <c r="U138">
        <v>-0.11015974440894574</v>
      </c>
      <c r="V138">
        <v>3.0747728860936449E-2</v>
      </c>
      <c r="W138">
        <v>2.7572293207801097E-2</v>
      </c>
      <c r="X138">
        <v>2.6231605886116404E-2</v>
      </c>
      <c r="Y138">
        <v>3.9118065433854911E-2</v>
      </c>
      <c r="Z138">
        <v>4.8464163822525559E-2</v>
      </c>
      <c r="AA138">
        <v>1.9558359621451069E-2</v>
      </c>
      <c r="AB138">
        <v>-5.0955414012739579E-3</v>
      </c>
      <c r="AC138">
        <v>2.72606382978723E-2</v>
      </c>
      <c r="AD138">
        <v>2.1739130434782643E-2</v>
      </c>
      <c r="AE138" t="s">
        <v>191</v>
      </c>
    </row>
    <row r="139" spans="1:31" hidden="1" x14ac:dyDescent="0.3">
      <c r="A139">
        <v>2020</v>
      </c>
      <c r="B139" t="s">
        <v>45</v>
      </c>
      <c r="C139" t="s">
        <v>33</v>
      </c>
      <c r="D139">
        <v>2.957359009628599E-2</v>
      </c>
      <c r="E139">
        <v>3.6585365853658569E-2</v>
      </c>
      <c r="F139">
        <v>3.0885780885780954E-2</v>
      </c>
      <c r="G139">
        <v>6.5019505851751831E-4</v>
      </c>
      <c r="H139">
        <v>-5.0894085281980778E-2</v>
      </c>
      <c r="I139">
        <v>2.7303754266211604E-2</v>
      </c>
      <c r="J139">
        <v>0.10396039603960407</v>
      </c>
      <c r="K139">
        <v>1.796023091725454E-2</v>
      </c>
      <c r="L139">
        <v>2.0017406440382916E-2</v>
      </c>
      <c r="M139">
        <v>-3.7037037037036687E-3</v>
      </c>
      <c r="N139">
        <v>-5.6666666666666664E-2</v>
      </c>
      <c r="O139">
        <v>1.4751075599262482E-2</v>
      </c>
      <c r="P139">
        <v>2.203182374541E-2</v>
      </c>
      <c r="Q139">
        <v>2.9443838604143978E-2</v>
      </c>
      <c r="R139">
        <v>-3.3269353806781934E-2</v>
      </c>
      <c r="S139">
        <v>-9.6688741721854266E-2</v>
      </c>
      <c r="T139">
        <v>-4.3086816720257159E-2</v>
      </c>
      <c r="U139">
        <v>0.13456843314663228</v>
      </c>
      <c r="V139">
        <v>-6.9152542372881279E-2</v>
      </c>
      <c r="W139">
        <v>-5.0392670157068171E-2</v>
      </c>
      <c r="X139">
        <v>-5.2369077306733201E-2</v>
      </c>
      <c r="Y139">
        <v>-7.4606433949349807E-2</v>
      </c>
      <c r="Z139">
        <v>-5.9895833333333259E-2</v>
      </c>
      <c r="AA139">
        <v>-3.217821782178211E-2</v>
      </c>
      <c r="AB139">
        <v>1.0883482714468739E-2</v>
      </c>
      <c r="AC139">
        <v>-5.1132686084142433E-2</v>
      </c>
      <c r="AD139">
        <v>-1.9399249061326798E-2</v>
      </c>
      <c r="AE139" t="s">
        <v>191</v>
      </c>
    </row>
    <row r="140" spans="1:31" hidden="1" x14ac:dyDescent="0.3">
      <c r="A140">
        <v>2020</v>
      </c>
      <c r="B140" t="s">
        <v>45</v>
      </c>
      <c r="C140" t="s">
        <v>34</v>
      </c>
      <c r="D140">
        <v>-1.9372077488309804E-2</v>
      </c>
      <c r="E140">
        <v>-2.3017902813299233E-2</v>
      </c>
      <c r="F140">
        <v>-1.8654607122668237E-2</v>
      </c>
      <c r="G140">
        <v>-6.4977257959710399E-4</v>
      </c>
      <c r="H140">
        <v>3.405797101449267E-2</v>
      </c>
      <c r="I140">
        <v>-1.3953488372092985E-2</v>
      </c>
      <c r="J140">
        <v>-6.2372604973501874E-2</v>
      </c>
      <c r="K140">
        <v>-1.1972274732198975E-2</v>
      </c>
      <c r="L140">
        <v>-1.2798634812286689E-2</v>
      </c>
      <c r="M140">
        <v>2.4783147459727737E-3</v>
      </c>
      <c r="N140">
        <v>3.5335689045936397E-2</v>
      </c>
      <c r="O140">
        <v>-7.8740157480313936E-3</v>
      </c>
      <c r="P140">
        <v>-1.3772455089820427E-2</v>
      </c>
      <c r="Q140">
        <v>-2.1186440677966101E-2</v>
      </c>
      <c r="R140">
        <v>2.1178027796161597E-2</v>
      </c>
      <c r="S140">
        <v>6.2316715542521994E-2</v>
      </c>
      <c r="T140">
        <v>2.6881720430107524E-2</v>
      </c>
      <c r="U140">
        <v>0</v>
      </c>
      <c r="V140">
        <v>4.5884923525127332E-2</v>
      </c>
      <c r="W140">
        <v>2.8256374913852477E-2</v>
      </c>
      <c r="X140">
        <v>3.42105263157894E-2</v>
      </c>
      <c r="Y140">
        <v>3.8461538461538589E-2</v>
      </c>
      <c r="Z140">
        <v>2.7700831024930747E-2</v>
      </c>
      <c r="AA140">
        <v>1.4066496163682791E-2</v>
      </c>
      <c r="AB140">
        <v>-6.3331222292590241E-3</v>
      </c>
      <c r="AC140">
        <v>2.7967257844474725E-2</v>
      </c>
      <c r="AD140">
        <v>1.0848755583918426E-2</v>
      </c>
      <c r="AE140" t="s">
        <v>191</v>
      </c>
    </row>
    <row r="141" spans="1:31" hidden="1" x14ac:dyDescent="0.3">
      <c r="A141">
        <v>2020</v>
      </c>
      <c r="B141" t="s">
        <v>46</v>
      </c>
      <c r="C141" t="s">
        <v>30</v>
      </c>
      <c r="D141">
        <v>-1.4986376021798481E-2</v>
      </c>
      <c r="E141">
        <v>-1.3089005235602094E-2</v>
      </c>
      <c r="F141">
        <v>-1.1520737327188285E-3</v>
      </c>
      <c r="G141">
        <v>1.3003901170350366E-3</v>
      </c>
      <c r="H141">
        <v>5.1156271899089084E-2</v>
      </c>
      <c r="I141">
        <v>-1.6846361185983826E-2</v>
      </c>
      <c r="J141">
        <v>-2.0869565217391355E-2</v>
      </c>
      <c r="K141">
        <v>1.7219387755101966E-2</v>
      </c>
      <c r="L141">
        <v>-1.1235955056179751E-2</v>
      </c>
      <c r="M141">
        <v>1.0506798516687198E-2</v>
      </c>
      <c r="N141">
        <v>4.7098976109215054E-2</v>
      </c>
      <c r="O141">
        <v>-1.2210012210013251E-3</v>
      </c>
      <c r="P141">
        <v>-1.2143290831814733E-3</v>
      </c>
      <c r="Q141">
        <v>-6.493506493506585E-3</v>
      </c>
      <c r="R141">
        <v>1.7498379779649957E-2</v>
      </c>
      <c r="S141">
        <v>4.6238785369220069E-2</v>
      </c>
      <c r="T141">
        <v>2.2905759162303665E-2</v>
      </c>
      <c r="U141">
        <v>-0.11860759493670892</v>
      </c>
      <c r="V141">
        <v>3.5515320334261802E-2</v>
      </c>
      <c r="W141">
        <v>2.8150134048257489E-2</v>
      </c>
      <c r="X141">
        <v>2.7989821882951692E-2</v>
      </c>
      <c r="Y141">
        <v>4.2735042735042736E-2</v>
      </c>
      <c r="Z141">
        <v>3.7061994609164421E-2</v>
      </c>
      <c r="AA141">
        <v>2.7112232030264891E-2</v>
      </c>
      <c r="AB141">
        <v>-1.9120458891014108E-3</v>
      </c>
      <c r="AC141">
        <v>2.9860650298606507E-2</v>
      </c>
      <c r="AD141">
        <v>1.4520202020201912E-2</v>
      </c>
      <c r="AE141" t="s">
        <v>192</v>
      </c>
    </row>
    <row r="142" spans="1:31" hidden="1" x14ac:dyDescent="0.3">
      <c r="A142">
        <v>2020</v>
      </c>
      <c r="B142" t="s">
        <v>46</v>
      </c>
      <c r="C142" t="s">
        <v>33</v>
      </c>
      <c r="D142">
        <v>3.0428769017980677E-2</v>
      </c>
      <c r="E142">
        <v>3.8196286472148483E-2</v>
      </c>
      <c r="F142">
        <v>2.8258362168396802E-2</v>
      </c>
      <c r="G142">
        <v>1.298701298701225E-3</v>
      </c>
      <c r="H142">
        <v>-6.2000000000000076E-2</v>
      </c>
      <c r="I142">
        <v>2.6045236463330932E-2</v>
      </c>
      <c r="J142">
        <v>6.9715808170515176E-2</v>
      </c>
      <c r="K142">
        <v>1.2539184952978056E-2</v>
      </c>
      <c r="L142">
        <v>2.36013986013985E-2</v>
      </c>
      <c r="M142">
        <v>-9.7859327217125029E-3</v>
      </c>
      <c r="N142">
        <v>-6.5840938722294615E-2</v>
      </c>
      <c r="O142">
        <v>1.528117359413203E-2</v>
      </c>
      <c r="P142">
        <v>1.5197568389057751E-2</v>
      </c>
      <c r="Q142">
        <v>3.5947712418300623E-2</v>
      </c>
      <c r="R142">
        <v>-3.2484076433120984E-2</v>
      </c>
      <c r="S142">
        <v>-9.8284960422163628E-2</v>
      </c>
      <c r="T142">
        <v>-4.2866282789507465E-2</v>
      </c>
      <c r="U142">
        <v>0.13744075829383898</v>
      </c>
      <c r="V142">
        <v>-7.2629455279085292E-2</v>
      </c>
      <c r="W142">
        <v>-5.1499348109517638E-2</v>
      </c>
      <c r="X142">
        <v>-5.3836633663366266E-2</v>
      </c>
      <c r="Y142">
        <v>-7.4453551912568347E-2</v>
      </c>
      <c r="Z142">
        <v>-6.2378167641325498E-2</v>
      </c>
      <c r="AA142">
        <v>-3.6832412523020254E-2</v>
      </c>
      <c r="AB142">
        <v>8.301404853129064E-3</v>
      </c>
      <c r="AC142">
        <v>-5.3479381443298862E-2</v>
      </c>
      <c r="AD142">
        <v>-2.364654635967631E-2</v>
      </c>
      <c r="AE142" t="s">
        <v>192</v>
      </c>
    </row>
    <row r="143" spans="1:31" hidden="1" x14ac:dyDescent="0.3">
      <c r="A143">
        <v>2020</v>
      </c>
      <c r="B143" t="s">
        <v>46</v>
      </c>
      <c r="C143" t="s">
        <v>34</v>
      </c>
      <c r="D143">
        <v>-2.0134228187919462E-2</v>
      </c>
      <c r="E143">
        <v>-2.4016351558507863E-2</v>
      </c>
      <c r="F143">
        <v>-1.6825574873808188E-2</v>
      </c>
      <c r="G143">
        <v>-6.4850843060956114E-4</v>
      </c>
      <c r="H143">
        <v>4.1933191186922576E-2</v>
      </c>
      <c r="I143">
        <v>-1.3360053440213761E-2</v>
      </c>
      <c r="J143">
        <v>-4.3171440431714427E-2</v>
      </c>
      <c r="K143">
        <v>-8.049535603715241E-3</v>
      </c>
      <c r="L143">
        <v>-1.5371477369769404E-2</v>
      </c>
      <c r="M143">
        <v>6.794317479925845E-3</v>
      </c>
      <c r="N143">
        <v>4.117236566643389E-2</v>
      </c>
      <c r="O143">
        <v>-7.8266104756169949E-3</v>
      </c>
      <c r="P143">
        <v>-9.5808383233532586E-3</v>
      </c>
      <c r="Q143">
        <v>-2.5236593059936821E-2</v>
      </c>
      <c r="R143">
        <v>2.0408163265306083E-2</v>
      </c>
      <c r="S143">
        <v>6.3643013899049139E-2</v>
      </c>
      <c r="T143">
        <v>2.6737967914438502E-2</v>
      </c>
      <c r="U143">
        <v>0</v>
      </c>
      <c r="V143">
        <v>4.8585931834662713E-2</v>
      </c>
      <c r="W143">
        <v>2.8865979381443221E-2</v>
      </c>
      <c r="X143">
        <v>3.5317200784826717E-2</v>
      </c>
      <c r="Y143">
        <v>3.8376383763837556E-2</v>
      </c>
      <c r="Z143">
        <v>2.9106029106029024E-2</v>
      </c>
      <c r="AA143">
        <v>1.5933715742511154E-2</v>
      </c>
      <c r="AB143">
        <v>-5.0664977834072918E-3</v>
      </c>
      <c r="AC143">
        <v>2.9271613342409686E-2</v>
      </c>
      <c r="AD143">
        <v>1.2746972594008922E-2</v>
      </c>
      <c r="AE143" t="s">
        <v>192</v>
      </c>
    </row>
    <row r="144" spans="1:31" hidden="1" x14ac:dyDescent="0.3">
      <c r="A144">
        <v>2021</v>
      </c>
      <c r="B144" t="s">
        <v>31</v>
      </c>
      <c r="C144" t="s">
        <v>30</v>
      </c>
      <c r="D144">
        <v>-1.7808219178082153E-2</v>
      </c>
      <c r="E144">
        <v>-1.832460732984293E-2</v>
      </c>
      <c r="F144">
        <v>-1.0838562464346866E-2</v>
      </c>
      <c r="G144">
        <v>-6.4892926670989171E-4</v>
      </c>
      <c r="H144">
        <v>5.5934515688949638E-2</v>
      </c>
      <c r="I144">
        <v>-4.7393364928909184E-3</v>
      </c>
      <c r="J144">
        <v>-0.18524945770065071</v>
      </c>
      <c r="K144">
        <v>-4.3695380774031751E-3</v>
      </c>
      <c r="L144">
        <v>-1.3009540329575022E-2</v>
      </c>
      <c r="M144">
        <v>9.202453987730062E-3</v>
      </c>
      <c r="N144">
        <v>4.6246648793565728E-2</v>
      </c>
      <c r="O144">
        <v>-3.0339805825242718E-3</v>
      </c>
      <c r="P144">
        <v>-3.5066505441354361E-2</v>
      </c>
      <c r="Q144">
        <v>-4.3149946062568034E-3</v>
      </c>
      <c r="R144">
        <v>1.6129032258064516E-2</v>
      </c>
      <c r="S144">
        <v>4.8143053645116916E-2</v>
      </c>
      <c r="T144">
        <v>2.0833333333333447E-2</v>
      </c>
      <c r="U144">
        <v>-0.12083333333333342</v>
      </c>
      <c r="V144">
        <v>4.3568464730290538E-2</v>
      </c>
      <c r="W144">
        <v>2.8056112224449013E-2</v>
      </c>
      <c r="X144">
        <v>2.6531901452937386E-2</v>
      </c>
      <c r="Y144">
        <v>4.8329779673063337E-2</v>
      </c>
      <c r="Z144">
        <v>4.4444444444444405E-2</v>
      </c>
      <c r="AA144">
        <v>2.5721455457967342E-2</v>
      </c>
      <c r="AB144">
        <v>-5.7288351368555424E-3</v>
      </c>
      <c r="AC144">
        <v>3.1084656084656201E-2</v>
      </c>
      <c r="AD144">
        <v>-2.517306482064227E-3</v>
      </c>
      <c r="AE144" t="s">
        <v>193</v>
      </c>
    </row>
    <row r="145" spans="1:31" hidden="1" x14ac:dyDescent="0.3">
      <c r="A145">
        <v>2021</v>
      </c>
      <c r="B145" t="s">
        <v>31</v>
      </c>
      <c r="C145" t="s">
        <v>33</v>
      </c>
      <c r="D145">
        <v>3.207810320781028E-2</v>
      </c>
      <c r="E145">
        <v>3.8933333333333396E-2</v>
      </c>
      <c r="F145">
        <v>2.8835063437139562E-2</v>
      </c>
      <c r="G145">
        <v>2.5974025974026343E-3</v>
      </c>
      <c r="H145">
        <v>-6.9121447028423877E-2</v>
      </c>
      <c r="I145">
        <v>3.8095238095238057E-2</v>
      </c>
      <c r="J145">
        <v>0.10117145899893504</v>
      </c>
      <c r="K145">
        <v>1.6300940438871439E-2</v>
      </c>
      <c r="L145">
        <v>2.1968365553602813E-2</v>
      </c>
      <c r="M145">
        <v>-9.11854103343465E-3</v>
      </c>
      <c r="N145">
        <v>-6.5342729019858992E-2</v>
      </c>
      <c r="O145">
        <v>1.7650639074862917E-2</v>
      </c>
      <c r="P145">
        <v>2.3809523809523881E-2</v>
      </c>
      <c r="Q145">
        <v>3.9003250270856001E-2</v>
      </c>
      <c r="R145">
        <v>-3.1746031746031744E-2</v>
      </c>
      <c r="S145">
        <v>-9.9081364829396279E-2</v>
      </c>
      <c r="T145">
        <v>-4.2091836734694021E-2</v>
      </c>
      <c r="U145">
        <v>0.1324141892862272</v>
      </c>
      <c r="V145">
        <v>-5.3015241882041084E-2</v>
      </c>
      <c r="W145">
        <v>-5.328135152696567E-2</v>
      </c>
      <c r="X145">
        <v>-5.1692307692307725E-2</v>
      </c>
      <c r="Y145">
        <v>-7.186440677966098E-2</v>
      </c>
      <c r="Z145">
        <v>-6.2540296582849708E-2</v>
      </c>
      <c r="AA145">
        <v>-4.5259938837920524E-2</v>
      </c>
      <c r="AB145">
        <v>9.6030729833546744E-3</v>
      </c>
      <c r="AC145">
        <v>-5.3239255933290638E-2</v>
      </c>
      <c r="AD145">
        <v>-1.5772870662460567E-2</v>
      </c>
      <c r="AE145" t="s">
        <v>193</v>
      </c>
    </row>
    <row r="146" spans="1:31" hidden="1" x14ac:dyDescent="0.3">
      <c r="A146">
        <v>2021</v>
      </c>
      <c r="B146" t="s">
        <v>31</v>
      </c>
      <c r="C146" t="s">
        <v>34</v>
      </c>
      <c r="D146">
        <v>-2.0945945945945909E-2</v>
      </c>
      <c r="E146">
        <v>-2.412731006160173E-2</v>
      </c>
      <c r="F146">
        <v>-1.7376681614349743E-2</v>
      </c>
      <c r="G146">
        <v>-1.9430051813472237E-3</v>
      </c>
      <c r="H146">
        <v>4.7189451769604519E-2</v>
      </c>
      <c r="I146">
        <v>-1.9659239842726082E-2</v>
      </c>
      <c r="J146">
        <v>-6.0928433268858904E-2</v>
      </c>
      <c r="K146">
        <v>-1.0487353485502707E-2</v>
      </c>
      <c r="L146">
        <v>-1.4617368873602776E-2</v>
      </c>
      <c r="M146">
        <v>6.1349693251533744E-3</v>
      </c>
      <c r="N146">
        <v>4.04386566141193E-2</v>
      </c>
      <c r="O146">
        <v>-9.5693779904305887E-3</v>
      </c>
      <c r="P146">
        <v>-1.468788249694006E-2</v>
      </c>
      <c r="Q146">
        <v>-2.7632950990615281E-2</v>
      </c>
      <c r="R146">
        <v>1.9672131147540985E-2</v>
      </c>
      <c r="S146">
        <v>6.4093226511289014E-2</v>
      </c>
      <c r="T146">
        <v>2.6631158455392812E-2</v>
      </c>
      <c r="U146">
        <v>0</v>
      </c>
      <c r="V146">
        <v>3.498950314905528E-2</v>
      </c>
      <c r="W146">
        <v>2.9512697323267067E-2</v>
      </c>
      <c r="X146">
        <v>3.3744321868916398E-2</v>
      </c>
      <c r="Y146">
        <v>3.6523009495982466E-2</v>
      </c>
      <c r="Z146">
        <v>2.8885832187070071E-2</v>
      </c>
      <c r="AA146">
        <v>1.9859064702113995E-2</v>
      </c>
      <c r="AB146">
        <v>-5.7070386810398055E-3</v>
      </c>
      <c r="AC146">
        <v>2.9132791327913358E-2</v>
      </c>
      <c r="AD146">
        <v>8.3333333333334061E-3</v>
      </c>
      <c r="AE146" t="s">
        <v>193</v>
      </c>
    </row>
    <row r="147" spans="1:31" hidden="1" x14ac:dyDescent="0.3">
      <c r="A147">
        <v>2021</v>
      </c>
      <c r="B147" t="s">
        <v>35</v>
      </c>
      <c r="C147" t="s">
        <v>30</v>
      </c>
      <c r="D147">
        <v>-1.4492753623188366E-2</v>
      </c>
      <c r="E147">
        <v>-3.2088374539715907E-2</v>
      </c>
      <c r="F147">
        <v>-4.1642897889332633E-2</v>
      </c>
      <c r="G147">
        <v>1.9467878001298597E-3</v>
      </c>
      <c r="H147">
        <v>8.0185553346587099E-2</v>
      </c>
      <c r="I147">
        <v>-1.2032085561497213E-2</v>
      </c>
      <c r="J147">
        <v>-0.22914521112255409</v>
      </c>
      <c r="K147">
        <v>-1.3092269326683255E-2</v>
      </c>
      <c r="L147">
        <v>-2.4432809773123884E-2</v>
      </c>
      <c r="M147">
        <v>6.0975609756097563E-3</v>
      </c>
      <c r="N147">
        <v>5.4018445322793068E-2</v>
      </c>
      <c r="O147">
        <v>1.2077294685991368E-3</v>
      </c>
      <c r="P147">
        <v>-3.9130434782608768E-2</v>
      </c>
      <c r="Q147">
        <v>0</v>
      </c>
      <c r="R147">
        <v>2.3151125401929224E-2</v>
      </c>
      <c r="S147">
        <v>5.3388090349076052E-2</v>
      </c>
      <c r="T147">
        <v>2.7237354085603224E-2</v>
      </c>
      <c r="U147">
        <v>-0.11693088142041851</v>
      </c>
      <c r="V147">
        <v>4.3948613928329952E-2</v>
      </c>
      <c r="W147">
        <v>3.2000000000000077E-2</v>
      </c>
      <c r="X147">
        <v>3.1387319522912738E-2</v>
      </c>
      <c r="Y147">
        <v>5.8491895701197907E-2</v>
      </c>
      <c r="Z147">
        <v>4.9465240641711268E-2</v>
      </c>
      <c r="AA147">
        <v>2.7638190954773906E-2</v>
      </c>
      <c r="AB147">
        <v>-1.0204081632653206E-2</v>
      </c>
      <c r="AC147">
        <v>3.4891375905200674E-2</v>
      </c>
      <c r="AD147">
        <v>-3.8143674507312313E-3</v>
      </c>
      <c r="AE147" t="s">
        <v>194</v>
      </c>
    </row>
    <row r="148" spans="1:31" hidden="1" x14ac:dyDescent="0.3">
      <c r="A148">
        <v>2021</v>
      </c>
      <c r="B148" t="s">
        <v>35</v>
      </c>
      <c r="C148" t="s">
        <v>33</v>
      </c>
      <c r="D148">
        <v>3.3613445378151141E-2</v>
      </c>
      <c r="E148">
        <v>3.9130434782608636E-2</v>
      </c>
      <c r="F148">
        <v>1.1309523809523844E-2</v>
      </c>
      <c r="G148">
        <v>4.5336787564766098E-3</v>
      </c>
      <c r="H148">
        <v>-7.1165644171779105E-2</v>
      </c>
      <c r="I148">
        <v>4.1948579161028336E-2</v>
      </c>
      <c r="J148">
        <v>0.20374081496325988</v>
      </c>
      <c r="K148">
        <v>9.4756790903348063E-3</v>
      </c>
      <c r="L148">
        <v>2.7728085867620829E-2</v>
      </c>
      <c r="M148">
        <v>-1.5151515151515152E-2</v>
      </c>
      <c r="N148">
        <v>-6.7500000000000074E-2</v>
      </c>
      <c r="O148">
        <v>2.1712907117008406E-2</v>
      </c>
      <c r="P148">
        <v>3.9431157078216053E-2</v>
      </c>
      <c r="Q148">
        <v>3.6461126005361992E-2</v>
      </c>
      <c r="R148">
        <v>-3.079824010056572E-2</v>
      </c>
      <c r="S148">
        <v>-0.10201429499675124</v>
      </c>
      <c r="T148">
        <v>-4.166666666666663E-2</v>
      </c>
      <c r="U148">
        <v>0.14749389630906234</v>
      </c>
      <c r="V148">
        <v>-3.4326424870466395E-2</v>
      </c>
      <c r="W148">
        <v>-5.3617571059431594E-2</v>
      </c>
      <c r="X148">
        <v>-4.8691418137553254E-2</v>
      </c>
      <c r="Y148">
        <v>-6.4580559254327499E-2</v>
      </c>
      <c r="Z148">
        <v>-6.1783439490445791E-2</v>
      </c>
      <c r="AA148">
        <v>-4.2787286063569685E-2</v>
      </c>
      <c r="AB148">
        <v>9.6649484536082478E-3</v>
      </c>
      <c r="AC148">
        <v>-5.0254452926208511E-2</v>
      </c>
      <c r="AD148">
        <v>-1.2763241863432587E-3</v>
      </c>
      <c r="AE148" t="s">
        <v>194</v>
      </c>
    </row>
    <row r="149" spans="1:31" hidden="1" x14ac:dyDescent="0.3">
      <c r="A149">
        <v>2021</v>
      </c>
      <c r="B149" t="s">
        <v>35</v>
      </c>
      <c r="C149" t="s">
        <v>34</v>
      </c>
      <c r="D149">
        <v>-2.2357723577235658E-2</v>
      </c>
      <c r="E149">
        <v>-2.4581589958158939E-2</v>
      </c>
      <c r="F149">
        <v>-7.0629782224839142E-3</v>
      </c>
      <c r="G149">
        <v>-2.5789813023855946E-3</v>
      </c>
      <c r="H149">
        <v>4.8216644649933832E-2</v>
      </c>
      <c r="I149">
        <v>-2.1428571428571502E-2</v>
      </c>
      <c r="J149">
        <v>-0.11209766925638175</v>
      </c>
      <c r="K149">
        <v>-6.2578222778473091E-3</v>
      </c>
      <c r="L149">
        <v>-1.8276762402088847E-2</v>
      </c>
      <c r="M149">
        <v>1.0461538461538392E-2</v>
      </c>
      <c r="N149">
        <v>4.2225201072386136E-2</v>
      </c>
      <c r="O149">
        <v>-1.1216056670602159E-2</v>
      </c>
      <c r="P149">
        <v>-2.4253731343283617E-2</v>
      </c>
      <c r="Q149">
        <v>-2.5866528711846869E-2</v>
      </c>
      <c r="R149">
        <v>1.9455252918287938E-2</v>
      </c>
      <c r="S149">
        <v>6.6570188133140501E-2</v>
      </c>
      <c r="T149">
        <v>2.6350461133069828E-2</v>
      </c>
      <c r="U149">
        <v>0</v>
      </c>
      <c r="V149">
        <v>2.213279678068418E-2</v>
      </c>
      <c r="W149">
        <v>3.0034129692832805E-2</v>
      </c>
      <c r="X149">
        <v>3.1989763275751759E-2</v>
      </c>
      <c r="Y149">
        <v>3.2740213523131632E-2</v>
      </c>
      <c r="Z149">
        <v>2.8513238289205625E-2</v>
      </c>
      <c r="AA149">
        <v>1.8518518518518556E-2</v>
      </c>
      <c r="AB149">
        <v>-5.7434588385448454E-3</v>
      </c>
      <c r="AC149">
        <v>2.7461486939048856E-2</v>
      </c>
      <c r="AD149">
        <v>6.389776357827113E-4</v>
      </c>
      <c r="AE149" t="s">
        <v>194</v>
      </c>
    </row>
    <row r="150" spans="1:31" hidden="1" x14ac:dyDescent="0.3">
      <c r="A150">
        <v>2021</v>
      </c>
      <c r="B150" t="s">
        <v>36</v>
      </c>
      <c r="C150" t="s">
        <v>30</v>
      </c>
      <c r="D150">
        <v>-1.2474012474012551E-2</v>
      </c>
      <c r="E150">
        <v>1.5549597855227913E-2</v>
      </c>
      <c r="F150">
        <v>-3.260225251926497E-2</v>
      </c>
      <c r="G150">
        <v>-1.2928248222365136E-3</v>
      </c>
      <c r="H150">
        <v>5.9861373660995594E-2</v>
      </c>
      <c r="I150">
        <v>-1.3271400132713249E-3</v>
      </c>
      <c r="J150">
        <v>-0.11874999999999999</v>
      </c>
      <c r="K150">
        <v>2.5188916876572875E-3</v>
      </c>
      <c r="L150">
        <v>-9.75177304964534E-3</v>
      </c>
      <c r="M150">
        <v>-1.2180267965894557E-3</v>
      </c>
      <c r="N150">
        <v>3.279742765273308E-2</v>
      </c>
      <c r="O150">
        <v>-6.5671641791044434E-3</v>
      </c>
      <c r="P150">
        <v>-1.5296367112810743E-2</v>
      </c>
      <c r="Q150">
        <v>-1.1683483802443001E-2</v>
      </c>
      <c r="R150">
        <v>1.5267175572519122E-2</v>
      </c>
      <c r="S150">
        <v>4.7489823609226593E-2</v>
      </c>
      <c r="T150">
        <v>1.989730423620022E-2</v>
      </c>
      <c r="U150">
        <v>0.13</v>
      </c>
      <c r="V150">
        <v>2.362204724409445E-2</v>
      </c>
      <c r="W150">
        <v>2.5844930417495065E-2</v>
      </c>
      <c r="X150">
        <v>2.0458772473651472E-2</v>
      </c>
      <c r="Y150">
        <v>4.2729152308752703E-2</v>
      </c>
      <c r="Z150">
        <v>4.1584158415841656E-2</v>
      </c>
      <c r="AA150">
        <v>2.6959247648902892E-2</v>
      </c>
      <c r="AB150">
        <v>-1.7329910141206783E-2</v>
      </c>
      <c r="AC150">
        <v>2.5423728813559358E-2</v>
      </c>
      <c r="AD150">
        <v>6.3856960408680918E-4</v>
      </c>
      <c r="AE150" t="s">
        <v>195</v>
      </c>
    </row>
    <row r="151" spans="1:31" hidden="1" x14ac:dyDescent="0.3">
      <c r="A151">
        <v>2021</v>
      </c>
      <c r="B151" t="s">
        <v>36</v>
      </c>
      <c r="C151" t="s">
        <v>33</v>
      </c>
      <c r="D151">
        <v>3.5087719298245612E-2</v>
      </c>
      <c r="E151">
        <v>4.2766631467792998E-2</v>
      </c>
      <c r="F151">
        <v>9.1911764705882356E-3</v>
      </c>
      <c r="G151">
        <v>7.1197411003235877E-3</v>
      </c>
      <c r="H151">
        <v>-7.0154577883471958E-2</v>
      </c>
      <c r="I151">
        <v>4.5182724252491771E-2</v>
      </c>
      <c r="J151">
        <v>0.17801418439716307</v>
      </c>
      <c r="K151">
        <v>1.1934673366834207E-2</v>
      </c>
      <c r="L151">
        <v>2.3276633840644531E-2</v>
      </c>
      <c r="M151">
        <v>-8.5365853658536939E-3</v>
      </c>
      <c r="N151">
        <v>-6.1643835616438394E-2</v>
      </c>
      <c r="O151">
        <v>2.3437500000000035E-2</v>
      </c>
      <c r="P151">
        <v>3.8187702265372207E-2</v>
      </c>
      <c r="Q151">
        <v>3.976356797420745E-2</v>
      </c>
      <c r="R151">
        <v>-2.8195488721804513E-2</v>
      </c>
      <c r="S151">
        <v>-0.10168393782383431</v>
      </c>
      <c r="T151">
        <v>-3.9647577092511085E-2</v>
      </c>
      <c r="U151">
        <v>0.17</v>
      </c>
      <c r="V151">
        <v>-7.692307692307619E-3</v>
      </c>
      <c r="W151">
        <v>-4.9095607235142259E-2</v>
      </c>
      <c r="X151">
        <v>-4.6780072904009651E-2</v>
      </c>
      <c r="Y151">
        <v>-6.345009914078005E-2</v>
      </c>
      <c r="Z151">
        <v>-5.8301647655259928E-2</v>
      </c>
      <c r="AA151">
        <v>-3.7851037851037952E-2</v>
      </c>
      <c r="AB151">
        <v>1.1757021554539591E-2</v>
      </c>
      <c r="AC151">
        <v>-4.6408137317228294E-2</v>
      </c>
      <c r="AD151">
        <v>1.2763241863434401E-3</v>
      </c>
      <c r="AE151" t="s">
        <v>195</v>
      </c>
    </row>
    <row r="152" spans="1:31" hidden="1" x14ac:dyDescent="0.3">
      <c r="A152">
        <v>2021</v>
      </c>
      <c r="B152" t="s">
        <v>36</v>
      </c>
      <c r="C152" t="s">
        <v>34</v>
      </c>
      <c r="D152">
        <v>-2.3050847457627158E-2</v>
      </c>
      <c r="E152">
        <v>-2.6835443037974742E-2</v>
      </c>
      <c r="F152">
        <v>-5.464480874316802E-3</v>
      </c>
      <c r="G152">
        <v>-4.4987146529562256E-3</v>
      </c>
      <c r="H152">
        <v>4.7953964194373401E-2</v>
      </c>
      <c r="I152">
        <v>-2.2886204704386664E-2</v>
      </c>
      <c r="J152">
        <v>-9.9939795304033685E-2</v>
      </c>
      <c r="K152">
        <v>-8.0695220360023773E-3</v>
      </c>
      <c r="L152">
        <v>-1.4873140857392851E-2</v>
      </c>
      <c r="M152">
        <v>5.5350553505535407E-3</v>
      </c>
      <c r="N152">
        <v>3.848706038487068E-2</v>
      </c>
      <c r="O152">
        <v>-1.2331180270111701E-2</v>
      </c>
      <c r="P152">
        <v>-2.306733167082305E-2</v>
      </c>
      <c r="Q152">
        <v>-2.7906976744186077E-2</v>
      </c>
      <c r="R152">
        <v>1.7408123791102625E-2</v>
      </c>
      <c r="S152">
        <v>6.6330209084354858E-2</v>
      </c>
      <c r="T152">
        <v>2.4901703800786445E-2</v>
      </c>
      <c r="U152">
        <v>0</v>
      </c>
      <c r="V152">
        <v>4.5219638242893316E-3</v>
      </c>
      <c r="W152">
        <v>2.7173913043478264E-2</v>
      </c>
      <c r="X152">
        <v>3.0592734225621306E-2</v>
      </c>
      <c r="Y152">
        <v>3.1757233592095979E-2</v>
      </c>
      <c r="Z152">
        <v>2.6917900403768506E-2</v>
      </c>
      <c r="AA152">
        <v>1.6497461928933976E-2</v>
      </c>
      <c r="AB152">
        <v>-7.1013557133634232E-3</v>
      </c>
      <c r="AC152">
        <v>2.5333333333333409E-2</v>
      </c>
      <c r="AD152">
        <v>-6.3734862970040991E-4</v>
      </c>
      <c r="AE152" t="s">
        <v>195</v>
      </c>
    </row>
    <row r="153" spans="1:31" hidden="1" x14ac:dyDescent="0.3">
      <c r="A153">
        <v>2021</v>
      </c>
      <c r="B153" t="s">
        <v>37</v>
      </c>
      <c r="C153" t="s">
        <v>30</v>
      </c>
      <c r="D153">
        <v>-9.7154753643303657E-3</v>
      </c>
      <c r="E153">
        <v>1.7169614984391318E-2</v>
      </c>
      <c r="F153">
        <v>-2.4420024420024767E-3</v>
      </c>
      <c r="G153">
        <v>6.4557779212391425E-4</v>
      </c>
      <c r="H153">
        <v>6.8944478340451393E-2</v>
      </c>
      <c r="I153">
        <v>4.4892648015614878E-2</v>
      </c>
      <c r="J153">
        <v>-9.6321070234113751E-2</v>
      </c>
      <c r="K153">
        <v>8.1351689612013944E-3</v>
      </c>
      <c r="L153">
        <v>-3.5523978685612035E-3</v>
      </c>
      <c r="M153">
        <v>5.5045871559633378E-3</v>
      </c>
      <c r="N153">
        <v>3.4504792332268407E-2</v>
      </c>
      <c r="O153">
        <v>-8.3234244946490919E-3</v>
      </c>
      <c r="P153">
        <v>-7.0197830248882858E-3</v>
      </c>
      <c r="Q153">
        <v>-6.9112174375331363E-3</v>
      </c>
      <c r="R153">
        <v>1.8377693282636103E-2</v>
      </c>
      <c r="S153">
        <v>4.8681541582150024E-2</v>
      </c>
      <c r="T153">
        <v>2.2378516624040921E-2</v>
      </c>
      <c r="U153">
        <v>-0.12</v>
      </c>
      <c r="V153">
        <v>3.2154340836012861E-3</v>
      </c>
      <c r="W153">
        <v>2.8439153439153517E-2</v>
      </c>
      <c r="X153">
        <v>2.2263450834879548E-2</v>
      </c>
      <c r="Y153">
        <v>3.761969904240766E-2</v>
      </c>
      <c r="Z153">
        <v>3.9318479685452164E-2</v>
      </c>
      <c r="AA153">
        <v>2.4344569288389552E-2</v>
      </c>
      <c r="AB153">
        <v>5.2015604681403312E-3</v>
      </c>
      <c r="AC153">
        <v>2.7308192457737246E-2</v>
      </c>
      <c r="AD153">
        <v>5.1020408163264218E-3</v>
      </c>
      <c r="AE153" t="s">
        <v>196</v>
      </c>
    </row>
    <row r="154" spans="1:31" hidden="1" x14ac:dyDescent="0.3">
      <c r="A154">
        <v>2021</v>
      </c>
      <c r="B154" t="s">
        <v>37</v>
      </c>
      <c r="C154" t="s">
        <v>33</v>
      </c>
      <c r="D154">
        <v>3.4337771548703613E-2</v>
      </c>
      <c r="E154">
        <v>3.5805626598465472E-2</v>
      </c>
      <c r="F154">
        <v>1.8359853121175031E-2</v>
      </c>
      <c r="G154">
        <v>6.4516129032258064E-3</v>
      </c>
      <c r="H154">
        <v>-7.8767123287671145E-2</v>
      </c>
      <c r="I154">
        <v>5.1058530510585412E-2</v>
      </c>
      <c r="J154">
        <v>0.19615099925980756</v>
      </c>
      <c r="K154">
        <v>1.0552451893234123E-2</v>
      </c>
      <c r="L154">
        <v>2.3172905525846652E-2</v>
      </c>
      <c r="M154">
        <v>-9.7323600973235665E-3</v>
      </c>
      <c r="N154">
        <v>-6.4237183446571991E-2</v>
      </c>
      <c r="O154">
        <v>2.757793764988006E-2</v>
      </c>
      <c r="P154">
        <v>4.1131105398457622E-2</v>
      </c>
      <c r="Q154">
        <v>4.0685224839400395E-2</v>
      </c>
      <c r="R154">
        <v>-2.9869321717485894E-2</v>
      </c>
      <c r="S154">
        <v>-0.10186976144422942</v>
      </c>
      <c r="T154">
        <v>-4.065040650406504E-2</v>
      </c>
      <c r="U154">
        <v>0.13</v>
      </c>
      <c r="V154">
        <v>-7.051282051282015E-3</v>
      </c>
      <c r="W154">
        <v>-5.0803858520900358E-2</v>
      </c>
      <c r="X154">
        <v>-4.7186932849364857E-2</v>
      </c>
      <c r="Y154">
        <v>-6.3282794990112037E-2</v>
      </c>
      <c r="Z154">
        <v>-5.9899117276166459E-2</v>
      </c>
      <c r="AA154">
        <v>-3.9609993906154786E-2</v>
      </c>
      <c r="AB154">
        <v>1.2936610608020699E-2</v>
      </c>
      <c r="AC154">
        <v>-4.746835443037975E-2</v>
      </c>
      <c r="AD154">
        <v>2.5380710659898839E-3</v>
      </c>
      <c r="AE154" t="s">
        <v>196</v>
      </c>
    </row>
    <row r="155" spans="1:31" hidden="1" x14ac:dyDescent="0.3">
      <c r="A155">
        <v>2021</v>
      </c>
      <c r="B155" t="s">
        <v>37</v>
      </c>
      <c r="C155" t="s">
        <v>34</v>
      </c>
      <c r="D155">
        <v>-2.2357723577235658E-2</v>
      </c>
      <c r="E155">
        <v>-2.2222222222222223E-2</v>
      </c>
      <c r="F155">
        <v>-1.081730769230776E-2</v>
      </c>
      <c r="G155">
        <v>-3.8461538461538095E-3</v>
      </c>
      <c r="H155">
        <v>5.3903345724906994E-2</v>
      </c>
      <c r="I155">
        <v>-2.6066350710900507E-2</v>
      </c>
      <c r="J155">
        <v>-0.10829207920792079</v>
      </c>
      <c r="K155">
        <v>-6.7567567567568959E-3</v>
      </c>
      <c r="L155">
        <v>-1.4808362369338005E-2</v>
      </c>
      <c r="M155">
        <v>6.7567567567567216E-3</v>
      </c>
      <c r="N155">
        <v>4.0264026402640228E-2</v>
      </c>
      <c r="O155">
        <v>-1.4585764294049008E-2</v>
      </c>
      <c r="P155">
        <v>-2.4691358024691357E-2</v>
      </c>
      <c r="Q155">
        <v>-2.8806584362139887E-2</v>
      </c>
      <c r="R155">
        <v>1.8601667735728068E-2</v>
      </c>
      <c r="S155">
        <v>6.6044508255563447E-2</v>
      </c>
      <c r="T155">
        <v>2.5423728813559358E-2</v>
      </c>
      <c r="U155">
        <v>0</v>
      </c>
      <c r="V155">
        <v>4.5190445448675832E-3</v>
      </c>
      <c r="W155">
        <v>2.8455284552845645E-2</v>
      </c>
      <c r="X155">
        <v>3.0476190476190549E-2</v>
      </c>
      <c r="Y155">
        <v>3.1667839549612949E-2</v>
      </c>
      <c r="Z155">
        <v>2.7498323272971123E-2</v>
      </c>
      <c r="AA155">
        <v>1.7131979695431582E-2</v>
      </c>
      <c r="AB155">
        <v>-7.6628352490420732E-3</v>
      </c>
      <c r="AC155">
        <v>2.5913621262458511E-2</v>
      </c>
      <c r="AD155">
        <v>-1.2658227848100546E-3</v>
      </c>
      <c r="AE155" t="s">
        <v>196</v>
      </c>
    </row>
    <row r="156" spans="1:31" hidden="1" x14ac:dyDescent="0.3">
      <c r="A156">
        <v>2021</v>
      </c>
      <c r="B156" t="s">
        <v>38</v>
      </c>
      <c r="C156" t="s">
        <v>30</v>
      </c>
      <c r="D156">
        <v>5.5440055440054252E-3</v>
      </c>
      <c r="E156">
        <v>2.5252525252525255E-3</v>
      </c>
      <c r="F156">
        <v>2.4301336573511544E-2</v>
      </c>
      <c r="G156">
        <v>2.5740025740026103E-3</v>
      </c>
      <c r="H156">
        <v>8.406819517930636E-2</v>
      </c>
      <c r="I156">
        <v>-1.2773722627737192E-2</v>
      </c>
      <c r="J156">
        <v>-3.9555863983344819E-2</v>
      </c>
      <c r="K156">
        <v>2.1026592455163921E-2</v>
      </c>
      <c r="L156">
        <v>1.0610079575596842E-2</v>
      </c>
      <c r="M156">
        <v>3.5387431360585621E-2</v>
      </c>
      <c r="N156">
        <v>4.4416243654822336E-2</v>
      </c>
      <c r="O156">
        <v>5.3285968028419515E-3</v>
      </c>
      <c r="P156">
        <v>4.4303797468353712E-3</v>
      </c>
      <c r="Q156">
        <v>4.2372881355931301E-3</v>
      </c>
      <c r="R156">
        <v>4.0931989924433247E-2</v>
      </c>
      <c r="S156">
        <v>8.1481481481481446E-2</v>
      </c>
      <c r="T156">
        <v>4.5772409408772967E-2</v>
      </c>
      <c r="U156">
        <v>-0.13717472118959118</v>
      </c>
      <c r="V156">
        <v>3.9203084832904848E-2</v>
      </c>
      <c r="W156">
        <v>4.61133069828722E-2</v>
      </c>
      <c r="X156">
        <v>4.1897720271102785E-2</v>
      </c>
      <c r="Y156">
        <v>4.5020463847203235E-2</v>
      </c>
      <c r="Z156">
        <v>4.4386422976501382E-2</v>
      </c>
      <c r="AA156">
        <v>4.5539613225202634E-2</v>
      </c>
      <c r="AB156">
        <v>2.5096525096525133E-2</v>
      </c>
      <c r="AC156">
        <v>4.3393782383419614E-2</v>
      </c>
      <c r="AD156">
        <v>2.0912547528517001E-2</v>
      </c>
      <c r="AE156" t="s">
        <v>197</v>
      </c>
    </row>
    <row r="157" spans="1:31" hidden="1" x14ac:dyDescent="0.3">
      <c r="A157">
        <v>2021</v>
      </c>
      <c r="B157" t="s">
        <v>38</v>
      </c>
      <c r="C157" t="s">
        <v>33</v>
      </c>
      <c r="D157">
        <v>2.5499655410062144E-2</v>
      </c>
      <c r="E157">
        <v>2.9219143576826253E-2</v>
      </c>
      <c r="F157">
        <v>2.6097271648873106E-2</v>
      </c>
      <c r="G157">
        <v>4.492939666238694E-3</v>
      </c>
      <c r="H157">
        <v>-8.459869848156179E-2</v>
      </c>
      <c r="I157">
        <v>6.2846580406654265E-2</v>
      </c>
      <c r="J157">
        <v>0.20303468208092482</v>
      </c>
      <c r="K157">
        <v>4.8455481526348361E-3</v>
      </c>
      <c r="L157">
        <v>1.3998250218722735E-2</v>
      </c>
      <c r="M157">
        <v>-2.6517383618149679E-2</v>
      </c>
      <c r="N157">
        <v>-7.654921020656133E-2</v>
      </c>
      <c r="O157">
        <v>7.6560659599527849E-3</v>
      </c>
      <c r="P157">
        <v>3.4656584751102712E-2</v>
      </c>
      <c r="Q157">
        <v>4.5358649789029509E-2</v>
      </c>
      <c r="R157">
        <v>-5.3236539624924445E-2</v>
      </c>
      <c r="S157">
        <v>-0.12702366127023665</v>
      </c>
      <c r="T157">
        <v>-6.3221884498480277E-2</v>
      </c>
      <c r="U157">
        <v>0.16041935947149222</v>
      </c>
      <c r="V157">
        <v>-3.8342609771181133E-2</v>
      </c>
      <c r="W157">
        <v>-5.4785894206549224E-2</v>
      </c>
      <c r="X157">
        <v>-5.1448846836191539E-2</v>
      </c>
      <c r="Y157">
        <v>-5.3524804177545619E-2</v>
      </c>
      <c r="Z157">
        <v>-4.6250000000000034E-2</v>
      </c>
      <c r="AA157">
        <v>-6.5632458233890217E-2</v>
      </c>
      <c r="AB157">
        <v>-1.1299435028248659E-2</v>
      </c>
      <c r="AC157">
        <v>-5.4624456859093624E-2</v>
      </c>
      <c r="AD157">
        <v>-9.9317194289260981E-3</v>
      </c>
      <c r="AE157" t="s">
        <v>197</v>
      </c>
    </row>
    <row r="158" spans="1:31" hidden="1" x14ac:dyDescent="0.3">
      <c r="A158">
        <v>2021</v>
      </c>
      <c r="B158" t="s">
        <v>38</v>
      </c>
      <c r="C158" t="s">
        <v>34</v>
      </c>
      <c r="D158">
        <v>-1.6801075268817203E-2</v>
      </c>
      <c r="E158">
        <v>-1.8600097895252136E-2</v>
      </c>
      <c r="F158">
        <v>-1.5606936416184906E-2</v>
      </c>
      <c r="G158">
        <v>-2.5559105431310269E-3</v>
      </c>
      <c r="H158">
        <v>5.8649289099525929E-2</v>
      </c>
      <c r="I158">
        <v>-3.1304347826086987E-2</v>
      </c>
      <c r="J158">
        <v>-0.11171171171171168</v>
      </c>
      <c r="K158">
        <v>-3.0138637733574439E-3</v>
      </c>
      <c r="L158">
        <v>-9.4909404659189681E-3</v>
      </c>
      <c r="M158">
        <v>1.8159806295399518E-2</v>
      </c>
      <c r="N158">
        <v>4.8026315789473757E-2</v>
      </c>
      <c r="O158">
        <v>-4.0911747516071805E-3</v>
      </c>
      <c r="P158">
        <v>-2.131546894031669E-2</v>
      </c>
      <c r="Q158">
        <v>-3.1786074672048352E-2</v>
      </c>
      <c r="R158">
        <v>3.3865814696485697E-2</v>
      </c>
      <c r="S158">
        <v>8.4878744650499341E-2</v>
      </c>
      <c r="T158">
        <v>4.0882543802725581E-2</v>
      </c>
      <c r="U158">
        <v>0</v>
      </c>
      <c r="V158">
        <v>2.5080385852090069E-2</v>
      </c>
      <c r="W158">
        <v>3.0646235842771451E-2</v>
      </c>
      <c r="X158">
        <v>3.3665835411471355E-2</v>
      </c>
      <c r="Y158">
        <v>2.689655172413797E-2</v>
      </c>
      <c r="Z158">
        <v>2.0969855832241265E-2</v>
      </c>
      <c r="AA158">
        <v>2.9374201787994856E-2</v>
      </c>
      <c r="AB158">
        <v>6.9841269841269477E-3</v>
      </c>
      <c r="AC158">
        <v>2.9546946815495731E-2</v>
      </c>
      <c r="AD158">
        <v>5.6426332288401614E-3</v>
      </c>
      <c r="AE158" t="s">
        <v>197</v>
      </c>
    </row>
    <row r="159" spans="1:31" hidden="1" x14ac:dyDescent="0.3">
      <c r="A159">
        <v>2021</v>
      </c>
      <c r="B159" t="s">
        <v>39</v>
      </c>
      <c r="C159" t="s">
        <v>30</v>
      </c>
      <c r="D159">
        <v>-4.784688995215427E-3</v>
      </c>
      <c r="E159">
        <v>-1.9950124688279587E-3</v>
      </c>
      <c r="F159">
        <v>5.2847915443335287E-2</v>
      </c>
      <c r="G159">
        <v>0</v>
      </c>
      <c r="H159">
        <v>6.5472859541130482E-2</v>
      </c>
      <c r="I159">
        <v>-5.0867743865948535E-2</v>
      </c>
      <c r="J159">
        <v>-2.1636240703177937E-2</v>
      </c>
      <c r="K159">
        <v>6.0459492140262582E-4</v>
      </c>
      <c r="L159">
        <v>-1.7421602787456693E-3</v>
      </c>
      <c r="M159">
        <v>1.0701545778834788E-2</v>
      </c>
      <c r="N159">
        <v>3.8920276208411729E-2</v>
      </c>
      <c r="O159">
        <v>7.6291079812205566E-3</v>
      </c>
      <c r="P159">
        <v>-1.2445550715618459E-3</v>
      </c>
      <c r="Q159">
        <v>-1.4590932777488333E-2</v>
      </c>
      <c r="R159">
        <v>2.1631644004944373E-2</v>
      </c>
      <c r="S159">
        <v>5.1282051282051357E-2</v>
      </c>
      <c r="T159">
        <v>2.618453865336651E-2</v>
      </c>
      <c r="U159">
        <v>-0.13824257425742578</v>
      </c>
      <c r="V159">
        <v>1.6938519447929665E-2</v>
      </c>
      <c r="W159">
        <v>2.9088558500323207E-2</v>
      </c>
      <c r="X159">
        <v>2.3522316043425674E-2</v>
      </c>
      <c r="Y159">
        <v>3.5594358629952874E-2</v>
      </c>
      <c r="Z159">
        <v>2.952503209242615E-2</v>
      </c>
      <c r="AA159">
        <v>3.4739454094292944E-2</v>
      </c>
      <c r="AB159">
        <v>5.0441361916772473E-3</v>
      </c>
      <c r="AC159">
        <v>2.9974489795918293E-2</v>
      </c>
      <c r="AD159">
        <v>1.0598503740648307E-2</v>
      </c>
      <c r="AE159" t="s">
        <v>198</v>
      </c>
    </row>
    <row r="160" spans="1:31" hidden="1" x14ac:dyDescent="0.3">
      <c r="A160">
        <v>2021</v>
      </c>
      <c r="B160" t="s">
        <v>39</v>
      </c>
      <c r="C160" t="s">
        <v>33</v>
      </c>
      <c r="D160">
        <v>2.4725274725274686E-2</v>
      </c>
      <c r="E160">
        <v>2.6986506746626716E-2</v>
      </c>
      <c r="F160">
        <v>1.9520356943669825E-2</v>
      </c>
      <c r="G160">
        <v>2.5624599615631373E-3</v>
      </c>
      <c r="H160">
        <v>-9.5588235294117738E-2</v>
      </c>
      <c r="I160">
        <v>8.1336696090794497E-2</v>
      </c>
      <c r="J160">
        <v>0.21769177608845891</v>
      </c>
      <c r="K160">
        <v>8.4592145015106087E-3</v>
      </c>
      <c r="L160">
        <v>1.3089005235602094E-2</v>
      </c>
      <c r="M160">
        <v>-2.6470588235294117E-2</v>
      </c>
      <c r="N160">
        <v>-7.9758308157099625E-2</v>
      </c>
      <c r="O160">
        <v>9.3185789167153348E-3</v>
      </c>
      <c r="P160">
        <v>3.5514018691588711E-2</v>
      </c>
      <c r="Q160">
        <v>3.4373347435219463E-2</v>
      </c>
      <c r="R160">
        <v>-4.8396854204476702E-2</v>
      </c>
      <c r="S160">
        <v>-0.12132582864290184</v>
      </c>
      <c r="T160">
        <v>-5.9538274605103178E-2</v>
      </c>
      <c r="U160">
        <v>0.15252046531667393</v>
      </c>
      <c r="V160">
        <v>-3.701418877236274E-2</v>
      </c>
      <c r="W160">
        <v>-5.9045226130653126E-2</v>
      </c>
      <c r="X160">
        <v>-5.2445492044784783E-2</v>
      </c>
      <c r="Y160">
        <v>-4.345006485084299E-2</v>
      </c>
      <c r="Z160">
        <v>-6.0473815461346739E-2</v>
      </c>
      <c r="AA160">
        <v>-5.2158273381295063E-2</v>
      </c>
      <c r="AB160">
        <v>-8.7829360100376772E-3</v>
      </c>
      <c r="AC160">
        <v>-5.0154798761609873E-2</v>
      </c>
      <c r="AD160">
        <v>-1.0487353485502707E-2</v>
      </c>
      <c r="AE160" t="s">
        <v>198</v>
      </c>
    </row>
    <row r="161" spans="1:31" hidden="1" x14ac:dyDescent="0.3">
      <c r="A161">
        <v>2021</v>
      </c>
      <c r="B161" t="s">
        <v>39</v>
      </c>
      <c r="C161" t="s">
        <v>34</v>
      </c>
      <c r="D161">
        <v>-1.675603217158177E-2</v>
      </c>
      <c r="E161">
        <v>-1.7031630170316302E-2</v>
      </c>
      <c r="F161">
        <v>-1.1487964989059204E-2</v>
      </c>
      <c r="G161">
        <v>-1.9169329073483155E-3</v>
      </c>
      <c r="H161">
        <v>6.6782810685249716E-2</v>
      </c>
      <c r="I161">
        <v>-4.0233236151603534E-2</v>
      </c>
      <c r="J161">
        <v>-0.11804767309875133</v>
      </c>
      <c r="K161">
        <v>-5.3924505692031499E-3</v>
      </c>
      <c r="L161">
        <v>-8.6132644272179162E-3</v>
      </c>
      <c r="M161">
        <v>1.812688821752266E-2</v>
      </c>
      <c r="N161">
        <v>5.0558108995403729E-2</v>
      </c>
      <c r="O161">
        <v>-5.1933064050779321E-3</v>
      </c>
      <c r="P161">
        <v>-2.1660649819494553E-2</v>
      </c>
      <c r="Q161">
        <v>-2.4539877300613411E-2</v>
      </c>
      <c r="R161">
        <v>3.1150667514303731E-2</v>
      </c>
      <c r="S161">
        <v>8.0427046263345278E-2</v>
      </c>
      <c r="T161">
        <v>3.8113695090439124E-2</v>
      </c>
      <c r="U161">
        <v>0</v>
      </c>
      <c r="V161">
        <v>2.3702754644458791E-2</v>
      </c>
      <c r="W161">
        <v>3.3377837116154871E-2</v>
      </c>
      <c r="X161">
        <v>3.4203980099502485E-2</v>
      </c>
      <c r="Y161">
        <v>2.169491525423721E-2</v>
      </c>
      <c r="Z161">
        <v>2.7869940278699518E-2</v>
      </c>
      <c r="AA161">
        <v>2.2770398481973399E-2</v>
      </c>
      <c r="AB161">
        <v>5.0632911392405784E-3</v>
      </c>
      <c r="AC161">
        <v>2.7379400260756116E-2</v>
      </c>
      <c r="AD161">
        <v>5.6109725685785893E-3</v>
      </c>
      <c r="AE161" t="s">
        <v>198</v>
      </c>
    </row>
    <row r="162" spans="1:31" hidden="1" x14ac:dyDescent="0.3">
      <c r="A162">
        <v>2021</v>
      </c>
      <c r="B162" t="s">
        <v>40</v>
      </c>
      <c r="C162" t="s">
        <v>30</v>
      </c>
      <c r="D162">
        <v>-1.0906612133605961E-2</v>
      </c>
      <c r="E162">
        <v>1.2376237623762377E-2</v>
      </c>
      <c r="F162">
        <v>-1.6602102933037243E-3</v>
      </c>
      <c r="G162">
        <v>5.7618437900128407E-3</v>
      </c>
      <c r="H162">
        <v>2.7218290691344585E-2</v>
      </c>
      <c r="I162">
        <v>-4.1919805589307448E-2</v>
      </c>
      <c r="J162">
        <v>-1.6731016731016693E-2</v>
      </c>
      <c r="K162">
        <v>-1.445783132530124E-2</v>
      </c>
      <c r="L162">
        <v>-1.0425716768027704E-2</v>
      </c>
      <c r="M162">
        <v>7.1216617210681822E-3</v>
      </c>
      <c r="N162">
        <v>3.874999999999993E-2</v>
      </c>
      <c r="O162">
        <v>-8.1206496519721904E-3</v>
      </c>
      <c r="P162">
        <v>-5.5350553505535407E-3</v>
      </c>
      <c r="Q162">
        <v>-5.7651991614256952E-3</v>
      </c>
      <c r="R162">
        <v>2.342786683107282E-2</v>
      </c>
      <c r="S162">
        <v>6.1264822134387234E-2</v>
      </c>
      <c r="T162">
        <v>2.8624766645924227E-2</v>
      </c>
      <c r="U162">
        <v>-0.1323364485981309</v>
      </c>
      <c r="V162">
        <v>1.6896120150187662E-2</v>
      </c>
      <c r="W162">
        <v>3.55297157622739E-2</v>
      </c>
      <c r="X162">
        <v>2.4654239326518303E-2</v>
      </c>
      <c r="Y162">
        <v>4.2468480424684846E-2</v>
      </c>
      <c r="Z162">
        <v>3.744351194318904E-2</v>
      </c>
      <c r="AA162">
        <v>3.4013605442176874E-2</v>
      </c>
      <c r="AB162">
        <v>1.0075566750629686E-2</v>
      </c>
      <c r="AC162">
        <v>3.2994923857868133E-2</v>
      </c>
      <c r="AD162">
        <v>1.1779293242405314E-2</v>
      </c>
      <c r="AE162" t="s">
        <v>199</v>
      </c>
    </row>
    <row r="163" spans="1:31" hidden="1" x14ac:dyDescent="0.3">
      <c r="A163">
        <v>2021</v>
      </c>
      <c r="B163" t="s">
        <v>40</v>
      </c>
      <c r="C163" t="s">
        <v>33</v>
      </c>
      <c r="D163">
        <v>2.7567195037904894E-2</v>
      </c>
      <c r="E163">
        <v>3.1295843520782421E-2</v>
      </c>
      <c r="F163">
        <v>2.5498891352549857E-2</v>
      </c>
      <c r="G163">
        <v>7.0019096117122492E-3</v>
      </c>
      <c r="H163">
        <v>-9.5919448860625312E-2</v>
      </c>
      <c r="I163">
        <v>8.3703233988586034E-2</v>
      </c>
      <c r="J163">
        <v>0.21989528795811514</v>
      </c>
      <c r="K163">
        <v>6.723716381418058E-3</v>
      </c>
      <c r="L163">
        <v>1.5803336259877059E-2</v>
      </c>
      <c r="M163">
        <v>-2.47495580436063E-2</v>
      </c>
      <c r="N163">
        <v>-7.7015643802647318E-2</v>
      </c>
      <c r="O163">
        <v>1.4619883040935672E-2</v>
      </c>
      <c r="P163">
        <v>3.8342609771181306E-2</v>
      </c>
      <c r="Q163">
        <v>3.0574591460200379E-2</v>
      </c>
      <c r="R163">
        <v>-4.8795180722891532E-2</v>
      </c>
      <c r="S163">
        <v>-0.11918063314711352</v>
      </c>
      <c r="T163">
        <v>-5.9286146400484033E-2</v>
      </c>
      <c r="U163">
        <v>0.15970127818469057</v>
      </c>
      <c r="V163">
        <v>-2.9538461538461607E-2</v>
      </c>
      <c r="W163">
        <v>-5.9887710542732515E-2</v>
      </c>
      <c r="X163">
        <v>-5.223004694835684E-2</v>
      </c>
      <c r="Y163">
        <v>-4.8376830044557576E-2</v>
      </c>
      <c r="Z163">
        <v>-5.9116365899191045E-2</v>
      </c>
      <c r="AA163">
        <v>-4.1267942583731926E-2</v>
      </c>
      <c r="AB163">
        <v>-4.9875311720698964E-3</v>
      </c>
      <c r="AC163">
        <v>-4.7911547911547975E-2</v>
      </c>
      <c r="AD163">
        <v>-8.5784313725488816E-3</v>
      </c>
      <c r="AE163" t="s">
        <v>199</v>
      </c>
    </row>
    <row r="164" spans="1:31" hidden="1" x14ac:dyDescent="0.3">
      <c r="A164">
        <v>2021</v>
      </c>
      <c r="B164" t="s">
        <v>40</v>
      </c>
      <c r="C164" t="s">
        <v>34</v>
      </c>
      <c r="D164">
        <v>-1.8108651911468737E-2</v>
      </c>
      <c r="E164">
        <v>-1.9440493124703622E-2</v>
      </c>
      <c r="F164">
        <v>-1.5135135135135197E-2</v>
      </c>
      <c r="G164">
        <v>-4.4247787610618757E-3</v>
      </c>
      <c r="H164">
        <v>6.7409144196951931E-2</v>
      </c>
      <c r="I164">
        <v>-4.0959625511995321E-2</v>
      </c>
      <c r="J164">
        <v>-0.11909871244635202</v>
      </c>
      <c r="K164">
        <v>-4.2501517911353289E-3</v>
      </c>
      <c r="L164">
        <v>-1.0371650821089047E-2</v>
      </c>
      <c r="M164">
        <v>1.6918429003021217E-2</v>
      </c>
      <c r="N164">
        <v>4.8891786179921772E-2</v>
      </c>
      <c r="O164">
        <v>-7.4927953890490569E-3</v>
      </c>
      <c r="P164">
        <v>-2.3228111971411589E-2</v>
      </c>
      <c r="Q164">
        <v>-2.1994884910485991E-2</v>
      </c>
      <c r="R164">
        <v>3.1032298923369256E-2</v>
      </c>
      <c r="S164">
        <v>7.892882311486954E-2</v>
      </c>
      <c r="T164">
        <v>3.7942122186495217E-2</v>
      </c>
      <c r="U164">
        <v>0</v>
      </c>
      <c r="V164">
        <v>1.9023462270133167E-2</v>
      </c>
      <c r="W164">
        <v>3.3842070338420856E-2</v>
      </c>
      <c r="X164">
        <v>3.4055727554179564E-2</v>
      </c>
      <c r="Y164">
        <v>2.4080267558528389E-2</v>
      </c>
      <c r="Z164">
        <v>2.7116402116402268E-2</v>
      </c>
      <c r="AA164">
        <v>1.8091079226450261E-2</v>
      </c>
      <c r="AB164">
        <v>3.1328320802005015E-3</v>
      </c>
      <c r="AC164">
        <v>2.5806451612903226E-2</v>
      </c>
      <c r="AD164">
        <v>4.3263288009888047E-3</v>
      </c>
      <c r="AE164" t="s">
        <v>199</v>
      </c>
    </row>
    <row r="165" spans="1:31" hidden="1" x14ac:dyDescent="0.3">
      <c r="A165">
        <v>2021</v>
      </c>
      <c r="B165" t="s">
        <v>41</v>
      </c>
      <c r="C165" t="s">
        <v>30</v>
      </c>
      <c r="D165">
        <v>-1.0245901639344262E-2</v>
      </c>
      <c r="E165">
        <v>-2.1760154738878143E-2</v>
      </c>
      <c r="F165">
        <v>-3.128430296377601E-2</v>
      </c>
      <c r="G165">
        <v>0</v>
      </c>
      <c r="H165">
        <v>4.8325096101043449E-2</v>
      </c>
      <c r="I165">
        <v>-5.0030506406345432E-2</v>
      </c>
      <c r="J165">
        <v>-6.2728380024360431E-2</v>
      </c>
      <c r="K165">
        <v>-7.3170731707316384E-3</v>
      </c>
      <c r="L165">
        <v>6.1135371179039553E-3</v>
      </c>
      <c r="M165">
        <v>8.9126559714794995E-3</v>
      </c>
      <c r="N165">
        <v>4.164077066500925E-2</v>
      </c>
      <c r="O165">
        <v>-1.7421602787455457E-3</v>
      </c>
      <c r="P165">
        <v>-1.3414634146341394E-2</v>
      </c>
      <c r="Q165">
        <v>-5.2301255230125529E-3</v>
      </c>
      <c r="R165">
        <v>2.5798525798525727E-2</v>
      </c>
      <c r="S165">
        <v>6.205094709340301E-2</v>
      </c>
      <c r="T165">
        <v>3.035935563816608E-2</v>
      </c>
      <c r="U165">
        <v>-0.13770897832817344</v>
      </c>
      <c r="V165">
        <v>1.4934660858743036E-2</v>
      </c>
      <c r="W165">
        <v>3.2734274711168125E-2</v>
      </c>
      <c r="X165">
        <v>2.455089820359278E-2</v>
      </c>
      <c r="Y165">
        <v>3.0045721750489841E-2</v>
      </c>
      <c r="Z165">
        <v>3.7347070186735241E-2</v>
      </c>
      <c r="AA165">
        <v>2.6348039215686347E-2</v>
      </c>
      <c r="AB165">
        <v>1.2492192379763714E-3</v>
      </c>
      <c r="AC165">
        <v>2.7044025157232775E-2</v>
      </c>
      <c r="AD165">
        <v>6.769230769230734E-3</v>
      </c>
      <c r="AE165" t="s">
        <v>200</v>
      </c>
    </row>
    <row r="166" spans="1:31" hidden="1" x14ac:dyDescent="0.3">
      <c r="A166">
        <v>2021</v>
      </c>
      <c r="B166" t="s">
        <v>41</v>
      </c>
      <c r="C166" t="s">
        <v>33</v>
      </c>
      <c r="D166">
        <v>3.0365769496204318E-2</v>
      </c>
      <c r="E166">
        <v>2.5210084033613415E-2</v>
      </c>
      <c r="F166">
        <v>-1.3597733711048192E-2</v>
      </c>
      <c r="G166">
        <v>1.0793650793650722E-2</v>
      </c>
      <c r="H166">
        <v>-8.3289680460974361E-2</v>
      </c>
      <c r="I166">
        <v>3.5966602440591029E-2</v>
      </c>
      <c r="J166">
        <v>0.19103313840155947</v>
      </c>
      <c r="K166">
        <v>1.0442260442260373E-2</v>
      </c>
      <c r="L166">
        <v>4.5138888888888916E-2</v>
      </c>
      <c r="M166">
        <v>-2.1201413427561971E-2</v>
      </c>
      <c r="N166">
        <v>-7.6372315035799429E-2</v>
      </c>
      <c r="O166">
        <v>1.8615474112856245E-2</v>
      </c>
      <c r="P166">
        <v>3.3992583436341157E-2</v>
      </c>
      <c r="Q166">
        <v>3.3123028391167257E-2</v>
      </c>
      <c r="R166">
        <v>-4.3113772455089752E-2</v>
      </c>
      <c r="S166">
        <v>-0.11685116851168512</v>
      </c>
      <c r="T166">
        <v>-5.4119061936259767E-2</v>
      </c>
      <c r="U166">
        <v>0.16400976590550054</v>
      </c>
      <c r="V166">
        <v>-1.4714898835070545E-2</v>
      </c>
      <c r="W166">
        <v>-4.7855811062772015E-2</v>
      </c>
      <c r="X166">
        <v>-4.8509643483342975E-2</v>
      </c>
      <c r="Y166">
        <v>-4.6290424857323931E-2</v>
      </c>
      <c r="Z166">
        <v>-4.5934202358783399E-2</v>
      </c>
      <c r="AA166">
        <v>-4.2388059701492502E-2</v>
      </c>
      <c r="AB166">
        <v>-4.3668122270743423E-3</v>
      </c>
      <c r="AC166">
        <v>-4.4703000612369939E-2</v>
      </c>
      <c r="AD166">
        <v>-7.9462102689485514E-3</v>
      </c>
      <c r="AE166" t="s">
        <v>200</v>
      </c>
    </row>
    <row r="167" spans="1:31" hidden="1" x14ac:dyDescent="0.3">
      <c r="A167">
        <v>2021</v>
      </c>
      <c r="B167" t="s">
        <v>41</v>
      </c>
      <c r="C167" t="s">
        <v>34</v>
      </c>
      <c r="D167">
        <v>-1.808439383791036E-2</v>
      </c>
      <c r="E167">
        <v>-1.6393442622950848E-2</v>
      </c>
      <c r="F167">
        <v>-7.4669730040205799E-3</v>
      </c>
      <c r="G167">
        <v>-5.0251256281405969E-3</v>
      </c>
      <c r="H167">
        <v>7.4285714285714288E-2</v>
      </c>
      <c r="I167">
        <v>-2.7898326100433971E-2</v>
      </c>
      <c r="J167">
        <v>-0.11511183851609395</v>
      </c>
      <c r="K167">
        <v>-2.4316109422492745E-3</v>
      </c>
      <c r="L167">
        <v>-5.8139534883721164E-3</v>
      </c>
      <c r="M167">
        <v>1.5643802647412892E-2</v>
      </c>
      <c r="N167">
        <v>5.1033591731266002E-2</v>
      </c>
      <c r="O167">
        <v>-6.8532267275841731E-3</v>
      </c>
      <c r="P167">
        <v>-1.9725044829647407E-2</v>
      </c>
      <c r="Q167">
        <v>-2.2391857506361353E-2</v>
      </c>
      <c r="R167">
        <v>2.941176470588228E-2</v>
      </c>
      <c r="S167">
        <v>8.1476323119777275E-2</v>
      </c>
      <c r="T167">
        <v>3.7507946598855542E-2</v>
      </c>
      <c r="U167">
        <v>0</v>
      </c>
      <c r="V167">
        <v>1.1823273179838244E-2</v>
      </c>
      <c r="W167">
        <v>2.806788511749355E-2</v>
      </c>
      <c r="X167">
        <v>3.4398034398034363E-2</v>
      </c>
      <c r="Y167">
        <v>2.3936170212765919E-2</v>
      </c>
      <c r="Z167">
        <v>2.5374105400130163E-2</v>
      </c>
      <c r="AA167">
        <v>2.1197007481296794E-2</v>
      </c>
      <c r="AB167">
        <v>2.5062656641604369E-3</v>
      </c>
      <c r="AC167">
        <v>2.564102564102564E-2</v>
      </c>
      <c r="AD167">
        <v>5.5452865064693603E-3</v>
      </c>
      <c r="AE167" t="s">
        <v>200</v>
      </c>
    </row>
    <row r="168" spans="1:31" hidden="1" x14ac:dyDescent="0.3">
      <c r="A168">
        <v>2021</v>
      </c>
      <c r="B168" t="s">
        <v>42</v>
      </c>
      <c r="C168" t="s">
        <v>30</v>
      </c>
      <c r="D168">
        <v>-8.1855388813096095E-3</v>
      </c>
      <c r="E168">
        <v>-9.3137254901961061E-3</v>
      </c>
      <c r="F168">
        <v>-4.6296296296296953E-3</v>
      </c>
      <c r="G168">
        <v>-2.525252525252561E-3</v>
      </c>
      <c r="H168">
        <v>3.9893617021276598E-2</v>
      </c>
      <c r="I168">
        <v>-2.6147959183673613E-2</v>
      </c>
      <c r="J168">
        <v>-6.6584463625154036E-2</v>
      </c>
      <c r="K168">
        <v>-1.2187690432662317E-3</v>
      </c>
      <c r="L168">
        <v>-3.3416875522139155E-3</v>
      </c>
      <c r="M168">
        <v>7.7014218009477655E-3</v>
      </c>
      <c r="N168">
        <v>3.4419176398279183E-2</v>
      </c>
      <c r="O168">
        <v>-6.3254744105807606E-3</v>
      </c>
      <c r="P168">
        <v>-1.1585365853658571E-2</v>
      </c>
      <c r="Q168">
        <v>-8.3289953149401057E-3</v>
      </c>
      <c r="R168">
        <v>1.9452887537993853E-2</v>
      </c>
      <c r="S168">
        <v>5.3444945267224611E-2</v>
      </c>
      <c r="T168">
        <v>2.3897058823529448E-2</v>
      </c>
      <c r="U168">
        <v>-0.14090067859346087</v>
      </c>
      <c r="V168">
        <v>6.7650676506764724E-3</v>
      </c>
      <c r="W168">
        <v>2.4126984126984198E-2</v>
      </c>
      <c r="X168">
        <v>2.0783847980997625E-2</v>
      </c>
      <c r="Y168">
        <v>2.4675324675324749E-2</v>
      </c>
      <c r="Z168">
        <v>3.2360406091370524E-2</v>
      </c>
      <c r="AA168">
        <v>2.8693528693528623E-2</v>
      </c>
      <c r="AB168">
        <v>1.2499999999999289E-3</v>
      </c>
      <c r="AC168">
        <v>2.375000000000007E-2</v>
      </c>
      <c r="AD168">
        <v>4.9019607843137957E-3</v>
      </c>
      <c r="AE168" t="s">
        <v>201</v>
      </c>
    </row>
    <row r="169" spans="1:31" hidden="1" x14ac:dyDescent="0.3">
      <c r="A169">
        <v>2021</v>
      </c>
      <c r="B169" t="s">
        <v>42</v>
      </c>
      <c r="C169" t="s">
        <v>33</v>
      </c>
      <c r="D169">
        <v>2.6822558459422323E-2</v>
      </c>
      <c r="E169">
        <v>2.6224641266699711E-2</v>
      </c>
      <c r="F169">
        <v>1.2209302325581362E-2</v>
      </c>
      <c r="G169">
        <v>6.9620253164556604E-3</v>
      </c>
      <c r="H169">
        <v>-0.10485933503836317</v>
      </c>
      <c r="I169">
        <v>5.5664702030124434E-2</v>
      </c>
      <c r="J169">
        <v>0.21202113606340814</v>
      </c>
      <c r="K169">
        <v>3.6607687614398678E-3</v>
      </c>
      <c r="L169">
        <v>9.2204526404024191E-3</v>
      </c>
      <c r="M169">
        <v>-2.2927689594356294E-2</v>
      </c>
      <c r="N169">
        <v>-8.0213903743315509E-2</v>
      </c>
      <c r="O169">
        <v>1.3310185185185086E-2</v>
      </c>
      <c r="P169">
        <v>3.2078963602714478E-2</v>
      </c>
      <c r="Q169">
        <v>3.1496062992125984E-2</v>
      </c>
      <c r="R169">
        <v>-4.7107930828860931E-2</v>
      </c>
      <c r="S169">
        <v>-0.12224938875305624</v>
      </c>
      <c r="T169">
        <v>-5.8049072411729435E-2</v>
      </c>
      <c r="U169">
        <v>0.16400976590550054</v>
      </c>
      <c r="V169">
        <v>-1.7715332926084165E-2</v>
      </c>
      <c r="W169">
        <v>-4.9597024178549283E-2</v>
      </c>
      <c r="X169">
        <v>-5.2937754508435103E-2</v>
      </c>
      <c r="Y169">
        <v>-4.6261089987325796E-2</v>
      </c>
      <c r="Z169">
        <v>-5.4087277197295537E-2</v>
      </c>
      <c r="AA169">
        <v>-4.8664688427299638E-2</v>
      </c>
      <c r="AB169">
        <v>-3.74531835205989E-3</v>
      </c>
      <c r="AC169">
        <v>-4.7619047619047686E-2</v>
      </c>
      <c r="AD169">
        <v>-1.0365853658536517E-2</v>
      </c>
      <c r="AE169" t="s">
        <v>201</v>
      </c>
    </row>
    <row r="170" spans="1:31" hidden="1" x14ac:dyDescent="0.3">
      <c r="A170">
        <v>2021</v>
      </c>
      <c r="B170" t="s">
        <v>42</v>
      </c>
      <c r="C170" t="s">
        <v>34</v>
      </c>
      <c r="D170">
        <v>-1.808439383791036E-2</v>
      </c>
      <c r="E170">
        <v>-1.6393442622950848E-2</v>
      </c>
      <c r="F170">
        <v>-7.4669730040205799E-3</v>
      </c>
      <c r="G170">
        <v>-4.3997485857950264E-3</v>
      </c>
      <c r="H170">
        <v>7.4285714285714288E-2</v>
      </c>
      <c r="I170">
        <v>-2.7915632754342435E-2</v>
      </c>
      <c r="J170">
        <v>-0.1155313351498637</v>
      </c>
      <c r="K170">
        <v>-2.4316109422492745E-3</v>
      </c>
      <c r="L170">
        <v>-5.8139534883721164E-3</v>
      </c>
      <c r="M170">
        <v>1.5643802647412892E-2</v>
      </c>
      <c r="N170">
        <v>5.1033591731266002E-2</v>
      </c>
      <c r="O170">
        <v>-6.8532267275841731E-3</v>
      </c>
      <c r="P170">
        <v>-1.9725044829647407E-2</v>
      </c>
      <c r="Q170">
        <v>-2.2391857506361353E-2</v>
      </c>
      <c r="R170">
        <v>3.0037546933666975E-2</v>
      </c>
      <c r="S170">
        <v>8.1476323119777275E-2</v>
      </c>
      <c r="T170">
        <v>3.7484116899618843E-2</v>
      </c>
      <c r="U170">
        <v>0</v>
      </c>
      <c r="V170">
        <v>1.1194029850746162E-2</v>
      </c>
      <c r="W170">
        <v>2.7397260273972525E-2</v>
      </c>
      <c r="X170">
        <v>3.4398034398034363E-2</v>
      </c>
      <c r="Y170">
        <v>2.3255813953488372E-2</v>
      </c>
      <c r="Z170">
        <v>2.4691358024691246E-2</v>
      </c>
      <c r="AA170">
        <v>2.1210230817217575E-2</v>
      </c>
      <c r="AB170">
        <v>2.5062656641604369E-3</v>
      </c>
      <c r="AC170">
        <v>2.564102564102564E-2</v>
      </c>
      <c r="AD170">
        <v>5.5452865064693603E-3</v>
      </c>
      <c r="AE170" t="s">
        <v>201</v>
      </c>
    </row>
    <row r="171" spans="1:31" hidden="1" x14ac:dyDescent="0.3">
      <c r="A171">
        <v>2021</v>
      </c>
      <c r="B171" t="s">
        <v>43</v>
      </c>
      <c r="C171" t="s">
        <v>30</v>
      </c>
      <c r="D171">
        <v>-3.4106412005457027E-3</v>
      </c>
      <c r="E171">
        <v>-7.3529411764705881E-3</v>
      </c>
      <c r="F171">
        <v>-1.5625000000000097E-2</v>
      </c>
      <c r="G171">
        <v>0</v>
      </c>
      <c r="H171">
        <v>5.744680851063836E-2</v>
      </c>
      <c r="I171">
        <v>-2.6164645820038256E-2</v>
      </c>
      <c r="J171">
        <v>4.9907578558225467E-2</v>
      </c>
      <c r="K171">
        <v>6.7032297379646215E-3</v>
      </c>
      <c r="L171">
        <v>1.5873015873015803E-2</v>
      </c>
      <c r="M171">
        <v>1.0663507109004638E-2</v>
      </c>
      <c r="N171">
        <v>3.749231714812553E-2</v>
      </c>
      <c r="O171">
        <v>-1.7251293847039182E-3</v>
      </c>
      <c r="P171">
        <v>9.1463414634146336E-3</v>
      </c>
      <c r="Q171">
        <v>-4.6850598646538556E-3</v>
      </c>
      <c r="R171">
        <v>2.612393681652498E-2</v>
      </c>
      <c r="S171">
        <v>6.1171925305859624E-2</v>
      </c>
      <c r="T171">
        <v>3.0618493570116347E-2</v>
      </c>
      <c r="U171">
        <v>-0.14090067859346087</v>
      </c>
      <c r="V171">
        <v>1.7835178351783554E-2</v>
      </c>
      <c r="W171">
        <v>2.8571428571428571E-2</v>
      </c>
      <c r="X171">
        <v>2.4346793349168613E-2</v>
      </c>
      <c r="Y171">
        <v>3.5714285714285712E-2</v>
      </c>
      <c r="Z171">
        <v>3.4876347495244139E-2</v>
      </c>
      <c r="AA171">
        <v>3.237629810629207E-2</v>
      </c>
      <c r="AB171">
        <v>6.8749999999999645E-3</v>
      </c>
      <c r="AC171">
        <v>2.9374999999999929E-2</v>
      </c>
      <c r="AD171">
        <v>1.8995098039215827E-2</v>
      </c>
      <c r="AE171" t="s">
        <v>202</v>
      </c>
    </row>
    <row r="172" spans="1:31" hidden="1" x14ac:dyDescent="0.3">
      <c r="A172">
        <v>2021</v>
      </c>
      <c r="B172" t="s">
        <v>43</v>
      </c>
      <c r="C172" t="s">
        <v>33</v>
      </c>
      <c r="D172">
        <v>2.7378507871321015E-2</v>
      </c>
      <c r="E172">
        <v>2.913580246913583E-2</v>
      </c>
      <c r="F172">
        <v>1.7048794826572639E-2</v>
      </c>
      <c r="G172">
        <v>5.0505050505049425E-3</v>
      </c>
      <c r="H172">
        <v>-0.11167002012072443</v>
      </c>
      <c r="I172">
        <v>4.3905635648755027E-2</v>
      </c>
      <c r="J172">
        <v>0.25821596244131456</v>
      </c>
      <c r="K172">
        <v>6.0532687651345491E-4</v>
      </c>
      <c r="L172">
        <v>7.4013157894737315E-3</v>
      </c>
      <c r="M172">
        <v>-2.2274325908557931E-2</v>
      </c>
      <c r="N172">
        <v>-7.9383886255924199E-2</v>
      </c>
      <c r="O172">
        <v>1.3248847926267347E-2</v>
      </c>
      <c r="P172">
        <v>3.6253776435045321E-2</v>
      </c>
      <c r="Q172">
        <v>3.0334728033472865E-2</v>
      </c>
      <c r="R172">
        <v>-4.7957371225577229E-2</v>
      </c>
      <c r="S172">
        <v>-0.12378640776699032</v>
      </c>
      <c r="T172">
        <v>-5.9417706476530004E-2</v>
      </c>
      <c r="U172">
        <v>0.17478098520752552</v>
      </c>
      <c r="V172">
        <v>-1.9939577039274993E-2</v>
      </c>
      <c r="W172">
        <v>-4.7530864197530796E-2</v>
      </c>
      <c r="X172">
        <v>-5.2173913043478258E-2</v>
      </c>
      <c r="Y172">
        <v>-4.5768025078369974E-2</v>
      </c>
      <c r="Z172">
        <v>-4.963235294117644E-2</v>
      </c>
      <c r="AA172">
        <v>-5.1479289940828336E-2</v>
      </c>
      <c r="AB172">
        <v>-4.9658597144629606E-3</v>
      </c>
      <c r="AC172">
        <v>-4.6751669702489305E-2</v>
      </c>
      <c r="AD172">
        <v>-1.0222489476849169E-2</v>
      </c>
      <c r="AE172" t="s">
        <v>202</v>
      </c>
    </row>
    <row r="173" spans="1:31" hidden="1" x14ac:dyDescent="0.3">
      <c r="A173">
        <v>2021</v>
      </c>
      <c r="B173" t="s">
        <v>43</v>
      </c>
      <c r="C173" t="s">
        <v>34</v>
      </c>
      <c r="D173">
        <v>-1.7988007994670145E-2</v>
      </c>
      <c r="E173">
        <v>-1.8234165067178558E-2</v>
      </c>
      <c r="F173">
        <v>-1.0404624277456713E-2</v>
      </c>
      <c r="G173">
        <v>-3.1407035175879399E-3</v>
      </c>
      <c r="H173">
        <v>7.9275198187995471E-2</v>
      </c>
      <c r="I173">
        <v>-2.2598870056497317E-2</v>
      </c>
      <c r="J173">
        <v>-0.13572761194029848</v>
      </c>
      <c r="K173">
        <v>-6.0496067755609639E-4</v>
      </c>
      <c r="L173">
        <v>-4.8979591836734232E-3</v>
      </c>
      <c r="M173">
        <v>1.4988009592326138E-2</v>
      </c>
      <c r="N173">
        <v>5.0193050193050079E-2</v>
      </c>
      <c r="O173">
        <v>-6.8220579874929905E-3</v>
      </c>
      <c r="P173">
        <v>-2.2157434402332428E-2</v>
      </c>
      <c r="Q173">
        <v>-2.1827411167512748E-2</v>
      </c>
      <c r="R173">
        <v>3.0472636815920256E-2</v>
      </c>
      <c r="S173">
        <v>8.2409972299169007E-2</v>
      </c>
      <c r="T173">
        <v>3.7902716361339225E-2</v>
      </c>
      <c r="U173">
        <v>0</v>
      </c>
      <c r="V173">
        <v>1.2330456226880395E-2</v>
      </c>
      <c r="W173">
        <v>2.6571613739468529E-2</v>
      </c>
      <c r="X173">
        <v>3.4250764525993849E-2</v>
      </c>
      <c r="Y173">
        <v>2.2996057818659661E-2</v>
      </c>
      <c r="Z173">
        <v>2.2566086395873632E-2</v>
      </c>
      <c r="AA173">
        <v>2.2457891453524604E-2</v>
      </c>
      <c r="AB173">
        <v>3.1191515907673111E-3</v>
      </c>
      <c r="AC173">
        <v>2.5477707006369428E-2</v>
      </c>
      <c r="AD173">
        <v>5.4678007290401322E-3</v>
      </c>
      <c r="AE173" t="s">
        <v>202</v>
      </c>
    </row>
    <row r="174" spans="1:31" hidden="1" x14ac:dyDescent="0.3">
      <c r="A174">
        <v>2021</v>
      </c>
      <c r="B174" t="s">
        <v>45</v>
      </c>
      <c r="C174" t="s">
        <v>30</v>
      </c>
      <c r="D174">
        <v>-3.3921302578018993E-3</v>
      </c>
      <c r="E174">
        <v>-2.3460410557184667E-2</v>
      </c>
      <c r="F174">
        <v>1.7523364485981974E-3</v>
      </c>
      <c r="G174">
        <v>2.520478890989324E-3</v>
      </c>
      <c r="H174">
        <v>4.0923399790136469E-2</v>
      </c>
      <c r="I174">
        <v>-1.6056518946692359E-2</v>
      </c>
      <c r="J174">
        <v>-7.5553157042633871E-3</v>
      </c>
      <c r="K174">
        <v>1.2106537530267377E-3</v>
      </c>
      <c r="L174">
        <v>1.640689089417462E-3</v>
      </c>
      <c r="M174">
        <v>8.8600118133490835E-3</v>
      </c>
      <c r="N174">
        <v>3.6151960784313764E-2</v>
      </c>
      <c r="O174">
        <v>-2.2896393817972371E-3</v>
      </c>
      <c r="P174">
        <v>-1.1926058437685667E-3</v>
      </c>
      <c r="Q174">
        <v>-6.746237675142621E-3</v>
      </c>
      <c r="R174">
        <v>2.8364514182257196E-2</v>
      </c>
      <c r="S174">
        <v>6.2060140754958339E-2</v>
      </c>
      <c r="T174">
        <v>3.3475349969567858E-2</v>
      </c>
      <c r="U174">
        <v>-0.14877750611246945</v>
      </c>
      <c r="V174">
        <v>6.6991473812425262E-3</v>
      </c>
      <c r="W174">
        <v>2.8409090909090908E-2</v>
      </c>
      <c r="X174">
        <v>2.5428740390301664E-2</v>
      </c>
      <c r="Y174">
        <v>2.0552344251766327E-2</v>
      </c>
      <c r="Z174">
        <v>3.2786885245901745E-2</v>
      </c>
      <c r="AA174">
        <v>3.2946918852959153E-2</v>
      </c>
      <c r="AB174">
        <v>9.9502487562188689E-3</v>
      </c>
      <c r="AC174">
        <v>2.608695652173906E-2</v>
      </c>
      <c r="AD174">
        <v>1.2688821752265827E-2</v>
      </c>
      <c r="AE174" t="s">
        <v>203</v>
      </c>
    </row>
    <row r="175" spans="1:31" hidden="1" x14ac:dyDescent="0.3">
      <c r="A175">
        <v>2021</v>
      </c>
      <c r="B175" t="s">
        <v>45</v>
      </c>
      <c r="C175" t="s">
        <v>33</v>
      </c>
      <c r="D175">
        <v>2.7910142954390701E-2</v>
      </c>
      <c r="E175">
        <v>2.5525525525525495E-2</v>
      </c>
      <c r="F175">
        <v>2.2740524781341143E-2</v>
      </c>
      <c r="G175">
        <v>3.1426775612822125E-3</v>
      </c>
      <c r="H175">
        <v>-0.11391129032258061</v>
      </c>
      <c r="I175">
        <v>4.6344647519582401E-2</v>
      </c>
      <c r="J175">
        <v>0.24578575312669923</v>
      </c>
      <c r="K175">
        <v>-1.8137847642080494E-3</v>
      </c>
      <c r="L175">
        <v>8.1900081900081901E-3</v>
      </c>
      <c r="M175">
        <v>-2.1077283372365471E-2</v>
      </c>
      <c r="N175">
        <v>-7.6877587226493196E-2</v>
      </c>
      <c r="O175">
        <v>1.4343086632243257E-2</v>
      </c>
      <c r="P175">
        <v>3.5820895522388062E-2</v>
      </c>
      <c r="Q175">
        <v>2.9258098223615435E-2</v>
      </c>
      <c r="R175">
        <v>-4.7535211267605598E-2</v>
      </c>
      <c r="S175">
        <v>-0.12469879518072283</v>
      </c>
      <c r="T175">
        <v>-5.9481743227326397E-2</v>
      </c>
      <c r="U175">
        <v>0.17908947292833549</v>
      </c>
      <c r="V175">
        <v>-2.238354506957058E-2</v>
      </c>
      <c r="W175">
        <v>-4.7268262737876099E-2</v>
      </c>
      <c r="X175">
        <v>-5.3056516724336887E-2</v>
      </c>
      <c r="Y175">
        <v>-4.8458149779735789E-2</v>
      </c>
      <c r="Z175">
        <v>-4.3345543345543483E-2</v>
      </c>
      <c r="AA175">
        <v>-5.0206733608978142E-2</v>
      </c>
      <c r="AB175">
        <v>-3.694581280788142E-3</v>
      </c>
      <c r="AC175">
        <v>-4.7820823244551926E-2</v>
      </c>
      <c r="AD175">
        <v>-1.1933174224343675E-2</v>
      </c>
      <c r="AE175" t="s">
        <v>203</v>
      </c>
    </row>
    <row r="176" spans="1:31" hidden="1" x14ac:dyDescent="0.3">
      <c r="A176">
        <v>2021</v>
      </c>
      <c r="B176" t="s">
        <v>45</v>
      </c>
      <c r="C176" t="s">
        <v>34</v>
      </c>
      <c r="D176">
        <v>-1.8543046357615969E-2</v>
      </c>
      <c r="E176">
        <v>-1.6105417276720407E-2</v>
      </c>
      <c r="F176">
        <v>-1.3683010262257728E-2</v>
      </c>
      <c r="G176">
        <v>-1.879699248120194E-3</v>
      </c>
      <c r="H176">
        <v>8.1342434584755305E-2</v>
      </c>
      <c r="I176">
        <v>-2.3705552089831636E-2</v>
      </c>
      <c r="J176">
        <v>-0.13051069402007859</v>
      </c>
      <c r="K176">
        <v>1.2113870381587951E-3</v>
      </c>
      <c r="L176">
        <v>-5.6864337936635961E-3</v>
      </c>
      <c r="M176">
        <v>1.4354066985645968E-2</v>
      </c>
      <c r="N176">
        <v>4.8686739269698874E-2</v>
      </c>
      <c r="O176">
        <v>-7.3529411764706523E-3</v>
      </c>
      <c r="P176">
        <v>-2.1902017291066347E-2</v>
      </c>
      <c r="Q176">
        <v>-2.0812182741116722E-2</v>
      </c>
      <c r="R176">
        <v>3.0191004313000473E-2</v>
      </c>
      <c r="S176">
        <v>8.3275980729525079E-2</v>
      </c>
      <c r="T176">
        <v>3.8196618659987622E-2</v>
      </c>
      <c r="U176">
        <v>0</v>
      </c>
      <c r="V176">
        <v>1.4232673267326804E-2</v>
      </c>
      <c r="W176">
        <v>2.6417525773196025E-2</v>
      </c>
      <c r="X176">
        <v>3.4713763702801569E-2</v>
      </c>
      <c r="Y176">
        <v>2.3809523809523961E-2</v>
      </c>
      <c r="Z176">
        <v>1.978302488832178E-2</v>
      </c>
      <c r="AA176">
        <v>2.1766169154228854E-2</v>
      </c>
      <c r="AB176">
        <v>2.4721878862792165E-3</v>
      </c>
      <c r="AC176">
        <v>2.6064844246662392E-2</v>
      </c>
      <c r="AD176">
        <v>6.6425120772946522E-3</v>
      </c>
      <c r="AE176" t="s">
        <v>203</v>
      </c>
    </row>
    <row r="177" spans="1:31" hidden="1" x14ac:dyDescent="0.3">
      <c r="A177">
        <v>2021</v>
      </c>
      <c r="B177" t="s">
        <v>46</v>
      </c>
      <c r="C177" t="s">
        <v>30</v>
      </c>
      <c r="D177">
        <v>-5.3981106612684413E-3</v>
      </c>
      <c r="E177">
        <v>-2.2817460317460288E-2</v>
      </c>
      <c r="F177">
        <v>2.023121387283237E-2</v>
      </c>
      <c r="G177">
        <v>3.1387319522912741E-3</v>
      </c>
      <c r="H177">
        <v>2.9984218832193672E-2</v>
      </c>
      <c r="I177">
        <v>-2.8753993610223641E-2</v>
      </c>
      <c r="J177">
        <v>-0.13504016064257018</v>
      </c>
      <c r="K177">
        <v>-4.8396854204477389E-3</v>
      </c>
      <c r="L177">
        <v>-1.4705882352941268E-2</v>
      </c>
      <c r="M177">
        <v>1.2382075471698081E-2</v>
      </c>
      <c r="N177">
        <v>3.6652412950519242E-2</v>
      </c>
      <c r="O177">
        <v>-2.2792022792023116E-3</v>
      </c>
      <c r="P177">
        <v>-2.2981732469062922E-2</v>
      </c>
      <c r="Q177">
        <v>-1.0886469673405881E-2</v>
      </c>
      <c r="R177">
        <v>2.7511961722488175E-2</v>
      </c>
      <c r="S177">
        <v>6.28970775095299E-2</v>
      </c>
      <c r="T177">
        <v>3.2569360675512526E-2</v>
      </c>
      <c r="U177">
        <v>-0.15188794153471377</v>
      </c>
      <c r="V177">
        <v>1.0372178157412986E-2</v>
      </c>
      <c r="W177">
        <v>2.8876333961079685E-2</v>
      </c>
      <c r="X177">
        <v>2.4131842260152997E-2</v>
      </c>
      <c r="Y177">
        <v>3.4237726098191104E-2</v>
      </c>
      <c r="Z177">
        <v>2.941176470588228E-2</v>
      </c>
      <c r="AA177">
        <v>3.2866707242848306E-2</v>
      </c>
      <c r="AB177">
        <v>3.6991368680642589E-3</v>
      </c>
      <c r="AC177">
        <v>2.8500619578686458E-2</v>
      </c>
      <c r="AD177">
        <v>1.7996400719856713E-3</v>
      </c>
      <c r="AE177" t="s">
        <v>204</v>
      </c>
    </row>
    <row r="178" spans="1:31" hidden="1" x14ac:dyDescent="0.3">
      <c r="A178">
        <v>2021</v>
      </c>
      <c r="B178" t="s">
        <v>46</v>
      </c>
      <c r="C178" t="s">
        <v>33</v>
      </c>
      <c r="D178">
        <v>2.8493894165535879E-2</v>
      </c>
      <c r="E178">
        <v>2.6395939086294357E-2</v>
      </c>
      <c r="F178">
        <v>1.9830028328611898E-2</v>
      </c>
      <c r="G178">
        <v>1.2515644555693905E-3</v>
      </c>
      <c r="H178">
        <v>-0.11389172625127686</v>
      </c>
      <c r="I178">
        <v>4.1447368421052705E-2</v>
      </c>
      <c r="J178">
        <v>0.27394080092861278</v>
      </c>
      <c r="K178">
        <v>-1.8237082066869992E-3</v>
      </c>
      <c r="L178">
        <v>1.0779436152570576E-2</v>
      </c>
      <c r="M178">
        <v>-2.0384391380314504E-2</v>
      </c>
      <c r="N178">
        <v>-7.7784325279905656E-2</v>
      </c>
      <c r="O178">
        <v>1.7704169046259249E-2</v>
      </c>
      <c r="P178">
        <v>3.8600723763570426E-2</v>
      </c>
      <c r="Q178">
        <v>3.1446540880503145E-2</v>
      </c>
      <c r="R178">
        <v>-4.9476135040745051E-2</v>
      </c>
      <c r="S178">
        <v>-0.12313209802749564</v>
      </c>
      <c r="T178">
        <v>-6.1331775700934586E-2</v>
      </c>
      <c r="U178">
        <v>0.17334482263392229</v>
      </c>
      <c r="V178">
        <v>-2.3550724637681195E-2</v>
      </c>
      <c r="W178">
        <v>-4.8200122025625416E-2</v>
      </c>
      <c r="X178">
        <v>-5.1149425287356352E-2</v>
      </c>
      <c r="Y178">
        <v>-5.1842598376014883E-2</v>
      </c>
      <c r="Z178">
        <v>-4.194528875379943E-2</v>
      </c>
      <c r="AA178">
        <v>-5.362404242781376E-2</v>
      </c>
      <c r="AB178">
        <v>-2.4570024570024916E-3</v>
      </c>
      <c r="AC178">
        <v>-4.9397590361445712E-2</v>
      </c>
      <c r="AD178">
        <v>-1.0778443113772523E-2</v>
      </c>
      <c r="AE178" t="s">
        <v>204</v>
      </c>
    </row>
    <row r="179" spans="1:31" hidden="1" x14ac:dyDescent="0.3">
      <c r="A179">
        <v>2021</v>
      </c>
      <c r="B179" t="s">
        <v>46</v>
      </c>
      <c r="C179" t="s">
        <v>34</v>
      </c>
      <c r="D179">
        <v>-1.9129287598944628E-2</v>
      </c>
      <c r="E179">
        <v>-1.6815034619188811E-2</v>
      </c>
      <c r="F179">
        <v>-1.1666666666666634E-2</v>
      </c>
      <c r="G179">
        <v>-6.2499999999996445E-4</v>
      </c>
      <c r="H179">
        <v>8.126801152737749E-2</v>
      </c>
      <c r="I179">
        <v>-2.1478205938092264E-2</v>
      </c>
      <c r="J179">
        <v>-0.14214123006833707</v>
      </c>
      <c r="K179">
        <v>1.218026796589629E-3</v>
      </c>
      <c r="L179">
        <v>-7.3831009023790457E-3</v>
      </c>
      <c r="M179">
        <v>1.3674197384066656E-2</v>
      </c>
      <c r="N179">
        <v>4.9201277955271495E-2</v>
      </c>
      <c r="O179">
        <v>-9.539842873176144E-3</v>
      </c>
      <c r="P179">
        <v>-2.3228803716608595E-2</v>
      </c>
      <c r="Q179">
        <v>-2.23577235772358E-2</v>
      </c>
      <c r="R179">
        <v>3.1843233312920931E-2</v>
      </c>
      <c r="S179">
        <v>8.1799591002044994E-2</v>
      </c>
      <c r="T179">
        <v>3.9203484754200449E-2</v>
      </c>
      <c r="U179">
        <v>0</v>
      </c>
      <c r="V179">
        <v>1.4842300556586308E-2</v>
      </c>
      <c r="W179">
        <v>2.6923076923076852E-2</v>
      </c>
      <c r="X179">
        <v>3.3313143549364023E-2</v>
      </c>
      <c r="Y179">
        <v>2.5691699604742931E-2</v>
      </c>
      <c r="Z179">
        <v>1.9035532994923859E-2</v>
      </c>
      <c r="AA179">
        <v>2.3661270236612773E-2</v>
      </c>
      <c r="AB179">
        <v>1.2315270935959891E-3</v>
      </c>
      <c r="AC179">
        <v>2.6615969581748975E-2</v>
      </c>
      <c r="AD179">
        <v>6.0532687651331726E-3</v>
      </c>
      <c r="AE179" t="s">
        <v>204</v>
      </c>
    </row>
    <row r="180" spans="1:31" hidden="1" x14ac:dyDescent="0.3">
      <c r="A180">
        <v>2022</v>
      </c>
      <c r="B180" t="s">
        <v>31</v>
      </c>
      <c r="C180" t="s">
        <v>30</v>
      </c>
      <c r="D180">
        <v>-2.6899798251511587E-3</v>
      </c>
      <c r="E180">
        <v>-9.5573440643863458E-3</v>
      </c>
      <c r="F180">
        <v>5.6211354693644919E-4</v>
      </c>
      <c r="G180">
        <v>3.7523452157598143E-3</v>
      </c>
      <c r="H180">
        <v>2.6652452025586356E-2</v>
      </c>
      <c r="I180">
        <v>-2.3886378308586295E-2</v>
      </c>
      <c r="J180">
        <v>-0.15454062665958587</v>
      </c>
      <c r="K180">
        <v>-2.4330900243309346E-3</v>
      </c>
      <c r="L180">
        <v>-1.4049586776859527E-2</v>
      </c>
      <c r="M180">
        <v>1.6422287390029391E-2</v>
      </c>
      <c r="N180">
        <v>3.410475030450684E-2</v>
      </c>
      <c r="O180">
        <v>-3.9660056657223148E-3</v>
      </c>
      <c r="P180">
        <v>-2.4375743162901274E-2</v>
      </c>
      <c r="Q180">
        <v>-8.8357588357589247E-3</v>
      </c>
      <c r="R180">
        <v>2.7893175074183908E-2</v>
      </c>
      <c r="S180">
        <v>6.6792690611216274E-2</v>
      </c>
      <c r="T180">
        <v>3.4131736526946038E-2</v>
      </c>
      <c r="U180">
        <v>-0.14773561811505517</v>
      </c>
      <c r="V180">
        <v>1.0359536867763664E-2</v>
      </c>
      <c r="W180">
        <v>2.933832709113619E-2</v>
      </c>
      <c r="X180">
        <v>2.4032825322391527E-2</v>
      </c>
      <c r="Y180">
        <v>3.2755298651252554E-2</v>
      </c>
      <c r="Z180">
        <v>2.6774595267746025E-2</v>
      </c>
      <c r="AA180">
        <v>3.3454987834549879E-2</v>
      </c>
      <c r="AB180">
        <v>3.6900369003689689E-3</v>
      </c>
      <c r="AC180">
        <v>2.8395061728395028E-2</v>
      </c>
      <c r="AD180">
        <v>1.2033694344164684E-3</v>
      </c>
      <c r="AE180" t="s">
        <v>205</v>
      </c>
    </row>
    <row r="181" spans="1:31" hidden="1" x14ac:dyDescent="0.3">
      <c r="A181">
        <v>2022</v>
      </c>
      <c r="B181" t="s">
        <v>31</v>
      </c>
      <c r="C181" t="s">
        <v>33</v>
      </c>
      <c r="D181">
        <v>2.6298044504382851E-2</v>
      </c>
      <c r="E181">
        <v>2.6409344845098978E-2</v>
      </c>
      <c r="F181">
        <v>1.1797752808988732E-2</v>
      </c>
      <c r="G181">
        <v>-6.230529595015222E-4</v>
      </c>
      <c r="H181">
        <v>-0.11214953271028034</v>
      </c>
      <c r="I181">
        <v>3.5052910052910127E-2</v>
      </c>
      <c r="J181">
        <v>0.27889447236180909</v>
      </c>
      <c r="K181">
        <v>-1.2195121951218818E-3</v>
      </c>
      <c r="L181">
        <v>1.6764459346186086E-2</v>
      </c>
      <c r="M181">
        <v>-2.0196191575302943E-2</v>
      </c>
      <c r="N181">
        <v>-7.7738515901060165E-2</v>
      </c>
      <c r="O181">
        <v>1.8202502844141003E-2</v>
      </c>
      <c r="P181">
        <v>3.7781840341255438E-2</v>
      </c>
      <c r="Q181">
        <v>2.9889879391714825E-2</v>
      </c>
      <c r="R181">
        <v>-4.9076212471131642E-2</v>
      </c>
      <c r="S181">
        <v>-0.12285883047844069</v>
      </c>
      <c r="T181">
        <v>-6.0799073537927045E-2</v>
      </c>
      <c r="U181">
        <v>0.18124371678874057</v>
      </c>
      <c r="V181">
        <v>-2.5331724969843285E-2</v>
      </c>
      <c r="W181">
        <v>-4.9120679199514822E-2</v>
      </c>
      <c r="X181">
        <v>-4.9227246708643362E-2</v>
      </c>
      <c r="Y181">
        <v>-5.0373134328358347E-2</v>
      </c>
      <c r="Z181">
        <v>-3.9417828987265008E-2</v>
      </c>
      <c r="AA181">
        <v>-5.2383755150088321E-2</v>
      </c>
      <c r="AB181">
        <v>-2.4509803921567235E-3</v>
      </c>
      <c r="AC181">
        <v>-4.8019207683073231E-2</v>
      </c>
      <c r="AD181">
        <v>-8.4134615384615728E-3</v>
      </c>
      <c r="AE181" t="s">
        <v>205</v>
      </c>
    </row>
    <row r="182" spans="1:31" hidden="1" x14ac:dyDescent="0.3">
      <c r="A182">
        <v>2022</v>
      </c>
      <c r="B182" t="s">
        <v>31</v>
      </c>
      <c r="C182" t="s">
        <v>34</v>
      </c>
      <c r="D182">
        <v>-1.7739816031537379E-2</v>
      </c>
      <c r="E182">
        <v>-1.6823354774863956E-2</v>
      </c>
      <c r="F182">
        <v>-7.2182121043863571E-3</v>
      </c>
      <c r="G182">
        <v>6.2344139650869271E-4</v>
      </c>
      <c r="H182">
        <v>8.011695906432742E-2</v>
      </c>
      <c r="I182">
        <v>-1.7891373801917007E-2</v>
      </c>
      <c r="J182">
        <v>-0.14390962671905688</v>
      </c>
      <c r="K182">
        <v>6.1050061050057581E-4</v>
      </c>
      <c r="L182">
        <v>-1.0717230008244E-2</v>
      </c>
      <c r="M182">
        <v>1.354534746760885E-2</v>
      </c>
      <c r="N182">
        <v>4.9169859514687213E-2</v>
      </c>
      <c r="O182">
        <v>-9.4972067039105507E-3</v>
      </c>
      <c r="P182">
        <v>-2.2900763358778657E-2</v>
      </c>
      <c r="Q182">
        <v>-2.1384928716904363E-2</v>
      </c>
      <c r="R182">
        <v>3.15725561627202E-2</v>
      </c>
      <c r="S182">
        <v>8.2154882154882078E-2</v>
      </c>
      <c r="T182">
        <v>3.8840937114673318E-2</v>
      </c>
      <c r="U182">
        <v>0</v>
      </c>
      <c r="V182">
        <v>1.6089108910891055E-2</v>
      </c>
      <c r="W182">
        <v>2.742346938775499E-2</v>
      </c>
      <c r="X182">
        <v>3.1908488862131316E-2</v>
      </c>
      <c r="Y182">
        <v>2.4885396201702763E-2</v>
      </c>
      <c r="Z182">
        <v>1.7676767676767569E-2</v>
      </c>
      <c r="AA182">
        <v>2.2981366459627259E-2</v>
      </c>
      <c r="AB182">
        <v>1.2285012285011586E-3</v>
      </c>
      <c r="AC182">
        <v>2.5851197982345489E-2</v>
      </c>
      <c r="AD182">
        <v>4.2424242424241735E-3</v>
      </c>
      <c r="AE182" t="s">
        <v>205</v>
      </c>
    </row>
    <row r="183" spans="1:31" hidden="1" x14ac:dyDescent="0.3">
      <c r="A183">
        <v>2022</v>
      </c>
      <c r="B183" t="s">
        <v>35</v>
      </c>
      <c r="C183" t="s">
        <v>30</v>
      </c>
      <c r="D183">
        <v>-4.682274247491563E-3</v>
      </c>
      <c r="E183">
        <v>-3.0196275792651957E-3</v>
      </c>
      <c r="F183">
        <v>-1.8456375838926238E-2</v>
      </c>
      <c r="G183">
        <v>1.2461059190030444E-3</v>
      </c>
      <c r="H183">
        <v>4.2772062804547949E-2</v>
      </c>
      <c r="I183">
        <v>-1.4964216005204835E-2</v>
      </c>
      <c r="J183">
        <v>-0.10958118187033862</v>
      </c>
      <c r="K183">
        <v>0</v>
      </c>
      <c r="L183">
        <v>-1.583333333333338E-2</v>
      </c>
      <c r="M183">
        <v>1.9174898314933245E-2</v>
      </c>
      <c r="N183">
        <v>3.7735849056603703E-2</v>
      </c>
      <c r="O183">
        <v>-5.6401579244218835E-3</v>
      </c>
      <c r="P183">
        <v>-1.502403846153846E-2</v>
      </c>
      <c r="Q183">
        <v>-3.6420395421435416E-3</v>
      </c>
      <c r="R183">
        <v>2.4720423778693282E-2</v>
      </c>
      <c r="S183">
        <v>6.4094586185438784E-2</v>
      </c>
      <c r="T183">
        <v>3.0860534124629014E-2</v>
      </c>
      <c r="U183">
        <v>-0.15343465045592711</v>
      </c>
      <c r="V183">
        <v>1.9488428745432506E-2</v>
      </c>
      <c r="W183">
        <v>2.8553693358162598E-2</v>
      </c>
      <c r="X183">
        <v>2.2753792298716484E-2</v>
      </c>
      <c r="Y183">
        <v>3.0031948881789065E-2</v>
      </c>
      <c r="Z183">
        <v>2.6674937965260617E-2</v>
      </c>
      <c r="AA183">
        <v>3.4001214329083325E-2</v>
      </c>
      <c r="AB183">
        <v>9.202453987730062E-3</v>
      </c>
      <c r="AC183">
        <v>2.8272894898586497E-2</v>
      </c>
      <c r="AD183">
        <v>6.0350030175015095E-3</v>
      </c>
      <c r="AE183" t="s">
        <v>206</v>
      </c>
    </row>
    <row r="184" spans="1:31" hidden="1" x14ac:dyDescent="0.3">
      <c r="A184">
        <v>2022</v>
      </c>
      <c r="B184" t="s">
        <v>35</v>
      </c>
      <c r="C184" t="s">
        <v>33</v>
      </c>
      <c r="D184">
        <v>2.4865591397849385E-2</v>
      </c>
      <c r="E184">
        <v>3.5840484603735456E-2</v>
      </c>
      <c r="F184">
        <v>5.1282051282051603E-3</v>
      </c>
      <c r="G184">
        <v>-6.2227753578092296E-4</v>
      </c>
      <c r="H184">
        <v>-0.1095534787123572</v>
      </c>
      <c r="I184">
        <v>3.3025099075297222E-2</v>
      </c>
      <c r="J184">
        <v>0.27577319587628873</v>
      </c>
      <c r="K184">
        <v>-4.2708968883466564E-3</v>
      </c>
      <c r="L184">
        <v>2.1168501270110076E-2</v>
      </c>
      <c r="M184">
        <v>-1.824401368301036E-2</v>
      </c>
      <c r="N184">
        <v>-8.0938416422287454E-2</v>
      </c>
      <c r="O184">
        <v>2.0986954055587002E-2</v>
      </c>
      <c r="P184">
        <v>3.8438071995118867E-2</v>
      </c>
      <c r="Q184">
        <v>2.6109660574412531E-2</v>
      </c>
      <c r="R184">
        <v>-4.824813325674903E-2</v>
      </c>
      <c r="S184">
        <v>-0.1204678362573099</v>
      </c>
      <c r="T184">
        <v>-5.9297639608520344E-2</v>
      </c>
      <c r="U184">
        <v>0.18842452965675721</v>
      </c>
      <c r="V184">
        <v>-2.6284348864994058E-2</v>
      </c>
      <c r="W184">
        <v>-5.0090525045262423E-2</v>
      </c>
      <c r="X184">
        <v>-4.6206503137478733E-2</v>
      </c>
      <c r="Y184">
        <v>-5.0248138957816345E-2</v>
      </c>
      <c r="Z184">
        <v>-3.6253776435045321E-2</v>
      </c>
      <c r="AA184">
        <v>-4.8737522019964834E-2</v>
      </c>
      <c r="AB184">
        <v>-1.8237082066869992E-3</v>
      </c>
      <c r="AC184">
        <v>-4.7220561864913357E-2</v>
      </c>
      <c r="AD184">
        <v>-7.1985602879423441E-3</v>
      </c>
      <c r="AE184" t="s">
        <v>206</v>
      </c>
    </row>
    <row r="185" spans="1:31" hidden="1" x14ac:dyDescent="0.3">
      <c r="A185">
        <v>2022</v>
      </c>
      <c r="B185" t="s">
        <v>35</v>
      </c>
      <c r="C185" t="s">
        <v>34</v>
      </c>
      <c r="D185">
        <v>-1.6393442622950821E-2</v>
      </c>
      <c r="E185">
        <v>-2.2417153996101339E-2</v>
      </c>
      <c r="F185">
        <v>-3.4013605442176549E-3</v>
      </c>
      <c r="G185">
        <v>6.2266500622661471E-4</v>
      </c>
      <c r="H185">
        <v>7.8134110787172043E-2</v>
      </c>
      <c r="I185">
        <v>-1.7263427109974534E-2</v>
      </c>
      <c r="J185">
        <v>-0.14292929292929299</v>
      </c>
      <c r="K185">
        <v>3.0637254901960788E-3</v>
      </c>
      <c r="L185">
        <v>-1.4096185737976689E-2</v>
      </c>
      <c r="M185">
        <v>1.2195121951219644E-2</v>
      </c>
      <c r="N185">
        <v>5.105296745373325E-2</v>
      </c>
      <c r="O185">
        <v>-1.1111111111111112E-2</v>
      </c>
      <c r="P185">
        <v>-2.3501762632197415E-2</v>
      </c>
      <c r="Q185">
        <v>-1.8829516539440146E-2</v>
      </c>
      <c r="R185">
        <v>3.0778515389257834E-2</v>
      </c>
      <c r="S185">
        <v>7.9787234042553182E-2</v>
      </c>
      <c r="T185">
        <v>3.7943696450428326E-2</v>
      </c>
      <c r="U185">
        <v>0</v>
      </c>
      <c r="V185">
        <v>1.6564417177914039E-2</v>
      </c>
      <c r="W185">
        <v>2.7954256670902195E-2</v>
      </c>
      <c r="X185">
        <v>2.9904306220095697E-2</v>
      </c>
      <c r="Y185">
        <v>2.4820378837361278E-2</v>
      </c>
      <c r="Z185">
        <v>1.6300940438871439E-2</v>
      </c>
      <c r="AA185">
        <v>2.0987654320987689E-2</v>
      </c>
      <c r="AB185">
        <v>1.218026796589629E-3</v>
      </c>
      <c r="AC185">
        <v>2.5721455457967342E-2</v>
      </c>
      <c r="AD185">
        <v>3.6253776435044975E-3</v>
      </c>
      <c r="AE185" t="s">
        <v>206</v>
      </c>
    </row>
    <row r="186" spans="1:31" hidden="1" x14ac:dyDescent="0.3">
      <c r="A186">
        <v>2022</v>
      </c>
      <c r="B186" t="s">
        <v>36</v>
      </c>
      <c r="C186" t="s">
        <v>30</v>
      </c>
      <c r="D186">
        <v>1.3333333333332576E-3</v>
      </c>
      <c r="E186">
        <v>3.6889332003988064E-2</v>
      </c>
      <c r="F186">
        <v>-4.4937428896473293E-2</v>
      </c>
      <c r="G186">
        <v>8.0896079651525295E-3</v>
      </c>
      <c r="H186">
        <v>9.843158464034607E-2</v>
      </c>
      <c r="I186">
        <v>1.4313597918022234E-2</v>
      </c>
      <c r="J186">
        <v>-8.1909251620506648E-2</v>
      </c>
      <c r="K186">
        <v>3.0543677458766036E-3</v>
      </c>
      <c r="L186">
        <v>-6.7283431455005156E-3</v>
      </c>
      <c r="M186">
        <v>2.5243832472748005E-2</v>
      </c>
      <c r="N186">
        <v>3.9465695203400125E-2</v>
      </c>
      <c r="O186">
        <v>-3.3707865168539006E-3</v>
      </c>
      <c r="P186">
        <v>2.406738868832766E-3</v>
      </c>
      <c r="Q186">
        <v>-2.5933609958506223E-3</v>
      </c>
      <c r="R186">
        <v>2.6932084309133453E-2</v>
      </c>
      <c r="S186">
        <v>6.6502463054187083E-2</v>
      </c>
      <c r="T186">
        <v>3.2429245283018868E-2</v>
      </c>
      <c r="U186">
        <v>-0.15854984894259824</v>
      </c>
      <c r="V186">
        <v>1.9312009656004932E-2</v>
      </c>
      <c r="W186">
        <v>2.9048207663782376E-2</v>
      </c>
      <c r="X186">
        <v>2.2067363530778233E-2</v>
      </c>
      <c r="Y186">
        <v>3.2504780114722714E-2</v>
      </c>
      <c r="Z186">
        <v>2.7760641579272057E-2</v>
      </c>
      <c r="AA186">
        <v>3.1438935912938261E-2</v>
      </c>
      <c r="AB186">
        <v>1.824817518248175E-2</v>
      </c>
      <c r="AC186">
        <v>2.9357798165137686E-2</v>
      </c>
      <c r="AD186">
        <v>1.5653220951234163E-2</v>
      </c>
      <c r="AE186" t="s">
        <v>207</v>
      </c>
    </row>
    <row r="187" spans="1:31" hidden="1" x14ac:dyDescent="0.3">
      <c r="A187">
        <v>2022</v>
      </c>
      <c r="B187" t="s">
        <v>36</v>
      </c>
      <c r="C187" t="s">
        <v>33</v>
      </c>
      <c r="D187">
        <v>2.3302263648468709E-2</v>
      </c>
      <c r="E187">
        <v>3.7500000000000054E-2</v>
      </c>
      <c r="F187">
        <v>-1.1911852293032582E-3</v>
      </c>
      <c r="G187">
        <v>3.7037037037036687E-3</v>
      </c>
      <c r="H187">
        <v>-0.11373707533234857</v>
      </c>
      <c r="I187">
        <v>2.3733162283514998E-2</v>
      </c>
      <c r="J187">
        <v>0.20924261874197683</v>
      </c>
      <c r="K187">
        <v>-4.8721071863579964E-3</v>
      </c>
      <c r="L187">
        <v>1.862828111769689E-2</v>
      </c>
      <c r="M187">
        <v>-2.2383883603805263E-2</v>
      </c>
      <c r="N187">
        <v>-8.2359813084112124E-2</v>
      </c>
      <c r="O187">
        <v>2.3111612175873698E-2</v>
      </c>
      <c r="P187">
        <v>2.9411764705882387E-2</v>
      </c>
      <c r="Q187">
        <v>2.7041081643265671E-2</v>
      </c>
      <c r="R187">
        <v>-4.7320410490307933E-2</v>
      </c>
      <c r="S187">
        <v>-0.11893764434180136</v>
      </c>
      <c r="T187">
        <v>-5.8252427184465959E-2</v>
      </c>
      <c r="U187">
        <v>0.18698836708315397</v>
      </c>
      <c r="V187">
        <v>-2.6050917702782745E-2</v>
      </c>
      <c r="W187">
        <v>-4.7447447447447479E-2</v>
      </c>
      <c r="X187">
        <v>-4.4318181818181882E-2</v>
      </c>
      <c r="Y187">
        <v>-4.8148148148148218E-2</v>
      </c>
      <c r="Z187">
        <v>-3.4813925570227992E-2</v>
      </c>
      <c r="AA187">
        <v>-4.6307151230949625E-2</v>
      </c>
      <c r="AB187">
        <v>-3.5842293906809693E-3</v>
      </c>
      <c r="AC187">
        <v>-4.5751633986928206E-2</v>
      </c>
      <c r="AD187">
        <v>-1.304090100770592E-2</v>
      </c>
      <c r="AE187" t="s">
        <v>207</v>
      </c>
    </row>
    <row r="188" spans="1:31" hidden="1" x14ac:dyDescent="0.3">
      <c r="A188">
        <v>2022</v>
      </c>
      <c r="B188" t="s">
        <v>36</v>
      </c>
      <c r="C188" t="s">
        <v>34</v>
      </c>
      <c r="D188">
        <v>-1.5614834092387621E-2</v>
      </c>
      <c r="E188">
        <v>-2.3632993512511687E-2</v>
      </c>
      <c r="F188">
        <v>5.9630292188445283E-4</v>
      </c>
      <c r="G188">
        <v>-2.4600246002460377E-3</v>
      </c>
      <c r="H188">
        <v>8.1111111111111078E-2</v>
      </c>
      <c r="I188">
        <v>-1.2531328320802006E-2</v>
      </c>
      <c r="J188">
        <v>-0.11411889596602973</v>
      </c>
      <c r="K188">
        <v>3.0599755201958382E-3</v>
      </c>
      <c r="L188">
        <v>-1.2468827930174564E-2</v>
      </c>
      <c r="M188">
        <v>1.5455065827132325E-2</v>
      </c>
      <c r="N188">
        <v>5.2196053469128055E-2</v>
      </c>
      <c r="O188">
        <v>-1.2121212121212059E-2</v>
      </c>
      <c r="P188">
        <v>-1.8075801749271102E-2</v>
      </c>
      <c r="Q188">
        <v>-1.924050632911398E-2</v>
      </c>
      <c r="R188">
        <v>2.9922202274087373E-2</v>
      </c>
      <c r="S188">
        <v>7.8636959370904327E-2</v>
      </c>
      <c r="T188">
        <v>3.7598544572468091E-2</v>
      </c>
      <c r="U188">
        <v>0</v>
      </c>
      <c r="V188">
        <v>1.6413373860182302E-2</v>
      </c>
      <c r="W188">
        <v>2.6481715006305279E-2</v>
      </c>
      <c r="X188">
        <v>2.8537455410225992E-2</v>
      </c>
      <c r="Y188">
        <v>2.3994811932555236E-2</v>
      </c>
      <c r="Z188">
        <v>1.5547263681592038E-2</v>
      </c>
      <c r="AA188">
        <v>2.0282728948985935E-2</v>
      </c>
      <c r="AB188">
        <v>2.3980815347720459E-3</v>
      </c>
      <c r="AC188">
        <v>2.4906600249066005E-2</v>
      </c>
      <c r="AD188">
        <v>7.2072072072071388E-3</v>
      </c>
      <c r="AE188" t="s">
        <v>207</v>
      </c>
    </row>
    <row r="189" spans="1:31" hidden="1" x14ac:dyDescent="0.3">
      <c r="A189">
        <v>2022</v>
      </c>
      <c r="B189" t="s">
        <v>37</v>
      </c>
      <c r="C189" t="s">
        <v>30</v>
      </c>
      <c r="D189">
        <v>3.3046926635822865E-3</v>
      </c>
      <c r="E189">
        <v>-4.7460844803037493E-3</v>
      </c>
      <c r="F189">
        <v>-1.9666269368295658E-2</v>
      </c>
      <c r="G189">
        <v>9.8643649815044563E-3</v>
      </c>
      <c r="H189">
        <v>6.5775950668037056E-2</v>
      </c>
      <c r="I189">
        <v>7.677664974619286E-2</v>
      </c>
      <c r="J189">
        <v>-7.9688436189334994E-2</v>
      </c>
      <c r="K189">
        <v>7.3215375228797355E-3</v>
      </c>
      <c r="L189">
        <v>-5.0505050505050024E-3</v>
      </c>
      <c r="M189">
        <v>3.1003382187147689E-2</v>
      </c>
      <c r="N189">
        <v>4.2952208106473044E-2</v>
      </c>
      <c r="O189">
        <v>-2.2308979364194402E-3</v>
      </c>
      <c r="P189">
        <v>1.1876484560569395E-3</v>
      </c>
      <c r="Q189">
        <v>-4.6463603510582202E-3</v>
      </c>
      <c r="R189">
        <v>3.1377106333527055E-2</v>
      </c>
      <c r="S189">
        <v>6.3791008505467803E-2</v>
      </c>
      <c r="T189">
        <v>3.5067212156633547E-2</v>
      </c>
      <c r="U189">
        <v>-0.15753176043557179</v>
      </c>
      <c r="V189">
        <v>3.6483253588516888E-2</v>
      </c>
      <c r="W189">
        <v>3.0098280098279955E-2</v>
      </c>
      <c r="X189">
        <v>2.3121387283236993E-2</v>
      </c>
      <c r="Y189">
        <v>5.2564914502849794E-2</v>
      </c>
      <c r="Z189">
        <v>2.3882424984690613E-2</v>
      </c>
      <c r="AA189">
        <v>2.951807228915666E-2</v>
      </c>
      <c r="AB189">
        <v>1.0765550239234518E-2</v>
      </c>
      <c r="AC189">
        <v>3.402187120291613E-2</v>
      </c>
      <c r="AD189">
        <v>1.848539057841397E-2</v>
      </c>
      <c r="AE189" t="s">
        <v>208</v>
      </c>
    </row>
    <row r="190" spans="1:31" hidden="1" x14ac:dyDescent="0.3">
      <c r="A190">
        <v>2022</v>
      </c>
      <c r="B190" t="s">
        <v>37</v>
      </c>
      <c r="C190" t="s">
        <v>33</v>
      </c>
      <c r="D190">
        <v>2.3715415019762806E-2</v>
      </c>
      <c r="E190">
        <v>2.9089175011921903E-2</v>
      </c>
      <c r="F190">
        <v>6.0790273556227549E-4</v>
      </c>
      <c r="G190">
        <v>2.4420024420023032E-3</v>
      </c>
      <c r="H190">
        <v>-0.10318225650916106</v>
      </c>
      <c r="I190">
        <v>3.6535061873895214E-2</v>
      </c>
      <c r="J190">
        <v>0.24153645833333331</v>
      </c>
      <c r="K190">
        <v>-6.6626287098727702E-3</v>
      </c>
      <c r="L190">
        <v>1.9458544839255475E-2</v>
      </c>
      <c r="M190">
        <v>-2.6790595954073293E-2</v>
      </c>
      <c r="N190">
        <v>-8.6426914153132278E-2</v>
      </c>
      <c r="O190">
        <v>2.4594745667970964E-2</v>
      </c>
      <c r="P190">
        <v>3.4994068801898016E-2</v>
      </c>
      <c r="Q190">
        <v>2.2302904564315263E-2</v>
      </c>
      <c r="R190">
        <v>-5.1267605633802782E-2</v>
      </c>
      <c r="S190">
        <v>-0.11764705882352938</v>
      </c>
      <c r="T190">
        <v>-6.0982495765104366E-2</v>
      </c>
      <c r="U190">
        <v>0.19919574895878223</v>
      </c>
      <c r="V190">
        <v>-1.615695326024242E-2</v>
      </c>
      <c r="W190">
        <v>-4.7107930828860931E-2</v>
      </c>
      <c r="X190">
        <v>-4.519774011299435E-2</v>
      </c>
      <c r="Y190">
        <v>-4.1516245487364489E-2</v>
      </c>
      <c r="Z190">
        <v>-2.9904306220095697E-2</v>
      </c>
      <c r="AA190">
        <v>-4.0374488004681131E-2</v>
      </c>
      <c r="AB190">
        <v>-3.5502958579881321E-3</v>
      </c>
      <c r="AC190">
        <v>-4.1715628672150382E-2</v>
      </c>
      <c r="AD190">
        <v>-9.3676814988291716E-3</v>
      </c>
      <c r="AE190" t="s">
        <v>208</v>
      </c>
    </row>
    <row r="191" spans="1:31" hidden="1" x14ac:dyDescent="0.3">
      <c r="A191">
        <v>2022</v>
      </c>
      <c r="B191" t="s">
        <v>37</v>
      </c>
      <c r="C191" t="s">
        <v>34</v>
      </c>
      <c r="D191">
        <v>-1.6087516087516088E-2</v>
      </c>
      <c r="E191">
        <v>-1.8535681186283594E-2</v>
      </c>
      <c r="F191">
        <v>-6.0753341433775405E-4</v>
      </c>
      <c r="G191">
        <v>-1.8270401948841837E-3</v>
      </c>
      <c r="H191">
        <v>7.2580645161290328E-2</v>
      </c>
      <c r="I191">
        <v>-1.8760659465605522E-2</v>
      </c>
      <c r="J191">
        <v>-0.12847404299947562</v>
      </c>
      <c r="K191">
        <v>4.2682926829267602E-3</v>
      </c>
      <c r="L191">
        <v>-1.2448132780082987E-2</v>
      </c>
      <c r="M191">
        <v>1.8539325842696693E-2</v>
      </c>
      <c r="N191">
        <v>5.5238095238095163E-2</v>
      </c>
      <c r="O191">
        <v>-1.30932896890344E-2</v>
      </c>
      <c r="P191">
        <v>-2.1203438395415407E-2</v>
      </c>
      <c r="Q191">
        <v>-1.6235413495687412E-2</v>
      </c>
      <c r="R191">
        <v>3.2660332541567694E-2</v>
      </c>
      <c r="S191">
        <v>7.7669902912621352E-2</v>
      </c>
      <c r="T191">
        <v>3.9085989176187608E-2</v>
      </c>
      <c r="U191">
        <v>0</v>
      </c>
      <c r="V191">
        <v>9.9706744868034523E-3</v>
      </c>
      <c r="W191">
        <v>2.6282853566958624E-2</v>
      </c>
      <c r="X191">
        <v>2.9585798816568046E-2</v>
      </c>
      <c r="Y191">
        <v>2.0715630885122301E-2</v>
      </c>
      <c r="Z191">
        <v>1.3563501849568541E-2</v>
      </c>
      <c r="AA191">
        <v>1.7682926829268326E-2</v>
      </c>
      <c r="AB191">
        <v>2.3752969121140478E-3</v>
      </c>
      <c r="AC191">
        <v>2.2685469037400475E-2</v>
      </c>
      <c r="AD191">
        <v>5.3191489361702465E-3</v>
      </c>
      <c r="AE191" t="s">
        <v>208</v>
      </c>
    </row>
    <row r="192" spans="1:31" hidden="1" x14ac:dyDescent="0.3">
      <c r="A192">
        <v>2022</v>
      </c>
      <c r="B192" t="s">
        <v>38</v>
      </c>
      <c r="C192" t="s">
        <v>30</v>
      </c>
      <c r="D192">
        <v>0</v>
      </c>
      <c r="E192">
        <v>1.3692162417374774E-2</v>
      </c>
      <c r="F192">
        <v>-1.8844984802431575E-2</v>
      </c>
      <c r="G192">
        <v>4.2708968883464829E-3</v>
      </c>
      <c r="H192">
        <v>5.2130325814536367E-2</v>
      </c>
      <c r="I192">
        <v>-2.6651216685979112E-2</v>
      </c>
      <c r="J192">
        <v>-3.489771359807451E-2</v>
      </c>
      <c r="K192">
        <v>1.8214936247723825E-3</v>
      </c>
      <c r="L192">
        <v>-8.4033613445373375E-4</v>
      </c>
      <c r="M192">
        <v>2.9233314947600567E-2</v>
      </c>
      <c r="N192">
        <v>4.2117930204572808E-2</v>
      </c>
      <c r="O192">
        <v>-2.7639579878385848E-3</v>
      </c>
      <c r="P192">
        <v>0</v>
      </c>
      <c r="Q192">
        <v>-5.1572975760701394E-3</v>
      </c>
      <c r="R192">
        <v>3.1052328924669383E-2</v>
      </c>
      <c r="S192">
        <v>6.4264264264264195E-2</v>
      </c>
      <c r="T192">
        <v>3.587962962962956E-2</v>
      </c>
      <c r="U192">
        <v>-0.16610778443113777</v>
      </c>
      <c r="V192">
        <v>1.8002322880371794E-2</v>
      </c>
      <c r="W192">
        <v>2.9878048780487838E-2</v>
      </c>
      <c r="X192">
        <v>2.1264367816091888E-2</v>
      </c>
      <c r="Y192">
        <v>2.7675276752767528E-2</v>
      </c>
      <c r="Z192">
        <v>1.9464720194647133E-2</v>
      </c>
      <c r="AA192">
        <v>2.9358897543439219E-2</v>
      </c>
      <c r="AB192">
        <v>-1.7772511848341904E-3</v>
      </c>
      <c r="AC192">
        <v>2.4580335731414833E-2</v>
      </c>
      <c r="AD192">
        <v>1.410934744268081E-2</v>
      </c>
      <c r="AE192" t="s">
        <v>209</v>
      </c>
    </row>
    <row r="193" spans="1:31" hidden="1" x14ac:dyDescent="0.3">
      <c r="A193">
        <v>2022</v>
      </c>
      <c r="B193" t="s">
        <v>38</v>
      </c>
      <c r="C193" t="s">
        <v>33</v>
      </c>
      <c r="D193">
        <v>2.4852844996729778E-2</v>
      </c>
      <c r="E193">
        <v>3.0274802049371219E-2</v>
      </c>
      <c r="F193">
        <v>1.6728624535315914E-2</v>
      </c>
      <c r="G193">
        <v>4.8602673147023776E-3</v>
      </c>
      <c r="H193">
        <v>-9.7189137684611751E-2</v>
      </c>
      <c r="I193">
        <v>3.8690476190476192E-2</v>
      </c>
      <c r="J193">
        <v>0.26683291770573553</v>
      </c>
      <c r="K193">
        <v>-5.4545454545454888E-3</v>
      </c>
      <c r="L193">
        <v>1.9343986543313683E-2</v>
      </c>
      <c r="M193">
        <v>-2.7867095391211086E-2</v>
      </c>
      <c r="N193">
        <v>-8.4872979214780542E-2</v>
      </c>
      <c r="O193">
        <v>2.4944567627494457E-2</v>
      </c>
      <c r="P193">
        <v>3.9227166276346537E-2</v>
      </c>
      <c r="Q193">
        <v>2.3846552617936726E-2</v>
      </c>
      <c r="R193">
        <v>-5.1868377021751316E-2</v>
      </c>
      <c r="S193">
        <v>-0.12020316027088027</v>
      </c>
      <c r="T193">
        <v>-6.2569832402234571E-2</v>
      </c>
      <c r="U193">
        <v>0.20278615539279055</v>
      </c>
      <c r="V193">
        <v>-1.0268111808328644E-2</v>
      </c>
      <c r="W193">
        <v>-4.6181172291296688E-2</v>
      </c>
      <c r="X193">
        <v>-4.2768711311198623E-2</v>
      </c>
      <c r="Y193">
        <v>-4.608019150209449E-2</v>
      </c>
      <c r="Z193">
        <v>-2.6252983293556121E-2</v>
      </c>
      <c r="AA193">
        <v>-3.8416763678696286E-2</v>
      </c>
      <c r="AB193">
        <v>-1.7804154302671297E-3</v>
      </c>
      <c r="AC193">
        <v>-4.1544763019309504E-2</v>
      </c>
      <c r="AD193">
        <v>-9.8550724637680494E-3</v>
      </c>
      <c r="AE193" t="s">
        <v>209</v>
      </c>
    </row>
    <row r="194" spans="1:31" hidden="1" x14ac:dyDescent="0.3">
      <c r="A194">
        <v>2022</v>
      </c>
      <c r="B194" t="s">
        <v>38</v>
      </c>
      <c r="C194" t="s">
        <v>34</v>
      </c>
      <c r="D194">
        <v>-1.659221442246327E-2</v>
      </c>
      <c r="E194">
        <v>-1.8987341772151847E-2</v>
      </c>
      <c r="F194">
        <v>-1.035953686776349E-2</v>
      </c>
      <c r="G194">
        <v>-3.0229746070133011E-3</v>
      </c>
      <c r="H194">
        <v>6.8073878627968362E-2</v>
      </c>
      <c r="I194">
        <v>-2.0057306590257881E-2</v>
      </c>
      <c r="J194">
        <v>-0.13927165354330701</v>
      </c>
      <c r="K194">
        <v>3.6563071297988684E-3</v>
      </c>
      <c r="L194">
        <v>-1.2376237623762375E-2</v>
      </c>
      <c r="M194">
        <v>1.9294377067254686E-2</v>
      </c>
      <c r="N194">
        <v>5.4258675078864317E-2</v>
      </c>
      <c r="O194">
        <v>-1.2979989183342377E-2</v>
      </c>
      <c r="P194">
        <v>-2.366197183098585E-2</v>
      </c>
      <c r="Q194">
        <v>-1.721518987341775E-2</v>
      </c>
      <c r="R194">
        <v>3.2941176470588203E-2</v>
      </c>
      <c r="S194">
        <v>8.0179602309172537E-2</v>
      </c>
      <c r="T194">
        <v>4.0524433849821108E-2</v>
      </c>
      <c r="U194">
        <v>0</v>
      </c>
      <c r="V194">
        <v>6.3400576368875753E-3</v>
      </c>
      <c r="W194">
        <v>2.5450031036623182E-2</v>
      </c>
      <c r="X194">
        <v>2.7630805408583287E-2</v>
      </c>
      <c r="Y194">
        <v>2.2584692597239612E-2</v>
      </c>
      <c r="Z194">
        <v>1.1642156862745133E-2</v>
      </c>
      <c r="AA194">
        <v>1.6343825665859669E-2</v>
      </c>
      <c r="AB194">
        <v>1.1890606420928481E-3</v>
      </c>
      <c r="AC194">
        <v>2.2588522588522519E-2</v>
      </c>
      <c r="AD194">
        <v>5.2693208430912011E-3</v>
      </c>
      <c r="AE194" t="s">
        <v>209</v>
      </c>
    </row>
    <row r="195" spans="1:31" hidden="1" x14ac:dyDescent="0.3">
      <c r="A195">
        <v>2022</v>
      </c>
      <c r="B195" t="s">
        <v>39</v>
      </c>
      <c r="C195" t="s">
        <v>30</v>
      </c>
      <c r="D195">
        <v>-1.9467878001296754E-3</v>
      </c>
      <c r="E195">
        <v>9.2165898617506284E-4</v>
      </c>
      <c r="F195">
        <v>4.4334975369458053E-2</v>
      </c>
      <c r="G195">
        <v>3.0321406913280777E-3</v>
      </c>
      <c r="H195">
        <v>2.8162055335968321E-2</v>
      </c>
      <c r="I195">
        <v>-3.0409356725146133E-2</v>
      </c>
      <c r="J195">
        <v>-4.3453401943967948E-2</v>
      </c>
      <c r="K195">
        <v>-6.0716454159073666E-4</v>
      </c>
      <c r="L195">
        <v>-5.0125313283208729E-3</v>
      </c>
      <c r="M195">
        <v>2.1633315305570579E-2</v>
      </c>
      <c r="N195">
        <v>4.2489527229204037E-2</v>
      </c>
      <c r="O195">
        <v>-3.2876712328766813E-3</v>
      </c>
      <c r="P195">
        <v>-5.1933064050779321E-3</v>
      </c>
      <c r="Q195">
        <v>-6.1823802163832493E-3</v>
      </c>
      <c r="R195">
        <v>2.9043280182232314E-2</v>
      </c>
      <c r="S195">
        <v>6.1163895486935765E-2</v>
      </c>
      <c r="T195">
        <v>3.3218785796105453E-2</v>
      </c>
      <c r="U195">
        <v>-0.16859701492537318</v>
      </c>
      <c r="V195">
        <v>1.2027491408934676E-2</v>
      </c>
      <c r="W195">
        <v>3.0871670702179315E-2</v>
      </c>
      <c r="X195">
        <v>1.9450800915331676E-2</v>
      </c>
      <c r="Y195">
        <v>1.5337423312883436E-2</v>
      </c>
      <c r="Z195">
        <v>1.7565112053301066E-2</v>
      </c>
      <c r="AA195">
        <v>2.7992852888624114E-2</v>
      </c>
      <c r="AB195">
        <v>6.5320665083135054E-3</v>
      </c>
      <c r="AC195">
        <v>2.0895522388059702E-2</v>
      </c>
      <c r="AD195">
        <v>1.1065812463599336E-2</v>
      </c>
      <c r="AE195" t="s">
        <v>210</v>
      </c>
    </row>
    <row r="196" spans="1:31" hidden="1" x14ac:dyDescent="0.3">
      <c r="A196">
        <v>2022</v>
      </c>
      <c r="B196" t="s">
        <v>39</v>
      </c>
      <c r="C196" t="s">
        <v>33</v>
      </c>
      <c r="D196">
        <v>2.4057217165149469E-2</v>
      </c>
      <c r="E196">
        <v>2.854511970534078E-2</v>
      </c>
      <c r="F196">
        <v>1.8867924528301987E-2</v>
      </c>
      <c r="G196">
        <v>6.0459492140266021E-3</v>
      </c>
      <c r="H196">
        <v>-9.3704949543488708E-2</v>
      </c>
      <c r="I196">
        <v>5.0060313630880475E-2</v>
      </c>
      <c r="J196">
        <v>0.26419605499103399</v>
      </c>
      <c r="K196">
        <v>-6.0753341433778859E-3</v>
      </c>
      <c r="L196">
        <v>1.9311502938707065E-2</v>
      </c>
      <c r="M196">
        <v>-2.8586553732133434E-2</v>
      </c>
      <c r="N196">
        <v>-8.6681974741676202E-2</v>
      </c>
      <c r="O196">
        <v>2.4189114898295797E-2</v>
      </c>
      <c r="P196">
        <v>4.0023201856148521E-2</v>
      </c>
      <c r="Q196">
        <v>2.7993779160186655E-2</v>
      </c>
      <c r="R196">
        <v>-5.0359712230215799E-2</v>
      </c>
      <c r="S196">
        <v>-0.11919418019026293</v>
      </c>
      <c r="T196">
        <v>-6.097560975609756E-2</v>
      </c>
      <c r="U196">
        <v>0.19775958638517896</v>
      </c>
      <c r="V196">
        <v>-1.0186757215619598E-2</v>
      </c>
      <c r="W196">
        <v>-4.8150322959483363E-2</v>
      </c>
      <c r="X196">
        <v>-4.0965207631874202E-2</v>
      </c>
      <c r="Y196">
        <v>-5.0151057401812756E-2</v>
      </c>
      <c r="Z196">
        <v>-2.321428571428575E-2</v>
      </c>
      <c r="AA196">
        <v>-3.5341830822711438E-2</v>
      </c>
      <c r="AB196">
        <v>-1.7699115044248457E-3</v>
      </c>
      <c r="AC196">
        <v>-4.2105263157894673E-2</v>
      </c>
      <c r="AD196">
        <v>-1.2672811059907769E-2</v>
      </c>
      <c r="AE196" t="s">
        <v>210</v>
      </c>
    </row>
    <row r="197" spans="1:31" hidden="1" x14ac:dyDescent="0.3">
      <c r="A197">
        <v>2022</v>
      </c>
      <c r="B197" t="s">
        <v>39</v>
      </c>
      <c r="C197" t="s">
        <v>34</v>
      </c>
      <c r="D197">
        <v>-1.5873015873015872E-2</v>
      </c>
      <c r="E197">
        <v>-1.7905102954341987E-2</v>
      </c>
      <c r="F197">
        <v>-1.1574074074074073E-2</v>
      </c>
      <c r="G197">
        <v>-3.6057692307691963E-3</v>
      </c>
      <c r="H197">
        <v>6.5217391304347894E-2</v>
      </c>
      <c r="I197">
        <v>-2.5272831705916175E-2</v>
      </c>
      <c r="J197">
        <v>-0.13806146572104014</v>
      </c>
      <c r="K197">
        <v>4.2787286063570729E-3</v>
      </c>
      <c r="L197">
        <v>-1.2355848434925864E-2</v>
      </c>
      <c r="M197">
        <v>1.9618528610354194E-2</v>
      </c>
      <c r="N197">
        <v>5.531112507856701E-2</v>
      </c>
      <c r="O197">
        <v>-1.288244766505639E-2</v>
      </c>
      <c r="P197">
        <v>-2.4539877300613529E-2</v>
      </c>
      <c r="Q197">
        <v>-2.0171457387796268E-2</v>
      </c>
      <c r="R197">
        <v>3.2051282051282055E-2</v>
      </c>
      <c r="S197">
        <v>7.9415501905972047E-2</v>
      </c>
      <c r="T197">
        <v>3.8961038961038925E-2</v>
      </c>
      <c r="U197">
        <v>0</v>
      </c>
      <c r="V197">
        <v>6.2893081761005963E-3</v>
      </c>
      <c r="W197">
        <v>2.6526835286860034E-2</v>
      </c>
      <c r="X197">
        <v>2.6331187829139846E-2</v>
      </c>
      <c r="Y197">
        <v>2.4809160305343549E-2</v>
      </c>
      <c r="Z197">
        <v>1.0359536867763664E-2</v>
      </c>
      <c r="AA197">
        <v>1.5015015015015015E-2</v>
      </c>
      <c r="AB197">
        <v>1.1820330969268148E-3</v>
      </c>
      <c r="AC197">
        <v>2.2588522588522519E-2</v>
      </c>
      <c r="AD197">
        <v>7.0011668611434574E-3</v>
      </c>
      <c r="AE197" t="s">
        <v>210</v>
      </c>
    </row>
    <row r="198" spans="1:31" hidden="1" x14ac:dyDescent="0.3">
      <c r="A198">
        <v>2022</v>
      </c>
      <c r="B198" t="s">
        <v>40</v>
      </c>
      <c r="C198" t="s">
        <v>30</v>
      </c>
      <c r="D198">
        <v>1.290322580645088E-3</v>
      </c>
      <c r="E198">
        <v>-3.9197812215132154E-2</v>
      </c>
      <c r="F198">
        <v>2.0491803278688523E-2</v>
      </c>
      <c r="G198">
        <v>3.0156815440289505E-3</v>
      </c>
      <c r="H198">
        <v>6.4708810353408808E-3</v>
      </c>
      <c r="I198">
        <v>-5.8927519151440383E-4</v>
      </c>
      <c r="J198">
        <v>-7.5150850246845952E-2</v>
      </c>
      <c r="K198">
        <v>6.0864272671938102E-4</v>
      </c>
      <c r="L198">
        <v>-5.8381984987489807E-3</v>
      </c>
      <c r="M198">
        <v>2.5120256547301E-2</v>
      </c>
      <c r="N198">
        <v>3.9309112567004131E-2</v>
      </c>
      <c r="O198">
        <v>-4.3501903208265982E-3</v>
      </c>
      <c r="P198">
        <v>-1.3722126929674132E-2</v>
      </c>
      <c r="Q198">
        <v>-5.6613484302625973E-3</v>
      </c>
      <c r="R198">
        <v>2.7667984189723355E-2</v>
      </c>
      <c r="S198">
        <v>6.1212477928193086E-2</v>
      </c>
      <c r="T198">
        <v>3.2386363636363574E-2</v>
      </c>
      <c r="U198">
        <v>-0.16510791366906485</v>
      </c>
      <c r="V198">
        <v>2.0454545454545423E-2</v>
      </c>
      <c r="W198">
        <v>2.9447115384615419E-2</v>
      </c>
      <c r="X198">
        <v>1.9384264538198435E-2</v>
      </c>
      <c r="Y198">
        <v>3.2278088144010036E-2</v>
      </c>
      <c r="Z198">
        <v>1.6887816646562019E-2</v>
      </c>
      <c r="AA198">
        <v>3.3727810650887508E-2</v>
      </c>
      <c r="AB198">
        <v>1.7709563164107611E-3</v>
      </c>
      <c r="AC198">
        <v>2.5671641791044843E-2</v>
      </c>
      <c r="AD198">
        <v>9.8493626882967394E-3</v>
      </c>
      <c r="AE198" t="s">
        <v>211</v>
      </c>
    </row>
    <row r="199" spans="1:31" hidden="1" x14ac:dyDescent="0.3">
      <c r="A199">
        <v>2022</v>
      </c>
      <c r="B199" t="s">
        <v>40</v>
      </c>
      <c r="C199" t="s">
        <v>33</v>
      </c>
      <c r="D199">
        <v>2.6417525773196025E-2</v>
      </c>
      <c r="E199">
        <v>2.9886148007590051E-2</v>
      </c>
      <c r="F199">
        <v>1.31956397016637E-2</v>
      </c>
      <c r="G199">
        <v>4.8105832832229878E-3</v>
      </c>
      <c r="H199">
        <v>-8.6053412462907902E-2</v>
      </c>
      <c r="I199">
        <v>5.8372641509433998E-2</v>
      </c>
      <c r="J199">
        <v>0.23665480427046268</v>
      </c>
      <c r="K199">
        <v>-2.4330900243309346E-3</v>
      </c>
      <c r="L199">
        <v>1.9295302013422794E-2</v>
      </c>
      <c r="M199">
        <v>-2.867570385818561E-2</v>
      </c>
      <c r="N199">
        <v>-8.4240687679083034E-2</v>
      </c>
      <c r="O199">
        <v>2.5122883670125586E-2</v>
      </c>
      <c r="P199">
        <v>4.0000000000000036E-2</v>
      </c>
      <c r="Q199">
        <v>2.7950310559006243E-2</v>
      </c>
      <c r="R199">
        <v>-5.109890109890116E-2</v>
      </c>
      <c r="S199">
        <v>-0.11980033277870228</v>
      </c>
      <c r="T199">
        <v>-6.1089708310401732E-2</v>
      </c>
      <c r="U199">
        <v>0.20494039925319563</v>
      </c>
      <c r="V199">
        <v>-5.5679287305119326E-4</v>
      </c>
      <c r="W199">
        <v>-4.7869235259778264E-2</v>
      </c>
      <c r="X199">
        <v>-3.9709172259507958E-2</v>
      </c>
      <c r="Y199">
        <v>-5.3517739025856916E-2</v>
      </c>
      <c r="Z199">
        <v>-2.3724792408066429E-2</v>
      </c>
      <c r="AA199">
        <v>-3.2054951345163105E-2</v>
      </c>
      <c r="AB199">
        <v>5.8927519151457124E-4</v>
      </c>
      <c r="AC199">
        <v>-4.1327124563445998E-2</v>
      </c>
      <c r="AD199">
        <v>-1.1474469305794606E-2</v>
      </c>
      <c r="AE199" t="s">
        <v>211</v>
      </c>
    </row>
    <row r="200" spans="1:31" hidden="1" x14ac:dyDescent="0.3">
      <c r="A200">
        <v>2022</v>
      </c>
      <c r="B200" t="s">
        <v>40</v>
      </c>
      <c r="C200" t="s">
        <v>34</v>
      </c>
      <c r="D200">
        <v>-1.7576898932831205E-2</v>
      </c>
      <c r="E200">
        <v>-1.8885306310455985E-2</v>
      </c>
      <c r="F200">
        <v>-7.9275198187995794E-3</v>
      </c>
      <c r="G200">
        <v>-2.9922202274087375E-3</v>
      </c>
      <c r="H200">
        <v>5.9523809523809521E-2</v>
      </c>
      <c r="I200">
        <v>-2.952646239554324E-2</v>
      </c>
      <c r="J200">
        <v>-0.12661870503597125</v>
      </c>
      <c r="K200">
        <v>1.8292682926829961E-3</v>
      </c>
      <c r="L200">
        <v>-1.2345679012345678E-2</v>
      </c>
      <c r="M200">
        <v>1.9860440150295162E-2</v>
      </c>
      <c r="N200">
        <v>5.381727158948682E-2</v>
      </c>
      <c r="O200">
        <v>-1.3319126265316996E-2</v>
      </c>
      <c r="P200">
        <v>-2.4526198439241947E-2</v>
      </c>
      <c r="Q200">
        <v>-2.014098690835851E-2</v>
      </c>
      <c r="R200">
        <v>3.2426172553561221E-2</v>
      </c>
      <c r="S200">
        <v>7.9395085066162718E-2</v>
      </c>
      <c r="T200">
        <v>3.9273153575615574E-2</v>
      </c>
      <c r="U200">
        <v>0</v>
      </c>
      <c r="V200">
        <v>5.5710306406682073E-4</v>
      </c>
      <c r="W200">
        <v>2.6364193746168066E-2</v>
      </c>
      <c r="X200">
        <v>2.5626092020966839E-2</v>
      </c>
      <c r="Y200">
        <v>2.6683608640406534E-2</v>
      </c>
      <c r="Z200">
        <v>1.0328068043742511E-2</v>
      </c>
      <c r="AA200">
        <v>1.3601419278533479E-2</v>
      </c>
      <c r="AB200">
        <v>-5.8892815076574045E-4</v>
      </c>
      <c r="AC200">
        <v>2.2465088038858636E-2</v>
      </c>
      <c r="AD200">
        <v>6.3842135809634021E-3</v>
      </c>
      <c r="AE200" t="s">
        <v>211</v>
      </c>
    </row>
    <row r="201" spans="1:31" hidden="1" x14ac:dyDescent="0.3">
      <c r="A201">
        <v>2022</v>
      </c>
      <c r="B201" t="s">
        <v>41</v>
      </c>
      <c r="C201" t="s">
        <v>30</v>
      </c>
      <c r="D201">
        <v>1.9169329073482427E-2</v>
      </c>
      <c r="E201">
        <v>-4.1784037558685476E-2</v>
      </c>
      <c r="F201">
        <v>-3.9383561643835489E-2</v>
      </c>
      <c r="G201">
        <v>7.8031212484994681E-3</v>
      </c>
      <c r="H201">
        <v>1.1746680286006041E-2</v>
      </c>
      <c r="I201">
        <v>-2.8702640642939151E-2</v>
      </c>
      <c r="J201">
        <v>-4.9423393739703461E-2</v>
      </c>
      <c r="K201">
        <v>1.7041996348143535E-2</v>
      </c>
      <c r="L201">
        <v>1.6666666666666904E-3</v>
      </c>
      <c r="M201">
        <v>2.9473684210526287E-2</v>
      </c>
      <c r="N201">
        <v>3.8004750593824257E-2</v>
      </c>
      <c r="O201">
        <v>-6.4794816414686218E-3</v>
      </c>
      <c r="P201">
        <v>-6.285714285714253E-3</v>
      </c>
      <c r="Q201">
        <v>-4.624871531346381E-3</v>
      </c>
      <c r="R201">
        <v>2.748177229388658E-2</v>
      </c>
      <c r="S201">
        <v>6.0712200817279488E-2</v>
      </c>
      <c r="T201">
        <v>3.2148900169204672E-2</v>
      </c>
      <c r="U201">
        <v>-0.17008343265792622</v>
      </c>
      <c r="V201">
        <v>-2.7839643652561247E-3</v>
      </c>
      <c r="W201">
        <v>2.9271206690561564E-2</v>
      </c>
      <c r="X201">
        <v>1.8739352640545211E-2</v>
      </c>
      <c r="Y201">
        <v>3.094059405940594E-2</v>
      </c>
      <c r="Z201">
        <v>1.8039687312086588E-2</v>
      </c>
      <c r="AA201">
        <v>2.5087514585764192E-2</v>
      </c>
      <c r="AB201">
        <v>8.2498526812021557E-3</v>
      </c>
      <c r="AC201">
        <v>2.494061757719708E-2</v>
      </c>
      <c r="AD201">
        <v>1.0957324106113065E-2</v>
      </c>
      <c r="AE201" t="s">
        <v>212</v>
      </c>
    </row>
    <row r="202" spans="1:31" hidden="1" x14ac:dyDescent="0.3">
      <c r="A202">
        <v>2022</v>
      </c>
      <c r="B202" t="s">
        <v>41</v>
      </c>
      <c r="C202" t="s">
        <v>33</v>
      </c>
      <c r="D202">
        <v>1.6300940438871439E-2</v>
      </c>
      <c r="E202">
        <v>3.3317001469867769E-2</v>
      </c>
      <c r="F202">
        <v>1.36660724896018E-2</v>
      </c>
      <c r="G202">
        <v>2.9779630732578916E-3</v>
      </c>
      <c r="H202">
        <v>-7.8748107016658228E-2</v>
      </c>
      <c r="I202">
        <v>4.6690307328605241E-2</v>
      </c>
      <c r="J202">
        <v>0.23108030040439054</v>
      </c>
      <c r="K202">
        <v>1.196888090963597E-3</v>
      </c>
      <c r="L202">
        <v>1.6638935108153077E-2</v>
      </c>
      <c r="M202">
        <v>-3.0163599182004119E-2</v>
      </c>
      <c r="N202">
        <v>-8.1807780320366189E-2</v>
      </c>
      <c r="O202">
        <v>2.6630434782608726E-2</v>
      </c>
      <c r="P202">
        <v>3.7377803335250141E-2</v>
      </c>
      <c r="Q202">
        <v>2.581311306143521E-2</v>
      </c>
      <c r="R202">
        <v>-5.1855895196506553E-2</v>
      </c>
      <c r="S202">
        <v>-0.11942762795817276</v>
      </c>
      <c r="T202">
        <v>-6.2295081967213145E-2</v>
      </c>
      <c r="U202">
        <v>0.21355737469481553</v>
      </c>
      <c r="V202">
        <v>-3.9084310441093728E-3</v>
      </c>
      <c r="W202">
        <v>-4.701102727800361E-2</v>
      </c>
      <c r="X202">
        <v>-3.7904124860646662E-2</v>
      </c>
      <c r="Y202">
        <v>-5.3421368547419003E-2</v>
      </c>
      <c r="Z202">
        <v>-2.4808033077377535E-2</v>
      </c>
      <c r="AA202">
        <v>-3.3010813887307817E-2</v>
      </c>
      <c r="AB202">
        <v>1.753360607831744E-3</v>
      </c>
      <c r="AC202">
        <v>-4.1714947856315118E-2</v>
      </c>
      <c r="AD202">
        <v>-1.2549914432401693E-2</v>
      </c>
      <c r="AE202" t="s">
        <v>212</v>
      </c>
    </row>
    <row r="203" spans="1:31" hidden="1" x14ac:dyDescent="0.3">
      <c r="A203">
        <v>2022</v>
      </c>
      <c r="B203" t="s">
        <v>41</v>
      </c>
      <c r="C203" t="s">
        <v>34</v>
      </c>
      <c r="D203">
        <v>-1.1104256631708716E-2</v>
      </c>
      <c r="E203">
        <v>-2.086296823138931E-2</v>
      </c>
      <c r="F203">
        <v>-8.2063305978898344E-3</v>
      </c>
      <c r="G203">
        <v>-1.7814726840855782E-3</v>
      </c>
      <c r="H203">
        <v>5.4246575342465783E-2</v>
      </c>
      <c r="I203">
        <v>-2.3715415019762782E-2</v>
      </c>
      <c r="J203">
        <v>-0.1238854997653684</v>
      </c>
      <c r="K203">
        <v>-5.9772863120157046E-4</v>
      </c>
      <c r="L203">
        <v>-1.0638297872340403E-2</v>
      </c>
      <c r="M203">
        <v>2.0558777016341623E-2</v>
      </c>
      <c r="N203">
        <v>5.1713395638629353E-2</v>
      </c>
      <c r="O203">
        <v>-1.3763896241397535E-2</v>
      </c>
      <c r="P203">
        <v>-2.2727272727272697E-2</v>
      </c>
      <c r="Q203">
        <v>-1.8621036738802159E-2</v>
      </c>
      <c r="R203">
        <v>3.3390903857225165E-2</v>
      </c>
      <c r="S203">
        <v>7.9374999999999932E-2</v>
      </c>
      <c r="T203">
        <v>4.0209790209790243E-2</v>
      </c>
      <c r="U203">
        <v>0</v>
      </c>
      <c r="V203">
        <v>2.2421524663677446E-3</v>
      </c>
      <c r="W203">
        <v>2.6187576126674859E-2</v>
      </c>
      <c r="X203">
        <v>2.4333719582850622E-2</v>
      </c>
      <c r="Y203">
        <v>2.663284717818654E-2</v>
      </c>
      <c r="Z203">
        <v>1.0902483343428294E-2</v>
      </c>
      <c r="AA203">
        <v>1.412595644496766E-2</v>
      </c>
      <c r="AB203">
        <v>-1.1668611435240201E-3</v>
      </c>
      <c r="AC203">
        <v>2.2370012091898359E-2</v>
      </c>
      <c r="AD203">
        <v>6.9324090121318143E-3</v>
      </c>
      <c r="AE203" t="s">
        <v>212</v>
      </c>
    </row>
    <row r="204" spans="1:31" hidden="1" x14ac:dyDescent="0.3">
      <c r="A204">
        <v>2022</v>
      </c>
      <c r="B204" t="s">
        <v>42</v>
      </c>
      <c r="C204" t="s">
        <v>30</v>
      </c>
      <c r="D204">
        <v>1.6219588271989983E-2</v>
      </c>
      <c r="E204">
        <v>9.6852300242125243E-4</v>
      </c>
      <c r="F204">
        <v>-1.1820330969266469E-3</v>
      </c>
      <c r="G204">
        <v>8.3283759666865301E-3</v>
      </c>
      <c r="H204">
        <v>8.8357588357587773E-3</v>
      </c>
      <c r="I204">
        <v>-5.0896471949103593E-2</v>
      </c>
      <c r="J204">
        <v>-5.2490626673808161E-2</v>
      </c>
      <c r="K204">
        <v>1.0765550239234518E-2</v>
      </c>
      <c r="L204">
        <v>-8.2712985938799438E-4</v>
      </c>
      <c r="M204">
        <v>2.8409090909090912E-2</v>
      </c>
      <c r="N204">
        <v>3.9099526066350677E-2</v>
      </c>
      <c r="O204">
        <v>-8.0515297906602248E-3</v>
      </c>
      <c r="P204">
        <v>-4.5377197958026737E-3</v>
      </c>
      <c r="Q204">
        <v>-2.5641025641025641E-3</v>
      </c>
      <c r="R204">
        <v>2.896935933147626E-2</v>
      </c>
      <c r="S204">
        <v>6.1378112333526483E-2</v>
      </c>
      <c r="T204">
        <v>3.3613445378151259E-2</v>
      </c>
      <c r="U204">
        <v>-0.17597633136094679</v>
      </c>
      <c r="V204">
        <v>5.0335570469797379E-3</v>
      </c>
      <c r="W204">
        <v>3.0267062314540027E-2</v>
      </c>
      <c r="X204">
        <v>1.92307692307691E-2</v>
      </c>
      <c r="Y204">
        <v>3.0883261272390362E-2</v>
      </c>
      <c r="Z204">
        <v>1.8573996405032919E-2</v>
      </c>
      <c r="AA204">
        <v>2.263493905977932E-2</v>
      </c>
      <c r="AB204">
        <v>-2.3364485981307087E-3</v>
      </c>
      <c r="AC204">
        <v>2.365464222353637E-2</v>
      </c>
      <c r="AD204">
        <v>1.2048192771084303E-2</v>
      </c>
      <c r="AE204" t="s">
        <v>213</v>
      </c>
    </row>
    <row r="205" spans="1:31" hidden="1" x14ac:dyDescent="0.3">
      <c r="A205">
        <v>2022</v>
      </c>
      <c r="B205" t="s">
        <v>42</v>
      </c>
      <c r="C205" t="s">
        <v>33</v>
      </c>
      <c r="D205">
        <v>1.2277470841006752E-2</v>
      </c>
      <c r="E205">
        <v>3.3865505563618774E-2</v>
      </c>
      <c r="F205">
        <v>1.1242603550295891E-2</v>
      </c>
      <c r="G205">
        <v>3.5398230088495241E-3</v>
      </c>
      <c r="H205">
        <v>-7.6249356002060703E-2</v>
      </c>
      <c r="I205">
        <v>2.0719073735527154E-2</v>
      </c>
      <c r="J205">
        <v>0.24816280384397968</v>
      </c>
      <c r="K205">
        <v>1.1834319526626547E-3</v>
      </c>
      <c r="L205">
        <v>1.9039735099337724E-2</v>
      </c>
      <c r="M205">
        <v>-2.7624309392265196E-2</v>
      </c>
      <c r="N205">
        <v>-8.1527936145952176E-2</v>
      </c>
      <c r="O205">
        <v>3.0303030303030269E-2</v>
      </c>
      <c r="P205">
        <v>3.5897435897435964E-2</v>
      </c>
      <c r="Q205">
        <v>2.673521850899737E-2</v>
      </c>
      <c r="R205">
        <v>-5.2517596101786621E-2</v>
      </c>
      <c r="S205">
        <v>-0.11783960720130944</v>
      </c>
      <c r="T205">
        <v>-6.2330623306233061E-2</v>
      </c>
      <c r="U205">
        <v>0.21714778112882385</v>
      </c>
      <c r="V205">
        <v>-2.782415136338342E-3</v>
      </c>
      <c r="W205">
        <v>-4.9539170506912408E-2</v>
      </c>
      <c r="X205">
        <v>-3.5516093229744604E-2</v>
      </c>
      <c r="Y205">
        <v>-5.2127022168963554E-2</v>
      </c>
      <c r="Z205">
        <v>-2.4705882352941109E-2</v>
      </c>
      <c r="AA205">
        <v>-3.0079455164585604E-2</v>
      </c>
      <c r="AB205">
        <v>1.756440281030345E-3</v>
      </c>
      <c r="AC205">
        <v>-4.0439052570768345E-2</v>
      </c>
      <c r="AD205">
        <v>-1.3038548752834531E-2</v>
      </c>
      <c r="AE205" t="s">
        <v>213</v>
      </c>
    </row>
    <row r="206" spans="1:31" hidden="1" x14ac:dyDescent="0.3">
      <c r="A206">
        <v>2022</v>
      </c>
      <c r="B206" t="s">
        <v>42</v>
      </c>
      <c r="C206" t="s">
        <v>34</v>
      </c>
      <c r="D206">
        <v>-8.4899939357186514E-3</v>
      </c>
      <c r="E206">
        <v>-2.1057557323350493E-2</v>
      </c>
      <c r="F206">
        <v>-7.0216500877707255E-3</v>
      </c>
      <c r="G206">
        <v>-2.3515579071134961E-3</v>
      </c>
      <c r="H206">
        <v>5.2426101505855978E-2</v>
      </c>
      <c r="I206">
        <v>-1.0746268656716487E-2</v>
      </c>
      <c r="J206">
        <v>-0.13134057971014493</v>
      </c>
      <c r="K206">
        <v>-5.9101654846332346E-4</v>
      </c>
      <c r="L206">
        <v>-1.2185215272136476E-2</v>
      </c>
      <c r="M206">
        <v>1.9111570247933973E-2</v>
      </c>
      <c r="N206">
        <v>5.1520794537554385E-2</v>
      </c>
      <c r="O206">
        <v>-1.5756302521008403E-2</v>
      </c>
      <c r="P206">
        <v>-2.2002200220022E-2</v>
      </c>
      <c r="Q206">
        <v>-1.9028542814221248E-2</v>
      </c>
      <c r="R206">
        <v>3.3714285714285745E-2</v>
      </c>
      <c r="S206">
        <v>7.7922077922078073E-2</v>
      </c>
      <c r="T206">
        <v>3.9884393063583851E-2</v>
      </c>
      <c r="U206">
        <v>0</v>
      </c>
      <c r="V206">
        <v>1.6741071428572063E-3</v>
      </c>
      <c r="W206">
        <v>2.7272727272727271E-2</v>
      </c>
      <c r="X206">
        <v>2.3014959723820481E-2</v>
      </c>
      <c r="Y206">
        <v>2.5916561314791548E-2</v>
      </c>
      <c r="Z206">
        <v>1.0856453558504118E-2</v>
      </c>
      <c r="AA206">
        <v>1.2873025160912748E-2</v>
      </c>
      <c r="AB206">
        <v>-1.1689070718877185E-3</v>
      </c>
      <c r="AC206">
        <v>2.1673690547862699E-2</v>
      </c>
      <c r="AD206">
        <v>6.8925904652499545E-3</v>
      </c>
      <c r="AE206" t="s">
        <v>213</v>
      </c>
    </row>
    <row r="207" spans="1:31" hidden="1" x14ac:dyDescent="0.3">
      <c r="A207">
        <v>2022</v>
      </c>
      <c r="B207" t="s">
        <v>43</v>
      </c>
      <c r="C207" t="s">
        <v>30</v>
      </c>
      <c r="D207">
        <v>7.3394495412843338E-3</v>
      </c>
      <c r="E207">
        <v>-1.9120458891012299E-3</v>
      </c>
      <c r="F207">
        <v>3.5356511490867576E-3</v>
      </c>
      <c r="G207">
        <v>7.0713022981733478E-3</v>
      </c>
      <c r="H207">
        <v>1.5368309485956575E-2</v>
      </c>
      <c r="I207">
        <v>-2.1122510561255282E-2</v>
      </c>
      <c r="J207">
        <v>-3.6496350364963501E-2</v>
      </c>
      <c r="K207">
        <v>3.548196333530422E-3</v>
      </c>
      <c r="L207">
        <v>-4.1118421052631577E-3</v>
      </c>
      <c r="M207">
        <v>2.1794221996958858E-2</v>
      </c>
      <c r="N207">
        <v>3.7780401416765086E-2</v>
      </c>
      <c r="O207">
        <v>-9.6051227321238605E-3</v>
      </c>
      <c r="P207">
        <v>-2.2497187851518879E-3</v>
      </c>
      <c r="Q207">
        <v>-5.1046452271567124E-3</v>
      </c>
      <c r="R207">
        <v>2.8745163073521218E-2</v>
      </c>
      <c r="S207">
        <v>5.7946069994262731E-2</v>
      </c>
      <c r="T207">
        <v>3.3351862145636464E-2</v>
      </c>
      <c r="U207">
        <v>-0.17840707964601776</v>
      </c>
      <c r="V207">
        <v>7.2423398328691439E-3</v>
      </c>
      <c r="W207">
        <v>2.8908554572271421E-2</v>
      </c>
      <c r="X207">
        <v>1.9122609673790647E-2</v>
      </c>
      <c r="Y207">
        <v>3.1423290203327132E-2</v>
      </c>
      <c r="Z207">
        <v>1.7899761336515514E-2</v>
      </c>
      <c r="AA207">
        <v>1.9641825534373228E-2</v>
      </c>
      <c r="AB207">
        <v>6.4365125804563741E-3</v>
      </c>
      <c r="AC207">
        <v>2.4749558043606467E-2</v>
      </c>
      <c r="AD207">
        <v>1.4831717056474581E-2</v>
      </c>
      <c r="AE207" t="s">
        <v>214</v>
      </c>
    </row>
    <row r="208" spans="1:31" hidden="1" x14ac:dyDescent="0.3">
      <c r="A208">
        <v>2022</v>
      </c>
      <c r="B208" t="s">
        <v>43</v>
      </c>
      <c r="C208" t="s">
        <v>33</v>
      </c>
      <c r="D208">
        <v>1.0321797207043213E-2</v>
      </c>
      <c r="E208">
        <v>2.9214559386973152E-2</v>
      </c>
      <c r="F208">
        <v>9.3951849677040185E-3</v>
      </c>
      <c r="G208">
        <v>5.8513750731418557E-4</v>
      </c>
      <c r="H208">
        <v>-7.2546972860125292E-2</v>
      </c>
      <c r="I208">
        <v>2.1578298397040691E-2</v>
      </c>
      <c r="J208">
        <v>0.2370129870129869</v>
      </c>
      <c r="K208">
        <v>1.1785503830289751E-3</v>
      </c>
      <c r="L208">
        <v>1.8992568125516196E-2</v>
      </c>
      <c r="M208">
        <v>-2.5793650793650737E-2</v>
      </c>
      <c r="N208">
        <v>-8.0773606370876092E-2</v>
      </c>
      <c r="O208">
        <v>3.1788793103448308E-2</v>
      </c>
      <c r="P208">
        <v>3.3258173618940276E-2</v>
      </c>
      <c r="Q208">
        <v>2.668034889687013E-2</v>
      </c>
      <c r="R208">
        <v>-5.6958624395486268E-2</v>
      </c>
      <c r="S208">
        <v>-0.1182212581344903</v>
      </c>
      <c r="T208">
        <v>-6.6164604626143153E-2</v>
      </c>
      <c r="U208">
        <v>0.22935516300445211</v>
      </c>
      <c r="V208">
        <v>-4.4247787610620093E-3</v>
      </c>
      <c r="W208">
        <v>-4.816513761467893E-2</v>
      </c>
      <c r="X208">
        <v>-3.5871964679911703E-2</v>
      </c>
      <c r="Y208">
        <v>-5.1373954599761018E-2</v>
      </c>
      <c r="Z208">
        <v>-2.5205158264947146E-2</v>
      </c>
      <c r="AA208">
        <v>-3.0028328611898081E-2</v>
      </c>
      <c r="AB208">
        <v>1.744186046511694E-3</v>
      </c>
      <c r="AC208">
        <v>-4.0828062104657815E-2</v>
      </c>
      <c r="AD208">
        <v>-1.4614952220348478E-2</v>
      </c>
      <c r="AE208" t="s">
        <v>214</v>
      </c>
    </row>
    <row r="209" spans="1:31" hidden="1" x14ac:dyDescent="0.3">
      <c r="A209">
        <v>2022</v>
      </c>
      <c r="B209" t="s">
        <v>43</v>
      </c>
      <c r="C209" t="s">
        <v>34</v>
      </c>
      <c r="D209">
        <v>-7.2115384615385634E-3</v>
      </c>
      <c r="E209">
        <v>-1.8613308515588647E-2</v>
      </c>
      <c r="F209">
        <v>-5.8173356602675974E-3</v>
      </c>
      <c r="G209">
        <v>-5.8479532163739363E-4</v>
      </c>
      <c r="H209">
        <v>4.9521665728756395E-2</v>
      </c>
      <c r="I209">
        <v>-1.1466505733252729E-2</v>
      </c>
      <c r="J209">
        <v>-0.12642169728783906</v>
      </c>
      <c r="K209">
        <v>-5.8858151854028441E-4</v>
      </c>
      <c r="L209">
        <v>-1.2155591572123176E-2</v>
      </c>
      <c r="M209">
        <v>1.7820773930753563E-2</v>
      </c>
      <c r="N209">
        <v>5.1361386138613935E-2</v>
      </c>
      <c r="O209">
        <v>-1.6710182767623961E-2</v>
      </c>
      <c r="P209">
        <v>-2.0185488270594746E-2</v>
      </c>
      <c r="Q209">
        <v>-1.8990504747626102E-2</v>
      </c>
      <c r="R209">
        <v>3.64672364672365E-2</v>
      </c>
      <c r="S209">
        <v>7.8105781057810686E-2</v>
      </c>
      <c r="T209">
        <v>4.2626728110599116E-2</v>
      </c>
      <c r="U209">
        <v>0</v>
      </c>
      <c r="V209">
        <v>2.7777777777777779E-3</v>
      </c>
      <c r="W209">
        <v>2.6506024096385576E-2</v>
      </c>
      <c r="X209">
        <v>2.2896393817973669E-2</v>
      </c>
      <c r="Y209">
        <v>2.5818639798488627E-2</v>
      </c>
      <c r="Z209">
        <v>1.1425135297654702E-2</v>
      </c>
      <c r="AA209">
        <v>1.2850467289719726E-2</v>
      </c>
      <c r="AB209">
        <v>-1.1607661056298145E-3</v>
      </c>
      <c r="AC209">
        <v>2.2182254196642617E-2</v>
      </c>
      <c r="AD209">
        <v>7.9863091842554308E-3</v>
      </c>
      <c r="AE209" t="s">
        <v>214</v>
      </c>
    </row>
    <row r="210" spans="1:31" hidden="1" x14ac:dyDescent="0.3">
      <c r="A210">
        <v>2022</v>
      </c>
      <c r="B210" t="s">
        <v>45</v>
      </c>
      <c r="C210" t="s">
        <v>30</v>
      </c>
      <c r="D210">
        <v>1.0290556900726496E-2</v>
      </c>
      <c r="E210">
        <v>-1.7543859649122886E-2</v>
      </c>
      <c r="F210">
        <v>5.4417788180222249E-2</v>
      </c>
      <c r="G210">
        <v>8.1919251023990971E-3</v>
      </c>
      <c r="H210">
        <v>4.0214477211796246E-2</v>
      </c>
      <c r="I210">
        <v>-2.8693528693528796E-2</v>
      </c>
      <c r="J210">
        <v>-0.14071106659989982</v>
      </c>
      <c r="K210">
        <v>2.3557126030622922E-3</v>
      </c>
      <c r="L210">
        <v>-3.2813781788351573E-3</v>
      </c>
      <c r="M210">
        <v>2.4512256128064059E-2</v>
      </c>
      <c r="N210">
        <v>3.8257798705120659E-2</v>
      </c>
      <c r="O210">
        <v>-7.4349442379182456E-3</v>
      </c>
      <c r="P210">
        <v>-1.670378619153675E-2</v>
      </c>
      <c r="Q210">
        <v>-4.0753948038716832E-3</v>
      </c>
      <c r="R210">
        <v>2.9136888400219805E-2</v>
      </c>
      <c r="S210">
        <v>5.6474614945807057E-2</v>
      </c>
      <c r="T210">
        <v>3.2596685082872959E-2</v>
      </c>
      <c r="U210">
        <v>-0.18656542056074765</v>
      </c>
      <c r="V210">
        <v>7.7562326869806408E-3</v>
      </c>
      <c r="W210">
        <v>2.9929577464788699E-2</v>
      </c>
      <c r="X210">
        <v>2.0145495243424863E-2</v>
      </c>
      <c r="Y210">
        <v>2.8238182934315494E-2</v>
      </c>
      <c r="Z210">
        <v>1.5457788347205844E-2</v>
      </c>
      <c r="AA210">
        <v>2.0184544405997693E-2</v>
      </c>
      <c r="AB210">
        <v>7.5537478210343486E-3</v>
      </c>
      <c r="AC210">
        <v>2.4046920821114336E-2</v>
      </c>
      <c r="AD210">
        <v>6.2252405206566089E-3</v>
      </c>
      <c r="AE210" t="s">
        <v>215</v>
      </c>
    </row>
    <row r="211" spans="1:31" hidden="1" x14ac:dyDescent="0.3">
      <c r="A211">
        <v>2022</v>
      </c>
      <c r="B211" t="s">
        <v>45</v>
      </c>
      <c r="C211" t="s">
        <v>33</v>
      </c>
      <c r="D211">
        <v>8.9874176153385259E-3</v>
      </c>
      <c r="E211">
        <v>2.9922779922780005E-2</v>
      </c>
      <c r="F211">
        <v>1.6648168701442843E-2</v>
      </c>
      <c r="G211">
        <v>0</v>
      </c>
      <c r="H211">
        <v>-7.2164948453608241E-2</v>
      </c>
      <c r="I211">
        <v>2.1998742928975488E-2</v>
      </c>
      <c r="J211">
        <v>0.19755244755244758</v>
      </c>
      <c r="K211">
        <v>4.7003525264395505E-3</v>
      </c>
      <c r="L211">
        <v>1.5637860082304573E-2</v>
      </c>
      <c r="M211">
        <v>-2.9296875E-2</v>
      </c>
      <c r="N211">
        <v>-8.1065759637188275E-2</v>
      </c>
      <c r="O211">
        <v>2.9427501337613696E-2</v>
      </c>
      <c r="P211">
        <v>2.6613816534541434E-2</v>
      </c>
      <c r="Q211">
        <v>2.6086956521739101E-2</v>
      </c>
      <c r="R211">
        <v>-5.6089743589743592E-2</v>
      </c>
      <c r="S211">
        <v>-0.11717062634989195</v>
      </c>
      <c r="T211">
        <v>-6.5275548421615925E-2</v>
      </c>
      <c r="U211">
        <v>0.23366365072526227</v>
      </c>
      <c r="V211">
        <v>-8.7960417811984298E-3</v>
      </c>
      <c r="W211">
        <v>-4.9002849002848972E-2</v>
      </c>
      <c r="X211">
        <v>-3.5655512890839271E-2</v>
      </c>
      <c r="Y211">
        <v>-5.1343283582089519E-2</v>
      </c>
      <c r="Z211">
        <v>-2.4004683840749545E-2</v>
      </c>
      <c r="AA211">
        <v>-3.0525720746184315E-2</v>
      </c>
      <c r="AB211">
        <v>2.3068050749711975E-3</v>
      </c>
      <c r="AC211">
        <v>-4.1237113402061792E-2</v>
      </c>
      <c r="AD211">
        <v>-2.0809898762654763E-2</v>
      </c>
      <c r="AE211" t="s">
        <v>215</v>
      </c>
    </row>
    <row r="212" spans="1:31" hidden="1" x14ac:dyDescent="0.3">
      <c r="A212">
        <v>2022</v>
      </c>
      <c r="B212" t="s">
        <v>45</v>
      </c>
      <c r="C212" t="s">
        <v>34</v>
      </c>
      <c r="D212">
        <v>-5.9382422802850355E-3</v>
      </c>
      <c r="E212">
        <v>-1.874414245548266E-2</v>
      </c>
      <c r="F212">
        <v>-9.8253275109169372E-3</v>
      </c>
      <c r="G212">
        <v>0</v>
      </c>
      <c r="H212">
        <v>4.9444444444444478E-2</v>
      </c>
      <c r="I212">
        <v>-1.1685116851168548E-2</v>
      </c>
      <c r="J212">
        <v>-0.10900243309002436</v>
      </c>
      <c r="K212">
        <v>-2.9239766081871343E-3</v>
      </c>
      <c r="L212">
        <v>-1.0534846029173511E-2</v>
      </c>
      <c r="M212">
        <v>2.0120724346076459E-2</v>
      </c>
      <c r="N212">
        <v>5.1202961135101858E-2</v>
      </c>
      <c r="O212">
        <v>-1.5072765072765101E-2</v>
      </c>
      <c r="P212">
        <v>-1.6547159404302261E-2</v>
      </c>
      <c r="Q212">
        <v>-1.8444666001993962E-2</v>
      </c>
      <c r="R212">
        <v>3.6219581211092283E-2</v>
      </c>
      <c r="S212">
        <v>7.7675840978593202E-2</v>
      </c>
      <c r="T212">
        <v>4.2358328563251321E-2</v>
      </c>
      <c r="U212">
        <v>0</v>
      </c>
      <c r="V212">
        <v>5.5463117027176921E-3</v>
      </c>
      <c r="W212">
        <v>2.6962252846015576E-2</v>
      </c>
      <c r="X212">
        <v>2.2753128555176336E-2</v>
      </c>
      <c r="Y212">
        <v>2.5802391441157924E-2</v>
      </c>
      <c r="Z212">
        <v>1.0797840431913687E-2</v>
      </c>
      <c r="AA212">
        <v>1.2827988338192353E-2</v>
      </c>
      <c r="AB212">
        <v>-1.1507479861911222E-3</v>
      </c>
      <c r="AC212">
        <v>2.2102747909199454E-2</v>
      </c>
      <c r="AD212">
        <v>1.3785180930499746E-2</v>
      </c>
      <c r="AE212" t="s">
        <v>215</v>
      </c>
    </row>
    <row r="213" spans="1:31" hidden="1" x14ac:dyDescent="0.3">
      <c r="A213">
        <v>2022</v>
      </c>
      <c r="B213" t="s">
        <v>46</v>
      </c>
      <c r="C213" t="s">
        <v>30</v>
      </c>
      <c r="D213">
        <v>8.3632019115890428E-3</v>
      </c>
      <c r="E213">
        <v>-1.1938872970391595E-2</v>
      </c>
      <c r="F213">
        <v>4.2447629547960247E-2</v>
      </c>
      <c r="G213">
        <v>6.3842135809634021E-3</v>
      </c>
      <c r="H213">
        <v>2.6469031233456855E-2</v>
      </c>
      <c r="I213">
        <v>-2.4891101431238336E-2</v>
      </c>
      <c r="J213">
        <v>-0.17968323320589846</v>
      </c>
      <c r="K213">
        <v>0</v>
      </c>
      <c r="L213">
        <v>-7.3710073710073019E-3</v>
      </c>
      <c r="M213">
        <v>2.3175542406311578E-2</v>
      </c>
      <c r="N213">
        <v>3.7558685446009425E-2</v>
      </c>
      <c r="O213">
        <v>-9.4986807387863401E-3</v>
      </c>
      <c r="P213">
        <v>-2.1873247335950675E-2</v>
      </c>
      <c r="Q213">
        <v>-5.0787201625190452E-3</v>
      </c>
      <c r="R213">
        <v>2.7307482250136537E-2</v>
      </c>
      <c r="S213">
        <v>5.5051078320090908E-2</v>
      </c>
      <c r="T213">
        <v>3.1301482701812287E-2</v>
      </c>
      <c r="U213">
        <v>-0.18940628637951118</v>
      </c>
      <c r="V213">
        <v>8.2735797021511303E-3</v>
      </c>
      <c r="W213">
        <v>2.9171528588098017E-2</v>
      </c>
      <c r="X213">
        <v>2.0578420467185696E-2</v>
      </c>
      <c r="Y213">
        <v>2.9447852760736266E-2</v>
      </c>
      <c r="Z213">
        <v>1.6023738872403492E-2</v>
      </c>
      <c r="AA213">
        <v>2.0725388601036402E-2</v>
      </c>
      <c r="AB213">
        <v>1.2096774193548356E-2</v>
      </c>
      <c r="AC213">
        <v>2.5715955581531301E-2</v>
      </c>
      <c r="AD213">
        <v>3.3994334277620076E-3</v>
      </c>
      <c r="AE213" t="s">
        <v>216</v>
      </c>
    </row>
    <row r="214" spans="1:31" hidden="1" x14ac:dyDescent="0.3">
      <c r="A214">
        <v>2022</v>
      </c>
      <c r="B214" t="s">
        <v>46</v>
      </c>
      <c r="C214" t="s">
        <v>33</v>
      </c>
      <c r="D214">
        <v>8.293838862559107E-3</v>
      </c>
      <c r="E214">
        <v>2.8999516674722087E-2</v>
      </c>
      <c r="F214">
        <v>1.4806980433633059E-2</v>
      </c>
      <c r="G214">
        <v>2.8835063437139563E-3</v>
      </c>
      <c r="H214">
        <v>-7.6328004125838123E-2</v>
      </c>
      <c r="I214">
        <v>1.786853860880671E-2</v>
      </c>
      <c r="J214">
        <v>0.18974700399467379</v>
      </c>
      <c r="K214">
        <v>4.6920821114370169E-3</v>
      </c>
      <c r="L214">
        <v>1.5676567656765606E-2</v>
      </c>
      <c r="M214">
        <v>-3.3734939759036145E-2</v>
      </c>
      <c r="N214">
        <v>-7.9185520361990946E-2</v>
      </c>
      <c r="O214">
        <v>2.9834842834310191E-2</v>
      </c>
      <c r="P214">
        <v>2.4082568807339385E-2</v>
      </c>
      <c r="Q214">
        <v>2.6544155181214845E-2</v>
      </c>
      <c r="R214">
        <v>-5.5289739500265847E-2</v>
      </c>
      <c r="S214">
        <v>-0.11511565357719207</v>
      </c>
      <c r="T214">
        <v>-6.443024494142717E-2</v>
      </c>
      <c r="U214">
        <v>0.22576475657044379</v>
      </c>
      <c r="V214">
        <v>-1.203501094091913E-2</v>
      </c>
      <c r="W214">
        <v>-5.1587301587301557E-2</v>
      </c>
      <c r="X214">
        <v>-3.4332425068119954E-2</v>
      </c>
      <c r="Y214">
        <v>-5.0059594755661532E-2</v>
      </c>
      <c r="Z214">
        <v>-2.3948598130841089E-2</v>
      </c>
      <c r="AA214">
        <v>-3.102086858432036E-2</v>
      </c>
      <c r="AB214">
        <v>1.7074558907228879E-3</v>
      </c>
      <c r="AC214">
        <v>-4.1595441595441658E-2</v>
      </c>
      <c r="AD214">
        <v>-1.693958215697346E-2</v>
      </c>
      <c r="AE214" t="s">
        <v>216</v>
      </c>
    </row>
    <row r="215" spans="1:31" hidden="1" x14ac:dyDescent="0.3">
      <c r="A215">
        <v>2022</v>
      </c>
      <c r="B215" t="s">
        <v>46</v>
      </c>
      <c r="C215" t="s">
        <v>34</v>
      </c>
      <c r="D215">
        <v>-5.8754406580493537E-3</v>
      </c>
      <c r="E215">
        <v>-1.8318459370596549E-2</v>
      </c>
      <c r="F215">
        <v>-8.8587806149036837E-3</v>
      </c>
      <c r="G215">
        <v>-1.7251293847039182E-3</v>
      </c>
      <c r="H215">
        <v>5.2484645449469604E-2</v>
      </c>
      <c r="I215">
        <v>-9.4043887147335428E-3</v>
      </c>
      <c r="J215">
        <v>-0.10520425293788463</v>
      </c>
      <c r="K215">
        <v>-2.918855808523059E-3</v>
      </c>
      <c r="L215">
        <v>-1.0560519902518255E-2</v>
      </c>
      <c r="M215">
        <v>2.3441396508728122E-2</v>
      </c>
      <c r="N215">
        <v>5.0368550368550292E-2</v>
      </c>
      <c r="O215">
        <v>-1.5519917227108122E-2</v>
      </c>
      <c r="P215">
        <v>-1.5117581187010015E-2</v>
      </c>
      <c r="Q215">
        <v>-1.8896071606166003E-2</v>
      </c>
      <c r="R215">
        <v>3.5453010692177891E-2</v>
      </c>
      <c r="S215">
        <v>7.598784194528875E-2</v>
      </c>
      <c r="T215">
        <v>4.154809334092209E-2</v>
      </c>
      <c r="U215">
        <v>0</v>
      </c>
      <c r="V215">
        <v>7.751937984496156E-3</v>
      </c>
      <c r="W215">
        <v>2.8690974297668755E-2</v>
      </c>
      <c r="X215">
        <v>2.2009029345372494E-2</v>
      </c>
      <c r="Y215">
        <v>2.5094102885821833E-2</v>
      </c>
      <c r="Z215">
        <v>1.0771992818671522E-2</v>
      </c>
      <c r="AA215">
        <v>1.3387660069848562E-2</v>
      </c>
      <c r="AB215">
        <v>-1.1363636363635717E-3</v>
      </c>
      <c r="AC215">
        <v>2.2592152199762256E-2</v>
      </c>
      <c r="AD215">
        <v>9.1901206203331091E-3</v>
      </c>
      <c r="AE215" t="s">
        <v>216</v>
      </c>
    </row>
    <row r="218" spans="1:31" x14ac:dyDescent="0.3">
      <c r="D218" s="16" t="str" cm="1">
        <f t="array" ref="D218:E245">TRANSPOSE(C1:AD2)</f>
        <v>Sector</v>
      </c>
      <c r="E218" s="16" t="str">
        <v>Corel</v>
      </c>
      <c r="G218" t="s">
        <v>16627</v>
      </c>
      <c r="H218" t="s">
        <v>16628</v>
      </c>
    </row>
    <row r="219" spans="1:31" x14ac:dyDescent="0.3">
      <c r="D219" s="16" t="str">
        <v>Cereals and products</v>
      </c>
      <c r="E219" s="16">
        <v>-0.46393740377709125</v>
      </c>
      <c r="G219" t="s">
        <v>193</v>
      </c>
      <c r="H219">
        <f>(All_India_Index_Upto_April23!H287-All_India_Index_Upto_April23!H286)/All_India_Index_Upto_April23!H286</f>
        <v>5.5934515688949638E-2</v>
      </c>
    </row>
    <row r="220" spans="1:31" x14ac:dyDescent="0.3">
      <c r="D220" s="16" t="str">
        <v>Meat and fish</v>
      </c>
      <c r="E220" s="16">
        <v>-0.37542238108542114</v>
      </c>
      <c r="G220" t="s">
        <v>193</v>
      </c>
      <c r="H220">
        <f>(All_India_Index_Upto_April23!H288-All_India_Index_Upto_April23!H287)/All_India_Index_Upto_April23!H287</f>
        <v>-6.9121447028423877E-2</v>
      </c>
    </row>
    <row r="221" spans="1:31" x14ac:dyDescent="0.3">
      <c r="D221" s="16" t="str">
        <v>Egg</v>
      </c>
      <c r="E221" s="16">
        <v>-0.29388586448409859</v>
      </c>
      <c r="G221" t="s">
        <v>193</v>
      </c>
      <c r="H221">
        <f>(All_India_Index_Upto_April23!H289-All_India_Index_Upto_April23!H288)/All_India_Index_Upto_April23!H288</f>
        <v>4.7189451769604519E-2</v>
      </c>
    </row>
    <row r="222" spans="1:31" x14ac:dyDescent="0.3">
      <c r="D222" s="16" t="str">
        <v>Milk and products</v>
      </c>
      <c r="E222" s="16">
        <v>0.25828157245965572</v>
      </c>
      <c r="G222" t="s">
        <v>194</v>
      </c>
      <c r="H222">
        <f>(All_India_Index_Upto_April23!H290-All_India_Index_Upto_April23!H289)/All_India_Index_Upto_April23!H289</f>
        <v>8.0185553346587099E-2</v>
      </c>
    </row>
    <row r="223" spans="1:31" x14ac:dyDescent="0.3">
      <c r="D223" s="16" t="str">
        <v>Oils and fats</v>
      </c>
      <c r="E223" s="16">
        <v>1</v>
      </c>
      <c r="G223" t="s">
        <v>194</v>
      </c>
      <c r="H223">
        <f>(All_India_Index_Upto_April23!H291-All_India_Index_Upto_April23!H290)/All_India_Index_Upto_April23!H290</f>
        <v>-7.1165644171779105E-2</v>
      </c>
    </row>
    <row r="224" spans="1:31" x14ac:dyDescent="0.3">
      <c r="D224" s="16" t="str">
        <v>Fruits</v>
      </c>
      <c r="E224" s="16">
        <v>-0.21576835257611815</v>
      </c>
      <c r="G224" t="s">
        <v>194</v>
      </c>
      <c r="H224">
        <f>(All_India_Index_Upto_April23!H292-All_India_Index_Upto_April23!H291)/All_India_Index_Upto_April23!H291</f>
        <v>4.8216644649933832E-2</v>
      </c>
    </row>
    <row r="225" spans="4:8" x14ac:dyDescent="0.3">
      <c r="D225" s="16" t="str">
        <v>Vegetables</v>
      </c>
      <c r="E225" s="16">
        <v>-0.80934268711230273</v>
      </c>
      <c r="G225" t="s">
        <v>195</v>
      </c>
      <c r="H225">
        <f>(All_India_Index_Upto_April23!H293-All_India_Index_Upto_April23!H292)/All_India_Index_Upto_April23!H292</f>
        <v>5.9861373660995594E-2</v>
      </c>
    </row>
    <row r="226" spans="4:8" x14ac:dyDescent="0.3">
      <c r="D226" s="16" t="str">
        <v>Pulses and products</v>
      </c>
      <c r="E226" s="16">
        <v>0.45968030774829916</v>
      </c>
      <c r="G226" t="s">
        <v>195</v>
      </c>
      <c r="H226">
        <f>(All_India_Index_Upto_April23!H294-All_India_Index_Upto_April23!H293)/All_India_Index_Upto_April23!H293</f>
        <v>-7.0154577883471958E-2</v>
      </c>
    </row>
    <row r="227" spans="4:8" x14ac:dyDescent="0.3">
      <c r="D227" s="16" t="str">
        <v>Sugar and Confectionery</v>
      </c>
      <c r="E227" s="16">
        <v>-0.42408068562180556</v>
      </c>
      <c r="G227" t="s">
        <v>195</v>
      </c>
      <c r="H227">
        <f>(All_India_Index_Upto_April23!H295-All_India_Index_Upto_April23!H294)/All_India_Index_Upto_April23!H294</f>
        <v>4.7953964194373401E-2</v>
      </c>
    </row>
    <row r="228" spans="4:8" x14ac:dyDescent="0.3">
      <c r="D228" s="16" t="str">
        <v>Spices</v>
      </c>
      <c r="E228" s="16">
        <v>0.19750635443318415</v>
      </c>
      <c r="G228" t="s">
        <v>196</v>
      </c>
      <c r="H228">
        <f>(All_India_Index_Upto_April23!H296-All_India_Index_Upto_April23!H295)/All_India_Index_Upto_April23!H295</f>
        <v>6.8944478340451393E-2</v>
      </c>
    </row>
    <row r="229" spans="4:8" x14ac:dyDescent="0.3">
      <c r="D229" s="16" t="str">
        <v>Non-alcoholic beverages</v>
      </c>
      <c r="E229" s="16">
        <v>0.95439711963998897</v>
      </c>
      <c r="G229" t="s">
        <v>196</v>
      </c>
      <c r="H229">
        <f>(All_India_Index_Upto_April23!H297-All_India_Index_Upto_April23!H296)/All_India_Index_Upto_April23!H296</f>
        <v>-7.8767123287671145E-2</v>
      </c>
    </row>
    <row r="230" spans="4:8" x14ac:dyDescent="0.3">
      <c r="D230" s="16" t="str">
        <v>Prepared meals, s149.08cks, sweets etc.</v>
      </c>
      <c r="E230" s="16">
        <v>-1.1294925329771423E-2</v>
      </c>
      <c r="G230" t="s">
        <v>196</v>
      </c>
      <c r="H230">
        <f>(All_India_Index_Upto_April23!H298-All_India_Index_Upto_April23!H297)/All_India_Index_Upto_April23!H297</f>
        <v>5.3903345724906994E-2</v>
      </c>
    </row>
    <row r="231" spans="4:8" x14ac:dyDescent="0.3">
      <c r="D231" s="16" t="str">
        <v>Food and beverages</v>
      </c>
      <c r="E231" s="16">
        <v>-0.56510308631421358</v>
      </c>
      <c r="G231" t="s">
        <v>197</v>
      </c>
      <c r="H231">
        <f>(All_India_Index_Upto_April23!H299-All_India_Index_Upto_April23!H298)/All_India_Index_Upto_April23!H298</f>
        <v>8.406819517930636E-2</v>
      </c>
    </row>
    <row r="232" spans="4:8" x14ac:dyDescent="0.3">
      <c r="D232" s="16" t="str">
        <v>Pan, tobacco and intoxicants</v>
      </c>
      <c r="E232" s="16">
        <v>-0.71566822836525723</v>
      </c>
      <c r="G232" t="s">
        <v>197</v>
      </c>
      <c r="H232">
        <f>(All_India_Index_Upto_April23!H300-All_India_Index_Upto_April23!H299)/All_India_Index_Upto_April23!H299</f>
        <v>-8.459869848156179E-2</v>
      </c>
    </row>
    <row r="233" spans="4:8" x14ac:dyDescent="0.3">
      <c r="D233" s="16" t="str">
        <v>Clothing</v>
      </c>
      <c r="E233" s="16">
        <v>0.85548305801928382</v>
      </c>
      <c r="G233" t="s">
        <v>197</v>
      </c>
      <c r="H233">
        <f>(All_India_Index_Upto_April23!H301-All_India_Index_Upto_April23!H300)/All_India_Index_Upto_April23!H300</f>
        <v>5.8649289099525929E-2</v>
      </c>
    </row>
    <row r="234" spans="4:8" x14ac:dyDescent="0.3">
      <c r="D234" s="16" t="str">
        <v>Footwear</v>
      </c>
      <c r="E234" s="16">
        <v>0.94118815662351629</v>
      </c>
      <c r="G234" t="s">
        <v>198</v>
      </c>
      <c r="H234">
        <f>(All_India_Index_Upto_April23!H302-All_India_Index_Upto_April23!H301)/All_India_Index_Upto_April23!H301</f>
        <v>6.5472859541130482E-2</v>
      </c>
    </row>
    <row r="235" spans="4:8" x14ac:dyDescent="0.3">
      <c r="D235" s="16" t="str">
        <v>Clothing and footwear</v>
      </c>
      <c r="E235" s="16">
        <v>0.88329510777781461</v>
      </c>
      <c r="G235" t="s">
        <v>198</v>
      </c>
      <c r="H235">
        <f>(All_India_Index_Upto_April23!H303-All_India_Index_Upto_April23!H302)/All_India_Index_Upto_April23!H302</f>
        <v>-9.5588235294117738E-2</v>
      </c>
    </row>
    <row r="236" spans="4:8" x14ac:dyDescent="0.3">
      <c r="D236" s="16" t="str">
        <v>Housing</v>
      </c>
      <c r="E236" s="16">
        <v>-0.65266883209614401</v>
      </c>
      <c r="G236" t="s">
        <v>198</v>
      </c>
      <c r="H236">
        <f>(All_India_Index_Upto_April23!H304-All_India_Index_Upto_April23!H303)/All_India_Index_Upto_April23!H303</f>
        <v>6.6782810685249716E-2</v>
      </c>
    </row>
    <row r="237" spans="4:8" x14ac:dyDescent="0.3">
      <c r="D237" s="16" t="str">
        <v>Fuel and light</v>
      </c>
      <c r="E237" s="16">
        <v>0.66971007323246312</v>
      </c>
      <c r="G237" t="s">
        <v>199</v>
      </c>
      <c r="H237">
        <f>(All_India_Index_Upto_April23!H305-All_India_Index_Upto_April23!H304)/All_India_Index_Upto_April23!H304</f>
        <v>2.7218290691344585E-2</v>
      </c>
    </row>
    <row r="238" spans="4:8" x14ac:dyDescent="0.3">
      <c r="D238" s="16" t="str">
        <v>Household goods and services</v>
      </c>
      <c r="E238" s="16">
        <v>0.83504513428324512</v>
      </c>
      <c r="G238" t="s">
        <v>199</v>
      </c>
      <c r="H238">
        <f>(All_India_Index_Upto_April23!H306-All_India_Index_Upto_April23!H305)/All_India_Index_Upto_April23!H305</f>
        <v>-9.5919448860625312E-2</v>
      </c>
    </row>
    <row r="239" spans="4:8" x14ac:dyDescent="0.3">
      <c r="D239" s="16" t="str">
        <v>Health</v>
      </c>
      <c r="E239" s="16">
        <v>0.84586947561768211</v>
      </c>
      <c r="G239" t="s">
        <v>199</v>
      </c>
      <c r="H239">
        <f>(All_India_Index_Upto_April23!H307-All_India_Index_Upto_April23!H306)/All_India_Index_Upto_April23!H306</f>
        <v>6.7409144196951931E-2</v>
      </c>
    </row>
    <row r="240" spans="4:8" x14ac:dyDescent="0.3">
      <c r="D240" s="16" t="str">
        <v>Transport and communication</v>
      </c>
      <c r="E240" s="16">
        <v>0.81948667298195821</v>
      </c>
      <c r="G240" t="s">
        <v>200</v>
      </c>
      <c r="H240">
        <f>(All_India_Index_Upto_April23!H308-All_India_Index_Upto_April23!H307)/All_India_Index_Upto_April23!H307</f>
        <v>4.8325096101043449E-2</v>
      </c>
    </row>
    <row r="241" spans="4:8" x14ac:dyDescent="0.3">
      <c r="D241" s="16" t="str">
        <v>Recreation and amusement</v>
      </c>
      <c r="E241" s="16">
        <v>0.77856733001545164</v>
      </c>
      <c r="G241" t="s">
        <v>200</v>
      </c>
      <c r="H241">
        <f>(All_India_Index_Upto_April23!H309-All_India_Index_Upto_April23!H308)/All_India_Index_Upto_April23!H308</f>
        <v>-8.3289680460974361E-2</v>
      </c>
    </row>
    <row r="242" spans="4:8" x14ac:dyDescent="0.3">
      <c r="D242" s="16" t="str">
        <v>Education</v>
      </c>
      <c r="E242" s="16">
        <v>0.7937319365149641</v>
      </c>
      <c r="G242" t="s">
        <v>200</v>
      </c>
      <c r="H242">
        <f>(All_India_Index_Upto_April23!H310-All_India_Index_Upto_April23!H309)/All_India_Index_Upto_April23!H309</f>
        <v>7.4285714285714288E-2</v>
      </c>
    </row>
    <row r="243" spans="4:8" x14ac:dyDescent="0.3">
      <c r="D243" s="16" t="str">
        <v>Perso133.35l care and effects</v>
      </c>
      <c r="E243" s="16">
        <v>0.33479830499724028</v>
      </c>
      <c r="G243" t="s">
        <v>201</v>
      </c>
      <c r="H243">
        <f>(All_India_Index_Upto_April23!H311-All_India_Index_Upto_April23!H310)/All_India_Index_Upto_April23!H310</f>
        <v>3.9893617021276598E-2</v>
      </c>
    </row>
    <row r="244" spans="4:8" x14ac:dyDescent="0.3">
      <c r="D244" s="16" t="str">
        <v>Miscellaneous</v>
      </c>
      <c r="E244" s="16">
        <v>0.8444593908368806</v>
      </c>
      <c r="G244" t="s">
        <v>201</v>
      </c>
      <c r="H244">
        <f>(All_India_Index_Upto_April23!H312-All_India_Index_Upto_April23!H311)/All_India_Index_Upto_April23!H311</f>
        <v>-0.10485933503836317</v>
      </c>
    </row>
    <row r="245" spans="4:8" x14ac:dyDescent="0.3">
      <c r="D245" s="16" t="str">
        <v>General index</v>
      </c>
      <c r="E245" s="16">
        <v>0.67500586282989983</v>
      </c>
      <c r="G245" t="s">
        <v>201</v>
      </c>
      <c r="H245">
        <f>(All_India_Index_Upto_April23!H313-All_India_Index_Upto_April23!H312)/All_India_Index_Upto_April23!H312</f>
        <v>7.4285714285714288E-2</v>
      </c>
    </row>
    <row r="246" spans="4:8" x14ac:dyDescent="0.3">
      <c r="G246" t="s">
        <v>202</v>
      </c>
      <c r="H246">
        <f>(All_India_Index_Upto_April23!H314-All_India_Index_Upto_April23!H313)/All_India_Index_Upto_April23!H313</f>
        <v>5.744680851063836E-2</v>
      </c>
    </row>
    <row r="247" spans="4:8" x14ac:dyDescent="0.3">
      <c r="G247" t="s">
        <v>202</v>
      </c>
      <c r="H247">
        <f>(All_India_Index_Upto_April23!H315-All_India_Index_Upto_April23!H314)/All_India_Index_Upto_April23!H314</f>
        <v>-0.11167002012072443</v>
      </c>
    </row>
    <row r="248" spans="4:8" x14ac:dyDescent="0.3">
      <c r="G248" t="s">
        <v>202</v>
      </c>
      <c r="H248">
        <f>(All_India_Index_Upto_April23!H316-All_India_Index_Upto_April23!H315)/All_India_Index_Upto_April23!H315</f>
        <v>7.9275198187995471E-2</v>
      </c>
    </row>
    <row r="249" spans="4:8" x14ac:dyDescent="0.3">
      <c r="G249" t="s">
        <v>203</v>
      </c>
      <c r="H249">
        <f>(All_India_Index_Upto_April23!H317-All_India_Index_Upto_April23!H316)/All_India_Index_Upto_April23!H316</f>
        <v>4.0923399790136469E-2</v>
      </c>
    </row>
    <row r="250" spans="4:8" x14ac:dyDescent="0.3">
      <c r="G250" t="s">
        <v>203</v>
      </c>
      <c r="H250">
        <f>(All_India_Index_Upto_April23!H318-All_India_Index_Upto_April23!H317)/All_India_Index_Upto_April23!H317</f>
        <v>-0.11391129032258061</v>
      </c>
    </row>
    <row r="251" spans="4:8" x14ac:dyDescent="0.3">
      <c r="G251" t="s">
        <v>203</v>
      </c>
      <c r="H251">
        <f>(All_India_Index_Upto_April23!H319-All_India_Index_Upto_April23!H318)/All_India_Index_Upto_April23!H318</f>
        <v>8.1342434584755305E-2</v>
      </c>
    </row>
    <row r="252" spans="4:8" x14ac:dyDescent="0.3">
      <c r="G252" t="s">
        <v>204</v>
      </c>
      <c r="H252">
        <f>(All_India_Index_Upto_April23!H320-All_India_Index_Upto_April23!H319)/All_India_Index_Upto_April23!H319</f>
        <v>2.9984218832193672E-2</v>
      </c>
    </row>
    <row r="253" spans="4:8" x14ac:dyDescent="0.3">
      <c r="G253" t="s">
        <v>204</v>
      </c>
      <c r="H253">
        <f>(All_India_Index_Upto_April23!H321-All_India_Index_Upto_April23!H320)/All_India_Index_Upto_April23!H320</f>
        <v>-0.11389172625127686</v>
      </c>
    </row>
    <row r="254" spans="4:8" x14ac:dyDescent="0.3">
      <c r="G254" t="s">
        <v>204</v>
      </c>
      <c r="H254">
        <f>(All_India_Index_Upto_April23!H322-All_India_Index_Upto_April23!H321)/All_India_Index_Upto_April23!H321</f>
        <v>8.126801152737749E-2</v>
      </c>
    </row>
    <row r="255" spans="4:8" x14ac:dyDescent="0.3">
      <c r="G255" t="s">
        <v>205</v>
      </c>
      <c r="H255">
        <f>(All_India_Index_Upto_April23!H323-All_India_Index_Upto_April23!H322)/All_India_Index_Upto_April23!H322</f>
        <v>2.6652452025586356E-2</v>
      </c>
    </row>
    <row r="256" spans="4:8" x14ac:dyDescent="0.3">
      <c r="G256" t="s">
        <v>205</v>
      </c>
      <c r="H256">
        <f>(All_India_Index_Upto_April23!H324-All_India_Index_Upto_April23!H323)/All_India_Index_Upto_April23!H323</f>
        <v>-0.11214953271028034</v>
      </c>
    </row>
    <row r="257" spans="7:8" x14ac:dyDescent="0.3">
      <c r="G257" t="s">
        <v>205</v>
      </c>
      <c r="H257">
        <f>(All_India_Index_Upto_April23!H325-All_India_Index_Upto_April23!H324)/All_India_Index_Upto_April23!H324</f>
        <v>8.011695906432742E-2</v>
      </c>
    </row>
    <row r="258" spans="7:8" x14ac:dyDescent="0.3">
      <c r="G258" t="s">
        <v>206</v>
      </c>
      <c r="H258">
        <f>(All_India_Index_Upto_April23!H326-All_India_Index_Upto_April23!H325)/All_India_Index_Upto_April23!H325</f>
        <v>4.2772062804547949E-2</v>
      </c>
    </row>
    <row r="259" spans="7:8" x14ac:dyDescent="0.3">
      <c r="G259" t="s">
        <v>206</v>
      </c>
      <c r="H259">
        <f>(All_India_Index_Upto_April23!H327-All_India_Index_Upto_April23!H326)/All_India_Index_Upto_April23!H326</f>
        <v>-0.1095534787123572</v>
      </c>
    </row>
    <row r="260" spans="7:8" x14ac:dyDescent="0.3">
      <c r="G260" t="s">
        <v>206</v>
      </c>
      <c r="H260">
        <f>(All_India_Index_Upto_April23!H328-All_India_Index_Upto_April23!H327)/All_India_Index_Upto_April23!H327</f>
        <v>7.8134110787172043E-2</v>
      </c>
    </row>
    <row r="261" spans="7:8" x14ac:dyDescent="0.3">
      <c r="G261" t="s">
        <v>207</v>
      </c>
      <c r="H261">
        <f>(All_India_Index_Upto_April23!H329-All_India_Index_Upto_April23!H328)/All_India_Index_Upto_April23!H328</f>
        <v>9.843158464034607E-2</v>
      </c>
    </row>
    <row r="262" spans="7:8" x14ac:dyDescent="0.3">
      <c r="G262" t="s">
        <v>207</v>
      </c>
      <c r="H262">
        <f>(All_India_Index_Upto_April23!H330-All_India_Index_Upto_April23!H329)/All_India_Index_Upto_April23!H329</f>
        <v>-0.11373707533234857</v>
      </c>
    </row>
    <row r="263" spans="7:8" x14ac:dyDescent="0.3">
      <c r="G263" t="s">
        <v>207</v>
      </c>
      <c r="H263">
        <f>(All_India_Index_Upto_April23!H331-All_India_Index_Upto_April23!H330)/All_India_Index_Upto_April23!H330</f>
        <v>8.1111111111111078E-2</v>
      </c>
    </row>
    <row r="264" spans="7:8" x14ac:dyDescent="0.3">
      <c r="G264" t="s">
        <v>208</v>
      </c>
      <c r="H264">
        <f>(All_India_Index_Upto_April23!H332-All_India_Index_Upto_April23!H331)/All_India_Index_Upto_April23!H331</f>
        <v>6.5775950668037056E-2</v>
      </c>
    </row>
    <row r="265" spans="7:8" x14ac:dyDescent="0.3">
      <c r="G265" t="s">
        <v>208</v>
      </c>
      <c r="H265">
        <f>(All_India_Index_Upto_April23!H333-All_India_Index_Upto_April23!H332)/All_India_Index_Upto_April23!H332</f>
        <v>-0.10318225650916106</v>
      </c>
    </row>
    <row r="266" spans="7:8" x14ac:dyDescent="0.3">
      <c r="G266" t="s">
        <v>208</v>
      </c>
      <c r="H266">
        <f>(All_India_Index_Upto_April23!H334-All_India_Index_Upto_April23!H333)/All_India_Index_Upto_April23!H333</f>
        <v>7.2580645161290328E-2</v>
      </c>
    </row>
    <row r="267" spans="7:8" x14ac:dyDescent="0.3">
      <c r="G267" t="s">
        <v>209</v>
      </c>
      <c r="H267">
        <f>(All_India_Index_Upto_April23!H335-All_India_Index_Upto_April23!H334)/All_India_Index_Upto_April23!H334</f>
        <v>5.2130325814536367E-2</v>
      </c>
    </row>
    <row r="268" spans="7:8" x14ac:dyDescent="0.3">
      <c r="G268" t="s">
        <v>209</v>
      </c>
      <c r="H268">
        <f>(All_India_Index_Upto_April23!H336-All_India_Index_Upto_April23!H335)/All_India_Index_Upto_April23!H335</f>
        <v>-9.7189137684611751E-2</v>
      </c>
    </row>
    <row r="269" spans="7:8" x14ac:dyDescent="0.3">
      <c r="G269" t="s">
        <v>209</v>
      </c>
      <c r="H269">
        <f>(All_India_Index_Upto_April23!H337-All_India_Index_Upto_April23!H336)/All_India_Index_Upto_April23!H336</f>
        <v>6.8073878627968362E-2</v>
      </c>
    </row>
    <row r="270" spans="7:8" x14ac:dyDescent="0.3">
      <c r="G270" t="s">
        <v>210</v>
      </c>
      <c r="H270">
        <f>(All_India_Index_Upto_April23!H338-All_India_Index_Upto_April23!H337)/All_India_Index_Upto_April23!H337</f>
        <v>2.8162055335968321E-2</v>
      </c>
    </row>
    <row r="271" spans="7:8" x14ac:dyDescent="0.3">
      <c r="G271" t="s">
        <v>210</v>
      </c>
      <c r="H271">
        <f>(All_India_Index_Upto_April23!H339-All_India_Index_Upto_April23!H338)/All_India_Index_Upto_April23!H338</f>
        <v>-9.3704949543488708E-2</v>
      </c>
    </row>
    <row r="272" spans="7:8" x14ac:dyDescent="0.3">
      <c r="G272" t="s">
        <v>210</v>
      </c>
      <c r="H272">
        <f>(All_India_Index_Upto_April23!H340-All_India_Index_Upto_April23!H339)/All_India_Index_Upto_April23!H339</f>
        <v>6.5217391304347894E-2</v>
      </c>
    </row>
    <row r="273" spans="7:8" x14ac:dyDescent="0.3">
      <c r="G273" t="s">
        <v>211</v>
      </c>
      <c r="H273">
        <f>(All_India_Index_Upto_April23!H341-All_India_Index_Upto_April23!H340)/All_India_Index_Upto_April23!H340</f>
        <v>6.4708810353408808E-3</v>
      </c>
    </row>
    <row r="274" spans="7:8" x14ac:dyDescent="0.3">
      <c r="G274" t="s">
        <v>211</v>
      </c>
      <c r="H274">
        <f>(All_India_Index_Upto_April23!H342-All_India_Index_Upto_April23!H341)/All_India_Index_Upto_April23!H341</f>
        <v>-8.6053412462907902E-2</v>
      </c>
    </row>
    <row r="275" spans="7:8" x14ac:dyDescent="0.3">
      <c r="G275" t="s">
        <v>211</v>
      </c>
      <c r="H275">
        <f>(All_India_Index_Upto_April23!H343-All_India_Index_Upto_April23!H342)/All_India_Index_Upto_April23!H342</f>
        <v>5.9523809523809521E-2</v>
      </c>
    </row>
    <row r="276" spans="7:8" x14ac:dyDescent="0.3">
      <c r="G276" t="s">
        <v>212</v>
      </c>
      <c r="H276">
        <f>(All_India_Index_Upto_April23!H344-All_India_Index_Upto_April23!H343)/All_India_Index_Upto_April23!H343</f>
        <v>1.1746680286006041E-2</v>
      </c>
    </row>
    <row r="277" spans="7:8" x14ac:dyDescent="0.3">
      <c r="G277" t="s">
        <v>212</v>
      </c>
      <c r="H277">
        <f>(All_India_Index_Upto_April23!H345-All_India_Index_Upto_April23!H344)/All_India_Index_Upto_April23!H344</f>
        <v>-7.8748107016658228E-2</v>
      </c>
    </row>
    <row r="278" spans="7:8" x14ac:dyDescent="0.3">
      <c r="G278" t="s">
        <v>212</v>
      </c>
      <c r="H278">
        <f>(All_India_Index_Upto_April23!H346-All_India_Index_Upto_April23!H345)/All_India_Index_Upto_April23!H345</f>
        <v>5.4246575342465783E-2</v>
      </c>
    </row>
    <row r="279" spans="7:8" x14ac:dyDescent="0.3">
      <c r="G279" t="s">
        <v>213</v>
      </c>
      <c r="H279">
        <f>(All_India_Index_Upto_April23!H347-All_India_Index_Upto_April23!H346)/All_India_Index_Upto_April23!H346</f>
        <v>8.8357588357587773E-3</v>
      </c>
    </row>
    <row r="280" spans="7:8" x14ac:dyDescent="0.3">
      <c r="G280" t="s">
        <v>213</v>
      </c>
      <c r="H280">
        <f>(All_India_Index_Upto_April23!H348-All_India_Index_Upto_April23!H347)/All_India_Index_Upto_April23!H347</f>
        <v>-7.6249356002060703E-2</v>
      </c>
    </row>
    <row r="281" spans="7:8" x14ac:dyDescent="0.3">
      <c r="G281" t="s">
        <v>213</v>
      </c>
      <c r="H281">
        <f>(All_India_Index_Upto_April23!H349-All_India_Index_Upto_April23!H348)/All_India_Index_Upto_April23!H348</f>
        <v>5.2426101505855978E-2</v>
      </c>
    </row>
    <row r="282" spans="7:8" x14ac:dyDescent="0.3">
      <c r="G282" t="s">
        <v>214</v>
      </c>
      <c r="H282">
        <f>(All_India_Index_Upto_April23!H350-All_India_Index_Upto_April23!H349)/All_India_Index_Upto_April23!H349</f>
        <v>1.5368309485956575E-2</v>
      </c>
    </row>
    <row r="283" spans="7:8" x14ac:dyDescent="0.3">
      <c r="G283" t="s">
        <v>214</v>
      </c>
      <c r="H283">
        <f>(All_India_Index_Upto_April23!H351-All_India_Index_Upto_April23!H350)/All_India_Index_Upto_April23!H350</f>
        <v>-7.2546972860125292E-2</v>
      </c>
    </row>
    <row r="284" spans="7:8" x14ac:dyDescent="0.3">
      <c r="G284" t="s">
        <v>214</v>
      </c>
      <c r="H284">
        <f>(All_India_Index_Upto_April23!H352-All_India_Index_Upto_April23!H351)/All_India_Index_Upto_April23!H351</f>
        <v>4.9521665728756395E-2</v>
      </c>
    </row>
    <row r="285" spans="7:8" x14ac:dyDescent="0.3">
      <c r="G285" t="s">
        <v>215</v>
      </c>
      <c r="H285">
        <f>(All_India_Index_Upto_April23!H353-All_India_Index_Upto_April23!H352)/All_India_Index_Upto_April23!H352</f>
        <v>4.0214477211796246E-2</v>
      </c>
    </row>
    <row r="286" spans="7:8" x14ac:dyDescent="0.3">
      <c r="G286" t="s">
        <v>215</v>
      </c>
      <c r="H286">
        <f>(All_India_Index_Upto_April23!H354-All_India_Index_Upto_April23!H353)/All_India_Index_Upto_April23!H353</f>
        <v>-7.2164948453608241E-2</v>
      </c>
    </row>
    <row r="287" spans="7:8" x14ac:dyDescent="0.3">
      <c r="G287" t="s">
        <v>215</v>
      </c>
      <c r="H287">
        <f>(All_India_Index_Upto_April23!H355-All_India_Index_Upto_April23!H354)/All_India_Index_Upto_April23!H354</f>
        <v>4.9444444444444478E-2</v>
      </c>
    </row>
    <row r="288" spans="7:8" x14ac:dyDescent="0.3">
      <c r="G288" t="s">
        <v>216</v>
      </c>
      <c r="H288">
        <f>(All_India_Index_Upto_April23!H356-All_India_Index_Upto_April23!H355)/All_India_Index_Upto_April23!H355</f>
        <v>2.6469031233456855E-2</v>
      </c>
    </row>
    <row r="289" spans="7:8" x14ac:dyDescent="0.3">
      <c r="G289" t="s">
        <v>216</v>
      </c>
      <c r="H289">
        <f>(All_India_Index_Upto_April23!H357-All_India_Index_Upto_April23!H356)/All_India_Index_Upto_April23!H356</f>
        <v>-7.6328004125838123E-2</v>
      </c>
    </row>
    <row r="290" spans="7:8" x14ac:dyDescent="0.3">
      <c r="G290" t="s">
        <v>216</v>
      </c>
      <c r="H290">
        <f>(All_India_Index_Upto_April23!H358-All_India_Index_Upto_April23!H357)/All_India_Index_Upto_April23!H357</f>
        <v>5.2484645449469604E-2</v>
      </c>
    </row>
  </sheetData>
  <conditionalFormatting sqref="A2:XFD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8:E2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All_India_Index_Upto_April23 (1</vt:lpstr>
      <vt:lpstr>All_India_Index_Upto_April23</vt:lpstr>
      <vt:lpstr>Q1</vt:lpstr>
      <vt:lpstr>Q2</vt:lpstr>
      <vt:lpstr>Q3.1</vt:lpstr>
      <vt:lpstr>Q4</vt:lpstr>
      <vt:lpstr>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sinchana</dc:creator>
  <cp:lastModifiedBy>Sinchana S</cp:lastModifiedBy>
  <dcterms:created xsi:type="dcterms:W3CDTF">2025-09-23T10:48:45Z</dcterms:created>
  <dcterms:modified xsi:type="dcterms:W3CDTF">2025-12-02T09:40:07Z</dcterms:modified>
</cp:coreProperties>
</file>